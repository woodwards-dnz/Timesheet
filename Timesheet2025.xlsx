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WoodwardS\OneDrive - DairyNZ Limited\Documents\Projects\Group Admin\Timesheet\"/>
    </mc:Choice>
  </mc:AlternateContent>
  <xr:revisionPtr revIDLastSave="0" documentId="13_ncr:1_{579DB9A9-EDD3-4420-8D8B-5F56975EDEFE}" xr6:coauthVersionLast="47" xr6:coauthVersionMax="47" xr10:uidLastSave="{00000000-0000-0000-0000-000000000000}"/>
  <bookViews>
    <workbookView xWindow="22932" yWindow="-240" windowWidth="23256" windowHeight="13176" xr2:uid="{00000000-000D-0000-FFFF-FFFF00000000}"/>
  </bookViews>
  <sheets>
    <sheet name="Charges" sheetId="59" r:id="rId1"/>
    <sheet name="ToDo" sheetId="60" r:id="rId2"/>
  </sheets>
  <definedNames>
    <definedName name="_xlnm._FilterDatabase" localSheetId="0" hidden="1">Charges!$A$2:$L$3099</definedName>
    <definedName name="NowTime">Charges!$F$1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Charges!$D$1790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693" i="59" l="1"/>
  <c r="G2694" i="59"/>
  <c r="G2695" i="59"/>
  <c r="G2696" i="59"/>
  <c r="G2697" i="59"/>
  <c r="G2698" i="59"/>
  <c r="G2699" i="59"/>
  <c r="G2700" i="59"/>
  <c r="G2701" i="59"/>
  <c r="G2702" i="59"/>
  <c r="G2703" i="59"/>
  <c r="G2704" i="59"/>
  <c r="G2705" i="59"/>
  <c r="G2706" i="59"/>
  <c r="G2707" i="59"/>
  <c r="G2708" i="59"/>
  <c r="G2709" i="59"/>
  <c r="G2710" i="59"/>
  <c r="G2711" i="59"/>
  <c r="G2712" i="59"/>
  <c r="G2713" i="59"/>
  <c r="G2714" i="59"/>
  <c r="G2715" i="59"/>
  <c r="G2716" i="59"/>
  <c r="G2717" i="59"/>
  <c r="G2718" i="59"/>
  <c r="G2719" i="59"/>
  <c r="G2720" i="59"/>
  <c r="G2721" i="59"/>
  <c r="G2722" i="59"/>
  <c r="G2723" i="59"/>
  <c r="G2724" i="59"/>
  <c r="G2725" i="59"/>
  <c r="G2726" i="59"/>
  <c r="G2727" i="59"/>
  <c r="G2728" i="59"/>
  <c r="H2728" i="59"/>
  <c r="J2728" i="59" s="1"/>
  <c r="G2729" i="59"/>
  <c r="H2729" i="59"/>
  <c r="J2729" i="59" s="1"/>
  <c r="G2730" i="59"/>
  <c r="G2731" i="59"/>
  <c r="G2732" i="59"/>
  <c r="G2733" i="59"/>
  <c r="G2734" i="59"/>
  <c r="G2735" i="59"/>
  <c r="G2736" i="59"/>
  <c r="H2736" i="59"/>
  <c r="G2737" i="59"/>
  <c r="G2738" i="59"/>
  <c r="G2739" i="59"/>
  <c r="G2740" i="59"/>
  <c r="G2741" i="59"/>
  <c r="G2742" i="59"/>
  <c r="G2743" i="59"/>
  <c r="H2743" i="59"/>
  <c r="I2743" i="59" s="1"/>
  <c r="G2744" i="59"/>
  <c r="G2745" i="59"/>
  <c r="G2746" i="59"/>
  <c r="G2747" i="59"/>
  <c r="G2748" i="59"/>
  <c r="G2749" i="59"/>
  <c r="G2750" i="59"/>
  <c r="G2751" i="59"/>
  <c r="G2752" i="59"/>
  <c r="H2752" i="59"/>
  <c r="J2752" i="59" s="1"/>
  <c r="G2753" i="59"/>
  <c r="G2754" i="59"/>
  <c r="G2755" i="59"/>
  <c r="G2756" i="59"/>
  <c r="G2757" i="59"/>
  <c r="G2758" i="59"/>
  <c r="G2759" i="59"/>
  <c r="G2760" i="59"/>
  <c r="G2761" i="59"/>
  <c r="G2762" i="59"/>
  <c r="G2763" i="59"/>
  <c r="G2764" i="59"/>
  <c r="G2765" i="59"/>
  <c r="G2766" i="59"/>
  <c r="G2767" i="59"/>
  <c r="G2768" i="59"/>
  <c r="G2769" i="59"/>
  <c r="G2770" i="59"/>
  <c r="G2771" i="59"/>
  <c r="G2772" i="59"/>
  <c r="G2773" i="59"/>
  <c r="G2774" i="59"/>
  <c r="G2775" i="59"/>
  <c r="G2776" i="59"/>
  <c r="G2777" i="59"/>
  <c r="H2777" i="59"/>
  <c r="G2778" i="59"/>
  <c r="G2779" i="59"/>
  <c r="G2780" i="59"/>
  <c r="G2781" i="59"/>
  <c r="G2782" i="59"/>
  <c r="G2783" i="59"/>
  <c r="G2784" i="59"/>
  <c r="G2785" i="59"/>
  <c r="G2786" i="59"/>
  <c r="G2787" i="59"/>
  <c r="G2788" i="59"/>
  <c r="G2789" i="59"/>
  <c r="G2790" i="59"/>
  <c r="G2791" i="59"/>
  <c r="G2792" i="59"/>
  <c r="G2793" i="59"/>
  <c r="H2793" i="59"/>
  <c r="G2794" i="59"/>
  <c r="G2795" i="59"/>
  <c r="G2796" i="59"/>
  <c r="G2797" i="59"/>
  <c r="G2798" i="59"/>
  <c r="G2799" i="59"/>
  <c r="G2800" i="59"/>
  <c r="G2801" i="59"/>
  <c r="G2802" i="59"/>
  <c r="G2803" i="59"/>
  <c r="G2804" i="59"/>
  <c r="G2805" i="59"/>
  <c r="G2806" i="59"/>
  <c r="G2807" i="59"/>
  <c r="G2808" i="59"/>
  <c r="G2809" i="59"/>
  <c r="G2810" i="59"/>
  <c r="G2811" i="59"/>
  <c r="G2812" i="59"/>
  <c r="G2813" i="59"/>
  <c r="G2814" i="59"/>
  <c r="G2815" i="59"/>
  <c r="G2816" i="59"/>
  <c r="G2817" i="59"/>
  <c r="G2818" i="59"/>
  <c r="G2819" i="59"/>
  <c r="G2820" i="59"/>
  <c r="G2821" i="59"/>
  <c r="G2822" i="59"/>
  <c r="G2823" i="59"/>
  <c r="G2824" i="59"/>
  <c r="G2825" i="59"/>
  <c r="G2826" i="59"/>
  <c r="G2827" i="59"/>
  <c r="G2828" i="59"/>
  <c r="G2829" i="59"/>
  <c r="G2830" i="59"/>
  <c r="G2831" i="59"/>
  <c r="H2831" i="59"/>
  <c r="J2831" i="59" s="1"/>
  <c r="G2832" i="59"/>
  <c r="H2832" i="59"/>
  <c r="I2832" i="59" s="1"/>
  <c r="G2833" i="59"/>
  <c r="G2834" i="59"/>
  <c r="G2835" i="59"/>
  <c r="G2836" i="59"/>
  <c r="G2837" i="59"/>
  <c r="G2838" i="59"/>
  <c r="G2839" i="59"/>
  <c r="G2840" i="59"/>
  <c r="G2841" i="59"/>
  <c r="H2841" i="59"/>
  <c r="G2842" i="59"/>
  <c r="G2843" i="59"/>
  <c r="G2844" i="59"/>
  <c r="G2845" i="59"/>
  <c r="G2846" i="59"/>
  <c r="G2847" i="59"/>
  <c r="G2848" i="59"/>
  <c r="G2849" i="59"/>
  <c r="G2850" i="59"/>
  <c r="G2851" i="59"/>
  <c r="G2852" i="59"/>
  <c r="G2853" i="59"/>
  <c r="G2854" i="59"/>
  <c r="G2855" i="59"/>
  <c r="G2856" i="59"/>
  <c r="G2857" i="59"/>
  <c r="G2858" i="59"/>
  <c r="G2859" i="59"/>
  <c r="G2860" i="59"/>
  <c r="G2861" i="59"/>
  <c r="G2862" i="59"/>
  <c r="G2863" i="59"/>
  <c r="G2864" i="59"/>
  <c r="G2865" i="59"/>
  <c r="G2866" i="59"/>
  <c r="G2867" i="59"/>
  <c r="G2868" i="59"/>
  <c r="G2869" i="59"/>
  <c r="G2870" i="59"/>
  <c r="G2871" i="59"/>
  <c r="G2872" i="59"/>
  <c r="G2873" i="59"/>
  <c r="G2874" i="59"/>
  <c r="G2875" i="59"/>
  <c r="G2876" i="59"/>
  <c r="G2877" i="59"/>
  <c r="G2878" i="59"/>
  <c r="G2879" i="59"/>
  <c r="G2880" i="59"/>
  <c r="G2881" i="59"/>
  <c r="G2882" i="59"/>
  <c r="G2883" i="59"/>
  <c r="G2884" i="59"/>
  <c r="G2885" i="59"/>
  <c r="G2886" i="59"/>
  <c r="G2887" i="59"/>
  <c r="G2888" i="59"/>
  <c r="G2889" i="59"/>
  <c r="G2890" i="59"/>
  <c r="G2891" i="59"/>
  <c r="G2892" i="59"/>
  <c r="G2893" i="59"/>
  <c r="G2894" i="59"/>
  <c r="G2895" i="59"/>
  <c r="G2896" i="59"/>
  <c r="G2897" i="59"/>
  <c r="G2898" i="59"/>
  <c r="G2899" i="59"/>
  <c r="G2900" i="59"/>
  <c r="G2901" i="59"/>
  <c r="G2902" i="59"/>
  <c r="G2903" i="59"/>
  <c r="G2904" i="59"/>
  <c r="G2905" i="59"/>
  <c r="G2906" i="59"/>
  <c r="G2907" i="59"/>
  <c r="G2908" i="59"/>
  <c r="G2909" i="59"/>
  <c r="G2910" i="59"/>
  <c r="G2911" i="59"/>
  <c r="G2912" i="59"/>
  <c r="G2913" i="59"/>
  <c r="G2914" i="59"/>
  <c r="G2915" i="59"/>
  <c r="G2916" i="59"/>
  <c r="G2917" i="59"/>
  <c r="G2918" i="59"/>
  <c r="G2919" i="59"/>
  <c r="G2920" i="59"/>
  <c r="G2921" i="59"/>
  <c r="G2922" i="59"/>
  <c r="G2923" i="59"/>
  <c r="G2924" i="59"/>
  <c r="G2925" i="59"/>
  <c r="G2926" i="59"/>
  <c r="G2927" i="59"/>
  <c r="G2928" i="59"/>
  <c r="G2929" i="59"/>
  <c r="G2930" i="59"/>
  <c r="G2931" i="59"/>
  <c r="G2932" i="59"/>
  <c r="H2932" i="59"/>
  <c r="J2932" i="59" s="1"/>
  <c r="G2933" i="59"/>
  <c r="G2934" i="59"/>
  <c r="G2935" i="59"/>
  <c r="G2936" i="59"/>
  <c r="G2937" i="59"/>
  <c r="G2938" i="59"/>
  <c r="G2939" i="59"/>
  <c r="G2940" i="59"/>
  <c r="G2941" i="59"/>
  <c r="G2942" i="59"/>
  <c r="G2943" i="59"/>
  <c r="G2944" i="59"/>
  <c r="G2945" i="59"/>
  <c r="H2945" i="59"/>
  <c r="G2946" i="59"/>
  <c r="G2947" i="59"/>
  <c r="G2948" i="59"/>
  <c r="G2949" i="59"/>
  <c r="G2950" i="59"/>
  <c r="G2951" i="59"/>
  <c r="G2952" i="59"/>
  <c r="G2953" i="59"/>
  <c r="G2954" i="59"/>
  <c r="G2955" i="59"/>
  <c r="G2956" i="59"/>
  <c r="G2957" i="59"/>
  <c r="G2958" i="59"/>
  <c r="G2959" i="59"/>
  <c r="H2959" i="59"/>
  <c r="L2959" i="59" s="1"/>
  <c r="G2960" i="59"/>
  <c r="H2960" i="59"/>
  <c r="K2960" i="59" s="1"/>
  <c r="G2961" i="59"/>
  <c r="H2961" i="59"/>
  <c r="L2961" i="59" s="1"/>
  <c r="G2962" i="59"/>
  <c r="H2962" i="59"/>
  <c r="K2962" i="59" s="1"/>
  <c r="G2963" i="59"/>
  <c r="H2963" i="59"/>
  <c r="J2963" i="59" s="1"/>
  <c r="G2964" i="59"/>
  <c r="H2964" i="59"/>
  <c r="I2964" i="59" s="1"/>
  <c r="G2965" i="59"/>
  <c r="H2965" i="59"/>
  <c r="J2965" i="59" s="1"/>
  <c r="G2966" i="59"/>
  <c r="H2966" i="59"/>
  <c r="I2966" i="59" s="1"/>
  <c r="G2967" i="59"/>
  <c r="H2967" i="59"/>
  <c r="J2967" i="59" s="1"/>
  <c r="G2968" i="59"/>
  <c r="H2968" i="59"/>
  <c r="I2968" i="59" s="1"/>
  <c r="G2969" i="59"/>
  <c r="H2969" i="59"/>
  <c r="J2969" i="59" s="1"/>
  <c r="G2970" i="59"/>
  <c r="H2970" i="59"/>
  <c r="I2970" i="59" s="1"/>
  <c r="G2971" i="59"/>
  <c r="H2971" i="59"/>
  <c r="K2971" i="59" s="1"/>
  <c r="G2972" i="59"/>
  <c r="H2972" i="59"/>
  <c r="L2972" i="59" s="1"/>
  <c r="G2973" i="59"/>
  <c r="H2973" i="59"/>
  <c r="K2973" i="59" s="1"/>
  <c r="G2974" i="59"/>
  <c r="H2974" i="59"/>
  <c r="I2974" i="59" s="1"/>
  <c r="G2975" i="59"/>
  <c r="H2975" i="59"/>
  <c r="I2975" i="59" s="1"/>
  <c r="G2976" i="59"/>
  <c r="H2976" i="59"/>
  <c r="J2976" i="59" s="1"/>
  <c r="G2977" i="59"/>
  <c r="H2977" i="59"/>
  <c r="J2977" i="59" s="1"/>
  <c r="G2978" i="59"/>
  <c r="H2978" i="59"/>
  <c r="I2978" i="59" s="1"/>
  <c r="G2979" i="59"/>
  <c r="H2979" i="59"/>
  <c r="I2979" i="59" s="1"/>
  <c r="G2980" i="59"/>
  <c r="H2980" i="59"/>
  <c r="I2980" i="59" s="1"/>
  <c r="G2981" i="59"/>
  <c r="H2981" i="59"/>
  <c r="I2981" i="59" s="1"/>
  <c r="G2982" i="59"/>
  <c r="H2982" i="59"/>
  <c r="K2982" i="59" s="1"/>
  <c r="G2983" i="59"/>
  <c r="H2983" i="59"/>
  <c r="L2983" i="59" s="1"/>
  <c r="G2984" i="59"/>
  <c r="H2984" i="59"/>
  <c r="J2984" i="59" s="1"/>
  <c r="G2985" i="59"/>
  <c r="H2985" i="59"/>
  <c r="L2985" i="59" s="1"/>
  <c r="G2986" i="59"/>
  <c r="H2986" i="59"/>
  <c r="I2986" i="59" s="1"/>
  <c r="G2987" i="59"/>
  <c r="H2987" i="59"/>
  <c r="J2987" i="59" s="1"/>
  <c r="G2988" i="59"/>
  <c r="H2988" i="59"/>
  <c r="J2988" i="59" s="1"/>
  <c r="G2989" i="59"/>
  <c r="H2989" i="59"/>
  <c r="I2989" i="59" s="1"/>
  <c r="G2990" i="59"/>
  <c r="H2990" i="59"/>
  <c r="I2990" i="59" s="1"/>
  <c r="G2991" i="59"/>
  <c r="H2991" i="59"/>
  <c r="I2991" i="59" s="1"/>
  <c r="G2992" i="59"/>
  <c r="H2992" i="59"/>
  <c r="I2992" i="59" s="1"/>
  <c r="G2993" i="59"/>
  <c r="H2993" i="59"/>
  <c r="K2993" i="59" s="1"/>
  <c r="G2994" i="59"/>
  <c r="H2994" i="59"/>
  <c r="L2994" i="59" s="1"/>
  <c r="G2995" i="59"/>
  <c r="H2995" i="59"/>
  <c r="L2995" i="59" s="1"/>
  <c r="G2996" i="59"/>
  <c r="H2996" i="59"/>
  <c r="I2996" i="59" s="1"/>
  <c r="G2997" i="59"/>
  <c r="H2997" i="59"/>
  <c r="I2997" i="59" s="1"/>
  <c r="G2998" i="59"/>
  <c r="H2998" i="59"/>
  <c r="J2998" i="59" s="1"/>
  <c r="G2999" i="59"/>
  <c r="H2999" i="59"/>
  <c r="K2999" i="59" s="1"/>
  <c r="G3000" i="59"/>
  <c r="H3000" i="59"/>
  <c r="I3000" i="59" s="1"/>
  <c r="G3001" i="59"/>
  <c r="H3001" i="59"/>
  <c r="I3001" i="59" s="1"/>
  <c r="G3002" i="59"/>
  <c r="H3002" i="59"/>
  <c r="J3002" i="59" s="1"/>
  <c r="G3003" i="59"/>
  <c r="H3003" i="59"/>
  <c r="I3003" i="59" s="1"/>
  <c r="G3004" i="59"/>
  <c r="H3004" i="59"/>
  <c r="K3004" i="59" s="1"/>
  <c r="G3005" i="59"/>
  <c r="H3005" i="59"/>
  <c r="L3005" i="59" s="1"/>
  <c r="G3006" i="59"/>
  <c r="H3006" i="59"/>
  <c r="K3006" i="59" s="1"/>
  <c r="G3007" i="59"/>
  <c r="H3007" i="59"/>
  <c r="J3007" i="59" s="1"/>
  <c r="G3008" i="59"/>
  <c r="H3008" i="59"/>
  <c r="I3008" i="59" s="1"/>
  <c r="G3009" i="59"/>
  <c r="H3009" i="59"/>
  <c r="J3009" i="59" s="1"/>
  <c r="G3010" i="59"/>
  <c r="H3010" i="59"/>
  <c r="K3010" i="59" s="1"/>
  <c r="G3011" i="59"/>
  <c r="H3011" i="59"/>
  <c r="I3011" i="59" s="1"/>
  <c r="G3012" i="59"/>
  <c r="H3012" i="59"/>
  <c r="I3012" i="59" s="1"/>
  <c r="G3013" i="59"/>
  <c r="H3013" i="59"/>
  <c r="J3013" i="59" s="1"/>
  <c r="G3014" i="59"/>
  <c r="H3014" i="59"/>
  <c r="J3014" i="59" s="1"/>
  <c r="G3015" i="59"/>
  <c r="H3015" i="59"/>
  <c r="K3015" i="59" s="1"/>
  <c r="G3016" i="59"/>
  <c r="H3016" i="59"/>
  <c r="J3016" i="59" s="1"/>
  <c r="G3017" i="59"/>
  <c r="H3017" i="59"/>
  <c r="I3017" i="59" s="1"/>
  <c r="G3018" i="59"/>
  <c r="H3018" i="59"/>
  <c r="J3018" i="59" s="1"/>
  <c r="G3019" i="59"/>
  <c r="H3019" i="59"/>
  <c r="I3019" i="59" s="1"/>
  <c r="G3020" i="59"/>
  <c r="H3020" i="59"/>
  <c r="J3020" i="59" s="1"/>
  <c r="G3021" i="59"/>
  <c r="H3021" i="59"/>
  <c r="I3021" i="59" s="1"/>
  <c r="G3022" i="59"/>
  <c r="H3022" i="59"/>
  <c r="K3022" i="59" s="1"/>
  <c r="G3023" i="59"/>
  <c r="H3023" i="59"/>
  <c r="I3023" i="59" s="1"/>
  <c r="G3024" i="59"/>
  <c r="H3024" i="59"/>
  <c r="J3024" i="59" s="1"/>
  <c r="G3025" i="59"/>
  <c r="H3025" i="59"/>
  <c r="K3025" i="59" s="1"/>
  <c r="G3026" i="59"/>
  <c r="H3026" i="59"/>
  <c r="K3026" i="59" s="1"/>
  <c r="G3027" i="59"/>
  <c r="H3027" i="59"/>
  <c r="J3027" i="59" s="1"/>
  <c r="G3028" i="59"/>
  <c r="H3028" i="59"/>
  <c r="I3028" i="59" s="1"/>
  <c r="G3029" i="59"/>
  <c r="H3029" i="59"/>
  <c r="I3029" i="59" s="1"/>
  <c r="G3030" i="59"/>
  <c r="H3030" i="59"/>
  <c r="I3030" i="59" s="1"/>
  <c r="G3031" i="59"/>
  <c r="H3031" i="59"/>
  <c r="J3031" i="59" s="1"/>
  <c r="G3032" i="59"/>
  <c r="H3032" i="59"/>
  <c r="I3032" i="59" s="1"/>
  <c r="G3033" i="59"/>
  <c r="H3033" i="59"/>
  <c r="L3033" i="59" s="1"/>
  <c r="G3034" i="59"/>
  <c r="H3034" i="59"/>
  <c r="I3034" i="59" s="1"/>
  <c r="G3035" i="59"/>
  <c r="H3035" i="59"/>
  <c r="I3035" i="59" s="1"/>
  <c r="G3036" i="59"/>
  <c r="H3036" i="59"/>
  <c r="K3036" i="59" s="1"/>
  <c r="G3037" i="59"/>
  <c r="H3037" i="59"/>
  <c r="K3037" i="59" s="1"/>
  <c r="G3038" i="59"/>
  <c r="H3038" i="59"/>
  <c r="J3038" i="59" s="1"/>
  <c r="G3039" i="59"/>
  <c r="H3039" i="59"/>
  <c r="I3039" i="59" s="1"/>
  <c r="G3040" i="59"/>
  <c r="H3040" i="59"/>
  <c r="I3040" i="59" s="1"/>
  <c r="G3041" i="59"/>
  <c r="H3041" i="59"/>
  <c r="I3041" i="59" s="1"/>
  <c r="G3042" i="59"/>
  <c r="H3042" i="59"/>
  <c r="J3042" i="59" s="1"/>
  <c r="G3043" i="59"/>
  <c r="H3043" i="59"/>
  <c r="I3043" i="59" s="1"/>
  <c r="G3044" i="59"/>
  <c r="H3044" i="59"/>
  <c r="I3044" i="59" s="1"/>
  <c r="G3045" i="59"/>
  <c r="H3045" i="59"/>
  <c r="I3045" i="59" s="1"/>
  <c r="G3046" i="59"/>
  <c r="H3046" i="59"/>
  <c r="I3046" i="59" s="1"/>
  <c r="G3047" i="59"/>
  <c r="H3047" i="59"/>
  <c r="I3047" i="59" s="1"/>
  <c r="G3048" i="59"/>
  <c r="H3048" i="59"/>
  <c r="K3048" i="59" s="1"/>
  <c r="G3049" i="59"/>
  <c r="H3049" i="59"/>
  <c r="J3049" i="59" s="1"/>
  <c r="G3050" i="59"/>
  <c r="H3050" i="59"/>
  <c r="I3050" i="59" s="1"/>
  <c r="G3051" i="59"/>
  <c r="H3051" i="59"/>
  <c r="L3051" i="59" s="1"/>
  <c r="G3052" i="59"/>
  <c r="H3052" i="59"/>
  <c r="I3052" i="59" s="1"/>
  <c r="G3053" i="59"/>
  <c r="H3053" i="59"/>
  <c r="J3053" i="59" s="1"/>
  <c r="G3054" i="59"/>
  <c r="H3054" i="59"/>
  <c r="I3054" i="59" s="1"/>
  <c r="G3055" i="59"/>
  <c r="H3055" i="59"/>
  <c r="I3055" i="59" s="1"/>
  <c r="G3056" i="59"/>
  <c r="H3056" i="59"/>
  <c r="I3056" i="59" s="1"/>
  <c r="G3057" i="59"/>
  <c r="H3057" i="59"/>
  <c r="I3057" i="59" s="1"/>
  <c r="G3058" i="59"/>
  <c r="H3058" i="59"/>
  <c r="L3058" i="59" s="1"/>
  <c r="G3059" i="59"/>
  <c r="H3059" i="59"/>
  <c r="K3059" i="59" s="1"/>
  <c r="G3060" i="59"/>
  <c r="H3060" i="59"/>
  <c r="J3060" i="59" s="1"/>
  <c r="G3061" i="59"/>
  <c r="H3061" i="59"/>
  <c r="J3061" i="59" s="1"/>
  <c r="G3062" i="59"/>
  <c r="H3062" i="59"/>
  <c r="I3062" i="59" s="1"/>
  <c r="G3063" i="59"/>
  <c r="H3063" i="59"/>
  <c r="I3063" i="59" s="1"/>
  <c r="G3064" i="59"/>
  <c r="H3064" i="59"/>
  <c r="J3064" i="59" s="1"/>
  <c r="G3065" i="59"/>
  <c r="H3065" i="59"/>
  <c r="I3065" i="59" s="1"/>
  <c r="G3066" i="59"/>
  <c r="H3066" i="59"/>
  <c r="L3066" i="59" s="1"/>
  <c r="G3067" i="59"/>
  <c r="H3067" i="59"/>
  <c r="I3067" i="59" s="1"/>
  <c r="G3068" i="59"/>
  <c r="H3068" i="59"/>
  <c r="I3068" i="59" s="1"/>
  <c r="G3069" i="59"/>
  <c r="H3069" i="59"/>
  <c r="I3069" i="59" s="1"/>
  <c r="G3070" i="59"/>
  <c r="H3070" i="59"/>
  <c r="K3070" i="59" s="1"/>
  <c r="G3071" i="59"/>
  <c r="H3071" i="59"/>
  <c r="J3071" i="59" s="1"/>
  <c r="G3072" i="59"/>
  <c r="H3072" i="59"/>
  <c r="I3072" i="59" s="1"/>
  <c r="G3073" i="59"/>
  <c r="H3073" i="59"/>
  <c r="J3073" i="59" s="1"/>
  <c r="G3074" i="59"/>
  <c r="H3074" i="59"/>
  <c r="I3074" i="59" s="1"/>
  <c r="G3075" i="59"/>
  <c r="H3075" i="59"/>
  <c r="J3075" i="59" s="1"/>
  <c r="G3076" i="59"/>
  <c r="H3076" i="59"/>
  <c r="J3076" i="59" s="1"/>
  <c r="G3077" i="59"/>
  <c r="H3077" i="59"/>
  <c r="L3077" i="59" s="1"/>
  <c r="G3078" i="59"/>
  <c r="H3078" i="59"/>
  <c r="I3078" i="59" s="1"/>
  <c r="G3079" i="59"/>
  <c r="H3079" i="59"/>
  <c r="I3079" i="59" s="1"/>
  <c r="G3080" i="59"/>
  <c r="H3080" i="59"/>
  <c r="I3080" i="59" s="1"/>
  <c r="G3081" i="59"/>
  <c r="H3081" i="59"/>
  <c r="K3081" i="59" s="1"/>
  <c r="G3082" i="59"/>
  <c r="H3082" i="59"/>
  <c r="J3082" i="59" s="1"/>
  <c r="G3083" i="59"/>
  <c r="H3083" i="59"/>
  <c r="K3083" i="59" s="1"/>
  <c r="G3084" i="59"/>
  <c r="H3084" i="59"/>
  <c r="I3084" i="59" s="1"/>
  <c r="G3085" i="59"/>
  <c r="H3085" i="59"/>
  <c r="I3085" i="59" s="1"/>
  <c r="G3086" i="59"/>
  <c r="H3086" i="59"/>
  <c r="J3086" i="59" s="1"/>
  <c r="G3087" i="59"/>
  <c r="H3087" i="59"/>
  <c r="L3087" i="59" s="1"/>
  <c r="G3088" i="59"/>
  <c r="H3088" i="59"/>
  <c r="J3088" i="59" s="1"/>
  <c r="G3089" i="59"/>
  <c r="H3089" i="59"/>
  <c r="I3089" i="59" s="1"/>
  <c r="G3090" i="59"/>
  <c r="H3090" i="59"/>
  <c r="I3090" i="59" s="1"/>
  <c r="G3091" i="59"/>
  <c r="H3091" i="59"/>
  <c r="I3091" i="59" s="1"/>
  <c r="G3092" i="59"/>
  <c r="H3092" i="59"/>
  <c r="K3092" i="59" s="1"/>
  <c r="G3093" i="59"/>
  <c r="H3093" i="59"/>
  <c r="J3093" i="59" s="1"/>
  <c r="G3094" i="59"/>
  <c r="H3094" i="59"/>
  <c r="J3094" i="59" s="1"/>
  <c r="G3095" i="59"/>
  <c r="H3095" i="59"/>
  <c r="I3095" i="59" s="1"/>
  <c r="G3096" i="59"/>
  <c r="H3096" i="59"/>
  <c r="I3096" i="59" s="1"/>
  <c r="G3097" i="59"/>
  <c r="H3097" i="59"/>
  <c r="J3097" i="59" s="1"/>
  <c r="G3098" i="59"/>
  <c r="H3098" i="59"/>
  <c r="K3098" i="59" s="1"/>
  <c r="G3099" i="59"/>
  <c r="H3099" i="59"/>
  <c r="I3099" i="59" s="1"/>
  <c r="H2691" i="59"/>
  <c r="G2691" i="59"/>
  <c r="G2612" i="59"/>
  <c r="H2612" i="59"/>
  <c r="G2613" i="59"/>
  <c r="H2613" i="59"/>
  <c r="I2613" i="59" s="1"/>
  <c r="G2614" i="59"/>
  <c r="H2614" i="59"/>
  <c r="I2614" i="59" s="1"/>
  <c r="G2615" i="59"/>
  <c r="G2616" i="59"/>
  <c r="G2617" i="59"/>
  <c r="G2618" i="59"/>
  <c r="G2619" i="59"/>
  <c r="G2620" i="59"/>
  <c r="G2621" i="59"/>
  <c r="H2621" i="59"/>
  <c r="J2621" i="59" s="1"/>
  <c r="G2622" i="59"/>
  <c r="G2623" i="59"/>
  <c r="G2624" i="59"/>
  <c r="G2625" i="59"/>
  <c r="G2626" i="59"/>
  <c r="G2627" i="59"/>
  <c r="G2628" i="59"/>
  <c r="G2629" i="59"/>
  <c r="G2630" i="59"/>
  <c r="G2631" i="59"/>
  <c r="G2632" i="59"/>
  <c r="G2633" i="59"/>
  <c r="G2634" i="59"/>
  <c r="G2635" i="59"/>
  <c r="G2636" i="59"/>
  <c r="G2637" i="59"/>
  <c r="G2638" i="59"/>
  <c r="G2639" i="59"/>
  <c r="G2640" i="59"/>
  <c r="G2641" i="59"/>
  <c r="G2642" i="59"/>
  <c r="G2643" i="59"/>
  <c r="G2644" i="59"/>
  <c r="G2645" i="59"/>
  <c r="G2646" i="59"/>
  <c r="G2647" i="59"/>
  <c r="G2648" i="59"/>
  <c r="G2649" i="59"/>
  <c r="G2650" i="59"/>
  <c r="G2651" i="59"/>
  <c r="G2652" i="59"/>
  <c r="G2653" i="59"/>
  <c r="G2654" i="59"/>
  <c r="G2655" i="59"/>
  <c r="G2656" i="59"/>
  <c r="G2657" i="59"/>
  <c r="G2658" i="59"/>
  <c r="G2659" i="59"/>
  <c r="G2660" i="59"/>
  <c r="G2661" i="59"/>
  <c r="G2662" i="59"/>
  <c r="G2663" i="59"/>
  <c r="G2664" i="59"/>
  <c r="G2665" i="59"/>
  <c r="G2666" i="59"/>
  <c r="G2667" i="59"/>
  <c r="G2668" i="59"/>
  <c r="G2669" i="59"/>
  <c r="G2670" i="59"/>
  <c r="G2671" i="59"/>
  <c r="G2672" i="59"/>
  <c r="G2673" i="59"/>
  <c r="G2674" i="59"/>
  <c r="G2675" i="59"/>
  <c r="G2676" i="59"/>
  <c r="G2677" i="59"/>
  <c r="G2678" i="59"/>
  <c r="G2679" i="59"/>
  <c r="G2680" i="59"/>
  <c r="G2681" i="59"/>
  <c r="G2682" i="59"/>
  <c r="G2683" i="59"/>
  <c r="G2684" i="59"/>
  <c r="G2685" i="59"/>
  <c r="G2686" i="59"/>
  <c r="G2687" i="59"/>
  <c r="G2688" i="59"/>
  <c r="G2689" i="59"/>
  <c r="G2690" i="59"/>
  <c r="G2692" i="59"/>
  <c r="G2429" i="59"/>
  <c r="G2430" i="59"/>
  <c r="G2431" i="59"/>
  <c r="G2432" i="59"/>
  <c r="G2433" i="59"/>
  <c r="G2434" i="59"/>
  <c r="G2435" i="59"/>
  <c r="G2436" i="59"/>
  <c r="G2437" i="59"/>
  <c r="G2438" i="59"/>
  <c r="G2439" i="59"/>
  <c r="G2440" i="59"/>
  <c r="G2441" i="59"/>
  <c r="G2442" i="59"/>
  <c r="G2443" i="59"/>
  <c r="G2444" i="59"/>
  <c r="G2445" i="59"/>
  <c r="G2446" i="59"/>
  <c r="G2447" i="59"/>
  <c r="H2447" i="59"/>
  <c r="G2448" i="59"/>
  <c r="G2449" i="59"/>
  <c r="G2450" i="59"/>
  <c r="G2451" i="59"/>
  <c r="G2452" i="59"/>
  <c r="G2453" i="59"/>
  <c r="G2454" i="59"/>
  <c r="G2455" i="59"/>
  <c r="G2456" i="59"/>
  <c r="G2457" i="59"/>
  <c r="G2458" i="59"/>
  <c r="G2459" i="59"/>
  <c r="G2460" i="59"/>
  <c r="G2461" i="59"/>
  <c r="G2462" i="59"/>
  <c r="G2463" i="59"/>
  <c r="G2464" i="59"/>
  <c r="G2465" i="59"/>
  <c r="G2466" i="59"/>
  <c r="G2467" i="59"/>
  <c r="G2468" i="59"/>
  <c r="G2469" i="59"/>
  <c r="G2470" i="59"/>
  <c r="G2471" i="59"/>
  <c r="G2472" i="59"/>
  <c r="G2473" i="59"/>
  <c r="G2474" i="59"/>
  <c r="G2475" i="59"/>
  <c r="G2476" i="59"/>
  <c r="G2477" i="59"/>
  <c r="G2478" i="59"/>
  <c r="G2479" i="59"/>
  <c r="G2480" i="59"/>
  <c r="G2481" i="59"/>
  <c r="G2482" i="59"/>
  <c r="G2483" i="59"/>
  <c r="G2484" i="59"/>
  <c r="G2485" i="59"/>
  <c r="G2486" i="59"/>
  <c r="G2487" i="59"/>
  <c r="G2488" i="59"/>
  <c r="G2489" i="59"/>
  <c r="G2490" i="59"/>
  <c r="G2491" i="59"/>
  <c r="G2492" i="59"/>
  <c r="G2493" i="59"/>
  <c r="G2494" i="59"/>
  <c r="G2495" i="59"/>
  <c r="G2496" i="59"/>
  <c r="G2497" i="59"/>
  <c r="G2498" i="59"/>
  <c r="G2499" i="59"/>
  <c r="G2500" i="59"/>
  <c r="G2501" i="59"/>
  <c r="G2502" i="59"/>
  <c r="G2503" i="59"/>
  <c r="G2504" i="59"/>
  <c r="G2505" i="59"/>
  <c r="G2506" i="59"/>
  <c r="G2507" i="59"/>
  <c r="G2508" i="59"/>
  <c r="G2509" i="59"/>
  <c r="G2510" i="59"/>
  <c r="G2511" i="59"/>
  <c r="G2512" i="59"/>
  <c r="G2513" i="59"/>
  <c r="G2514" i="59"/>
  <c r="G2515" i="59"/>
  <c r="G2516" i="59"/>
  <c r="H2516" i="59"/>
  <c r="J2516" i="59" s="1"/>
  <c r="G2517" i="59"/>
  <c r="G2518" i="59"/>
  <c r="G2519" i="59"/>
  <c r="G2520" i="59"/>
  <c r="G2521" i="59"/>
  <c r="G2522" i="59"/>
  <c r="G2523" i="59"/>
  <c r="G2524" i="59"/>
  <c r="G2525" i="59"/>
  <c r="G2526" i="59"/>
  <c r="G2527" i="59"/>
  <c r="G2528" i="59"/>
  <c r="G2529" i="59"/>
  <c r="G2530" i="59"/>
  <c r="G2531" i="59"/>
  <c r="G2532" i="59"/>
  <c r="G2533" i="59"/>
  <c r="G2534" i="59"/>
  <c r="G2535" i="59"/>
  <c r="G2536" i="59"/>
  <c r="G2537" i="59"/>
  <c r="G2538" i="59"/>
  <c r="G2539" i="59"/>
  <c r="G2540" i="59"/>
  <c r="G2541" i="59"/>
  <c r="G2542" i="59"/>
  <c r="G2543" i="59"/>
  <c r="G2544" i="59"/>
  <c r="G2545" i="59"/>
  <c r="G2546" i="59"/>
  <c r="G2547" i="59"/>
  <c r="G2548" i="59"/>
  <c r="G2549" i="59"/>
  <c r="G2550" i="59"/>
  <c r="G2551" i="59"/>
  <c r="G2552" i="59"/>
  <c r="G2553" i="59"/>
  <c r="G2554" i="59"/>
  <c r="G2555" i="59"/>
  <c r="G2556" i="59"/>
  <c r="G2557" i="59"/>
  <c r="G2558" i="59"/>
  <c r="G2559" i="59"/>
  <c r="G2560" i="59"/>
  <c r="G2561" i="59"/>
  <c r="G2562" i="59"/>
  <c r="G2563" i="59"/>
  <c r="G2564" i="59"/>
  <c r="G2565" i="59"/>
  <c r="G2566" i="59"/>
  <c r="G2567" i="59"/>
  <c r="G2568" i="59"/>
  <c r="G2569" i="59"/>
  <c r="G2570" i="59"/>
  <c r="G2571" i="59"/>
  <c r="G2572" i="59"/>
  <c r="G2573" i="59"/>
  <c r="G2574" i="59"/>
  <c r="G2575" i="59"/>
  <c r="G2576" i="59"/>
  <c r="G2577" i="59"/>
  <c r="G2578" i="59"/>
  <c r="G2579" i="59"/>
  <c r="G2580" i="59"/>
  <c r="G2581" i="59"/>
  <c r="G2582" i="59"/>
  <c r="G2583" i="59"/>
  <c r="H2583" i="59"/>
  <c r="G2584" i="59"/>
  <c r="G2585" i="59"/>
  <c r="G2586" i="59"/>
  <c r="H2586" i="59"/>
  <c r="G2587" i="59"/>
  <c r="G2588" i="59"/>
  <c r="G2589" i="59"/>
  <c r="G2590" i="59"/>
  <c r="G2591" i="59"/>
  <c r="G2592" i="59"/>
  <c r="G2593" i="59"/>
  <c r="G2594" i="59"/>
  <c r="G2595" i="59"/>
  <c r="G2596" i="59"/>
  <c r="G2597" i="59"/>
  <c r="G2598" i="59"/>
  <c r="G2599" i="59"/>
  <c r="G2600" i="59"/>
  <c r="G2601" i="59"/>
  <c r="G2602" i="59"/>
  <c r="G2603" i="59"/>
  <c r="G2604" i="59"/>
  <c r="G2605" i="59"/>
  <c r="G2606" i="59"/>
  <c r="G2607" i="59"/>
  <c r="G2608" i="59"/>
  <c r="G2609" i="59"/>
  <c r="G2610" i="59"/>
  <c r="G2611" i="59"/>
  <c r="G2428" i="59"/>
  <c r="G2400" i="59"/>
  <c r="H2400" i="59"/>
  <c r="G2401" i="59"/>
  <c r="H2401" i="59"/>
  <c r="I2401" i="59" s="1"/>
  <c r="G2402" i="59"/>
  <c r="H2402" i="59"/>
  <c r="G2403" i="59"/>
  <c r="H2403" i="59"/>
  <c r="I2403" i="59" s="1"/>
  <c r="G2404" i="59"/>
  <c r="H2404" i="59"/>
  <c r="G2405" i="59"/>
  <c r="H2405" i="59"/>
  <c r="I2405" i="59" s="1"/>
  <c r="G2406" i="59"/>
  <c r="H2406" i="59"/>
  <c r="G2407" i="59"/>
  <c r="G2408" i="59"/>
  <c r="G2409" i="59"/>
  <c r="G2410" i="59"/>
  <c r="G2411" i="59"/>
  <c r="G2412" i="59"/>
  <c r="H2412" i="59"/>
  <c r="G2413" i="59"/>
  <c r="G2414" i="59"/>
  <c r="G2415" i="59"/>
  <c r="G2416" i="59"/>
  <c r="G2417" i="59"/>
  <c r="G2418" i="59"/>
  <c r="G2419" i="59"/>
  <c r="G2420" i="59"/>
  <c r="G2421" i="59"/>
  <c r="G2422" i="59"/>
  <c r="G2423" i="59"/>
  <c r="G2424" i="59"/>
  <c r="G2425" i="59"/>
  <c r="G2426" i="59"/>
  <c r="G2427" i="59"/>
  <c r="G1608" i="59"/>
  <c r="G1609" i="59"/>
  <c r="G1610" i="59"/>
  <c r="G1611" i="59"/>
  <c r="G1612" i="59"/>
  <c r="G1491" i="59"/>
  <c r="G1456" i="59"/>
  <c r="G1457" i="59"/>
  <c r="G1458" i="59"/>
  <c r="G1459" i="59"/>
  <c r="G1417" i="59"/>
  <c r="G1005" i="59"/>
  <c r="H1005" i="59"/>
  <c r="J1005" i="59" s="1"/>
  <c r="G1006" i="59"/>
  <c r="H1006" i="59"/>
  <c r="G1007" i="59"/>
  <c r="H1007" i="59"/>
  <c r="J1007" i="59" s="1"/>
  <c r="G1008" i="59"/>
  <c r="H1008" i="59"/>
  <c r="J1008" i="59" s="1"/>
  <c r="G1009" i="59"/>
  <c r="H1009" i="59"/>
  <c r="I1009" i="59" s="1"/>
  <c r="G1010" i="59"/>
  <c r="H1010" i="59"/>
  <c r="G1011" i="59"/>
  <c r="H1011" i="59"/>
  <c r="J1011" i="59" s="1"/>
  <c r="G1012" i="59"/>
  <c r="H1012" i="59"/>
  <c r="J1012" i="59" s="1"/>
  <c r="G1013" i="59"/>
  <c r="H1013" i="59"/>
  <c r="G1014" i="59"/>
  <c r="H1014" i="59"/>
  <c r="G1015" i="59"/>
  <c r="H1015" i="59"/>
  <c r="J1015" i="59" s="1"/>
  <c r="G1016" i="59"/>
  <c r="H1016" i="59"/>
  <c r="J1016" i="59" s="1"/>
  <c r="G1017" i="59"/>
  <c r="H1017" i="59"/>
  <c r="J1017" i="59" s="1"/>
  <c r="G1018" i="59"/>
  <c r="H1018" i="59"/>
  <c r="G1019" i="59"/>
  <c r="H1019" i="59"/>
  <c r="J1019" i="59" s="1"/>
  <c r="G1020" i="59"/>
  <c r="H1020" i="59"/>
  <c r="J1020" i="59" s="1"/>
  <c r="G1021" i="59"/>
  <c r="H1021" i="59"/>
  <c r="J1021" i="59" s="1"/>
  <c r="G1022" i="59"/>
  <c r="H1022" i="59"/>
  <c r="I1022" i="59" s="1"/>
  <c r="G1023" i="59"/>
  <c r="H1023" i="59"/>
  <c r="J1023" i="59" s="1"/>
  <c r="G1024" i="59"/>
  <c r="H1024" i="59"/>
  <c r="J1024" i="59" s="1"/>
  <c r="G1025" i="59"/>
  <c r="H1025" i="59"/>
  <c r="J1025" i="59" s="1"/>
  <c r="G1026" i="59"/>
  <c r="H1026" i="59"/>
  <c r="I1026" i="59" s="1"/>
  <c r="G1027" i="59"/>
  <c r="H1027" i="59"/>
  <c r="J1027" i="59" s="1"/>
  <c r="G1028" i="59"/>
  <c r="H1028" i="59"/>
  <c r="J1028" i="59" s="1"/>
  <c r="G1029" i="59"/>
  <c r="H1029" i="59"/>
  <c r="G1030" i="59"/>
  <c r="H1030" i="59"/>
  <c r="G1031" i="59"/>
  <c r="H1031" i="59"/>
  <c r="J1031" i="59" s="1"/>
  <c r="G1032" i="59"/>
  <c r="H1032" i="59"/>
  <c r="J1032" i="59" s="1"/>
  <c r="G1033" i="59"/>
  <c r="H1033" i="59"/>
  <c r="J1033" i="59" s="1"/>
  <c r="G1034" i="59"/>
  <c r="H1034" i="59"/>
  <c r="G1035" i="59"/>
  <c r="H1035" i="59"/>
  <c r="J1035" i="59" s="1"/>
  <c r="G1036" i="59"/>
  <c r="H1036" i="59"/>
  <c r="J1036" i="59" s="1"/>
  <c r="G1037" i="59"/>
  <c r="H1037" i="59"/>
  <c r="J1037" i="59" s="1"/>
  <c r="G1038" i="59"/>
  <c r="H1038" i="59"/>
  <c r="I1038" i="59" s="1"/>
  <c r="G1039" i="59"/>
  <c r="H1039" i="59"/>
  <c r="J1039" i="59" s="1"/>
  <c r="G1040" i="59"/>
  <c r="H1040" i="59"/>
  <c r="J1040" i="59" s="1"/>
  <c r="G1041" i="59"/>
  <c r="H1041" i="59"/>
  <c r="J1041" i="59" s="1"/>
  <c r="G1042" i="59"/>
  <c r="H1042" i="59"/>
  <c r="G1043" i="59"/>
  <c r="H1043" i="59"/>
  <c r="J1043" i="59" s="1"/>
  <c r="G1044" i="59"/>
  <c r="G1045" i="59"/>
  <c r="G1046" i="59"/>
  <c r="G1047" i="59"/>
  <c r="G1048" i="59"/>
  <c r="G1049" i="59"/>
  <c r="G1050" i="59"/>
  <c r="G1051" i="59"/>
  <c r="G1052" i="59"/>
  <c r="G1053" i="59"/>
  <c r="H1053" i="59"/>
  <c r="G1054" i="59"/>
  <c r="G1055" i="59"/>
  <c r="G1056" i="59"/>
  <c r="G1057" i="59"/>
  <c r="G1058" i="59"/>
  <c r="G1059" i="59"/>
  <c r="G1060" i="59"/>
  <c r="G1061" i="59"/>
  <c r="G1062" i="59"/>
  <c r="G1063" i="59"/>
  <c r="G1064" i="59"/>
  <c r="G1065" i="59"/>
  <c r="G1066" i="59"/>
  <c r="G1067" i="59"/>
  <c r="G1068" i="59"/>
  <c r="G1069" i="59"/>
  <c r="G1070" i="59"/>
  <c r="G1071" i="59"/>
  <c r="G1072" i="59"/>
  <c r="G1073" i="59"/>
  <c r="G1074" i="59"/>
  <c r="G1075" i="59"/>
  <c r="G1076" i="59"/>
  <c r="G1077" i="59"/>
  <c r="G1078" i="59"/>
  <c r="G1079" i="59"/>
  <c r="G1080" i="59"/>
  <c r="H1080" i="59"/>
  <c r="G1081" i="59"/>
  <c r="G1082" i="59"/>
  <c r="G1083" i="59"/>
  <c r="G1084" i="59"/>
  <c r="G1085" i="59"/>
  <c r="H1085" i="59"/>
  <c r="G1086" i="59"/>
  <c r="G1087" i="59"/>
  <c r="G1088" i="59"/>
  <c r="H1088" i="59"/>
  <c r="G1089" i="59"/>
  <c r="G1090" i="59"/>
  <c r="G1091" i="59"/>
  <c r="G1092" i="59"/>
  <c r="G1093" i="59"/>
  <c r="G1094" i="59"/>
  <c r="G1095" i="59"/>
  <c r="G1096" i="59"/>
  <c r="G1097" i="59"/>
  <c r="G1098" i="59"/>
  <c r="G1099" i="59"/>
  <c r="G1100" i="59"/>
  <c r="G1101" i="59"/>
  <c r="G1102" i="59"/>
  <c r="H1102" i="59"/>
  <c r="G1103" i="59"/>
  <c r="G1104" i="59"/>
  <c r="G1105" i="59"/>
  <c r="G1106" i="59"/>
  <c r="G1107" i="59"/>
  <c r="G1108" i="59"/>
  <c r="G1109" i="59"/>
  <c r="G1110" i="59"/>
  <c r="G1111" i="59"/>
  <c r="G1112" i="59"/>
  <c r="G1113" i="59"/>
  <c r="G1114" i="59"/>
  <c r="G1115" i="59"/>
  <c r="G1116" i="59"/>
  <c r="G1117" i="59"/>
  <c r="G1118" i="59"/>
  <c r="G1119" i="59"/>
  <c r="G1120" i="59"/>
  <c r="G1121" i="59"/>
  <c r="G1122" i="59"/>
  <c r="G1123" i="59"/>
  <c r="G1124" i="59"/>
  <c r="G1125" i="59"/>
  <c r="G1126" i="59"/>
  <c r="G1127" i="59"/>
  <c r="G1128" i="59"/>
  <c r="G1129" i="59"/>
  <c r="G1130" i="59"/>
  <c r="G1131" i="59"/>
  <c r="G1132" i="59"/>
  <c r="H1132" i="59"/>
  <c r="G1133" i="59"/>
  <c r="G1134" i="59"/>
  <c r="G1135" i="59"/>
  <c r="G1136" i="59"/>
  <c r="G1137" i="59"/>
  <c r="G1138" i="59"/>
  <c r="H1138" i="59"/>
  <c r="G1139" i="59"/>
  <c r="G1140" i="59"/>
  <c r="G1141" i="59"/>
  <c r="G1142" i="59"/>
  <c r="G1143" i="59"/>
  <c r="G1144" i="59"/>
  <c r="G1145" i="59"/>
  <c r="G1146" i="59"/>
  <c r="G1147" i="59"/>
  <c r="G1148" i="59"/>
  <c r="G1149" i="59"/>
  <c r="G1150" i="59"/>
  <c r="G1151" i="59"/>
  <c r="G1152" i="59"/>
  <c r="G1153" i="59"/>
  <c r="G1154" i="59"/>
  <c r="G1155" i="59"/>
  <c r="G1156" i="59"/>
  <c r="G1157" i="59"/>
  <c r="G1158" i="59"/>
  <c r="H1158" i="59"/>
  <c r="G1159" i="59"/>
  <c r="G1160" i="59"/>
  <c r="G1161" i="59"/>
  <c r="G1162" i="59"/>
  <c r="G1163" i="59"/>
  <c r="G1164" i="59"/>
  <c r="H1164" i="59"/>
  <c r="G1165" i="59"/>
  <c r="G1166" i="59"/>
  <c r="G1167" i="59"/>
  <c r="G1168" i="59"/>
  <c r="G1169" i="59"/>
  <c r="G1170" i="59"/>
  <c r="G1171" i="59"/>
  <c r="G1172" i="59"/>
  <c r="G1173" i="59"/>
  <c r="G1174" i="59"/>
  <c r="G1175" i="59"/>
  <c r="G1176" i="59"/>
  <c r="G1177" i="59"/>
  <c r="H1177" i="59"/>
  <c r="G1178" i="59"/>
  <c r="G1179" i="59"/>
  <c r="G1180" i="59"/>
  <c r="G1181" i="59"/>
  <c r="G1182" i="59"/>
  <c r="G1183" i="59"/>
  <c r="G1184" i="59"/>
  <c r="G1185" i="59"/>
  <c r="H1185" i="59"/>
  <c r="G1186" i="59"/>
  <c r="H1186" i="59"/>
  <c r="G1187" i="59"/>
  <c r="G1188" i="59"/>
  <c r="G1189" i="59"/>
  <c r="G1190" i="59"/>
  <c r="G1191" i="59"/>
  <c r="G1192" i="59"/>
  <c r="G1193" i="59"/>
  <c r="G1194" i="59"/>
  <c r="G1195" i="59"/>
  <c r="G1196" i="59"/>
  <c r="G1197" i="59"/>
  <c r="G1198" i="59"/>
  <c r="H1198" i="59"/>
  <c r="G1199" i="59"/>
  <c r="G1200" i="59"/>
  <c r="G1201" i="59"/>
  <c r="G1202" i="59"/>
  <c r="G1203" i="59"/>
  <c r="G1204" i="59"/>
  <c r="G1205" i="59"/>
  <c r="G1206" i="59"/>
  <c r="G1207" i="59"/>
  <c r="G1208" i="59"/>
  <c r="G1209" i="59"/>
  <c r="G1210" i="59"/>
  <c r="G1211" i="59"/>
  <c r="G1212" i="59"/>
  <c r="G1213" i="59"/>
  <c r="G1214" i="59"/>
  <c r="G1215" i="59"/>
  <c r="G1216" i="59"/>
  <c r="G1217" i="59"/>
  <c r="G1218" i="59"/>
  <c r="G1219" i="59"/>
  <c r="G1220" i="59"/>
  <c r="G1221" i="59"/>
  <c r="G1222" i="59"/>
  <c r="G1223" i="59"/>
  <c r="H1223" i="59"/>
  <c r="G1224" i="59"/>
  <c r="G1225" i="59"/>
  <c r="G1226" i="59"/>
  <c r="G1227" i="59"/>
  <c r="G1228" i="59"/>
  <c r="G1229" i="59"/>
  <c r="G1230" i="59"/>
  <c r="G1231" i="59"/>
  <c r="G1232" i="59"/>
  <c r="G1233" i="59"/>
  <c r="G1234" i="59"/>
  <c r="H1234" i="59"/>
  <c r="J1234" i="59" s="1"/>
  <c r="G1235" i="59"/>
  <c r="G1236" i="59"/>
  <c r="G1237" i="59"/>
  <c r="G1238" i="59"/>
  <c r="G1239" i="59"/>
  <c r="H1239" i="59"/>
  <c r="G1240" i="59"/>
  <c r="G1241" i="59"/>
  <c r="G1242" i="59"/>
  <c r="G1243" i="59"/>
  <c r="G1244" i="59"/>
  <c r="G1245" i="59"/>
  <c r="G1246" i="59"/>
  <c r="G1247" i="59"/>
  <c r="G1248" i="59"/>
  <c r="G1249" i="59"/>
  <c r="G1250" i="59"/>
  <c r="G1251" i="59"/>
  <c r="G1252" i="59"/>
  <c r="G1253" i="59"/>
  <c r="G1254" i="59"/>
  <c r="G1255" i="59"/>
  <c r="G1256" i="59"/>
  <c r="G1257" i="59"/>
  <c r="G1258" i="59"/>
  <c r="G1259" i="59"/>
  <c r="G1260" i="59"/>
  <c r="G1261" i="59"/>
  <c r="G1262" i="59"/>
  <c r="G1263" i="59"/>
  <c r="G1264" i="59"/>
  <c r="G1265" i="59"/>
  <c r="G1266" i="59"/>
  <c r="G1267" i="59"/>
  <c r="H1267" i="59"/>
  <c r="G1268" i="59"/>
  <c r="H1268" i="59"/>
  <c r="G1269" i="59"/>
  <c r="H1269" i="59"/>
  <c r="I1269" i="59" s="1"/>
  <c r="G1270" i="59"/>
  <c r="H1270" i="59"/>
  <c r="G1271" i="59"/>
  <c r="H1271" i="59"/>
  <c r="G1272" i="59"/>
  <c r="H1272" i="59"/>
  <c r="G1273" i="59"/>
  <c r="H1273" i="59"/>
  <c r="I1273" i="59" s="1"/>
  <c r="G1274" i="59"/>
  <c r="H1274" i="59"/>
  <c r="G1275" i="59"/>
  <c r="H1275" i="59"/>
  <c r="J1275" i="59" s="1"/>
  <c r="G1276" i="59"/>
  <c r="H1276" i="59"/>
  <c r="G1277" i="59"/>
  <c r="H1277" i="59"/>
  <c r="G1278" i="59"/>
  <c r="H1278" i="59"/>
  <c r="G1279" i="59"/>
  <c r="H1279" i="59"/>
  <c r="G1280" i="59"/>
  <c r="H1280" i="59"/>
  <c r="G1281" i="59"/>
  <c r="H1281" i="59"/>
  <c r="G1282" i="59"/>
  <c r="G1283" i="59"/>
  <c r="G1284" i="59"/>
  <c r="G1285" i="59"/>
  <c r="G1286" i="59"/>
  <c r="G1287" i="59"/>
  <c r="G1288" i="59"/>
  <c r="G1289" i="59"/>
  <c r="G1290" i="59"/>
  <c r="G1291" i="59"/>
  <c r="G1292" i="59"/>
  <c r="G1293" i="59"/>
  <c r="G1294" i="59"/>
  <c r="G1295" i="59"/>
  <c r="G1296" i="59"/>
  <c r="G1297" i="59"/>
  <c r="G1298" i="59"/>
  <c r="G1299" i="59"/>
  <c r="H1299" i="59"/>
  <c r="G1300" i="59"/>
  <c r="G1301" i="59"/>
  <c r="G1302" i="59"/>
  <c r="G1303" i="59"/>
  <c r="G1304" i="59"/>
  <c r="G1305" i="59"/>
  <c r="G1306" i="59"/>
  <c r="G1307" i="59"/>
  <c r="G1308" i="59"/>
  <c r="G1309" i="59"/>
  <c r="G1310" i="59"/>
  <c r="G1311" i="59"/>
  <c r="G1312" i="59"/>
  <c r="G1313" i="59"/>
  <c r="G1314" i="59"/>
  <c r="G1315" i="59"/>
  <c r="G1316" i="59"/>
  <c r="G1317" i="59"/>
  <c r="G1318" i="59"/>
  <c r="G1319" i="59"/>
  <c r="G1320" i="59"/>
  <c r="H1320" i="59"/>
  <c r="G1321" i="59"/>
  <c r="H1321" i="59"/>
  <c r="G1322" i="59"/>
  <c r="H1322" i="59"/>
  <c r="J1322" i="59" s="1"/>
  <c r="G1323" i="59"/>
  <c r="H1323" i="59"/>
  <c r="G1324" i="59"/>
  <c r="H1324" i="59"/>
  <c r="G1325" i="59"/>
  <c r="H1325" i="59"/>
  <c r="G1326" i="59"/>
  <c r="H1326" i="59"/>
  <c r="G1327" i="59"/>
  <c r="G1328" i="59"/>
  <c r="G1329" i="59"/>
  <c r="G1330" i="59"/>
  <c r="G1331" i="59"/>
  <c r="G1332" i="59"/>
  <c r="G1333" i="59"/>
  <c r="G1334" i="59"/>
  <c r="G1335" i="59"/>
  <c r="G1336" i="59"/>
  <c r="G1337" i="59"/>
  <c r="G1338" i="59"/>
  <c r="H1338" i="59"/>
  <c r="G1339" i="59"/>
  <c r="G1340" i="59"/>
  <c r="G1341" i="59"/>
  <c r="G1342" i="59"/>
  <c r="G1343" i="59"/>
  <c r="G1344" i="59"/>
  <c r="G1345" i="59"/>
  <c r="G1346" i="59"/>
  <c r="G1347" i="59"/>
  <c r="G1348" i="59"/>
  <c r="G1349" i="59"/>
  <c r="G1350" i="59"/>
  <c r="H1350" i="59"/>
  <c r="J1350" i="59" s="1"/>
  <c r="G1351" i="59"/>
  <c r="G1352" i="59"/>
  <c r="G1353" i="59"/>
  <c r="G1354" i="59"/>
  <c r="H1354" i="59"/>
  <c r="G1355" i="59"/>
  <c r="H1355" i="59"/>
  <c r="G1356" i="59"/>
  <c r="G1357" i="59"/>
  <c r="G1358" i="59"/>
  <c r="G1359" i="59"/>
  <c r="G1360" i="59"/>
  <c r="G1361" i="59"/>
  <c r="G1362" i="59"/>
  <c r="G1363" i="59"/>
  <c r="G1364" i="59"/>
  <c r="G1365" i="59"/>
  <c r="G1366" i="59"/>
  <c r="G1367" i="59"/>
  <c r="G1368" i="59"/>
  <c r="G1369" i="59"/>
  <c r="G1370" i="59"/>
  <c r="G1371" i="59"/>
  <c r="G1372" i="59"/>
  <c r="G1373" i="59"/>
  <c r="G1374" i="59"/>
  <c r="G1375" i="59"/>
  <c r="G1376" i="59"/>
  <c r="G1377" i="59"/>
  <c r="G1378" i="59"/>
  <c r="G1379" i="59"/>
  <c r="H1379" i="59"/>
  <c r="G1380" i="59"/>
  <c r="G1381" i="59"/>
  <c r="G1382" i="59"/>
  <c r="G1383" i="59"/>
  <c r="G1384" i="59"/>
  <c r="H1384" i="59"/>
  <c r="G1385" i="59"/>
  <c r="G1386" i="59"/>
  <c r="G1387" i="59"/>
  <c r="G1388" i="59"/>
  <c r="G1389" i="59"/>
  <c r="G1390" i="59"/>
  <c r="G1391" i="59"/>
  <c r="G1392" i="59"/>
  <c r="G1393" i="59"/>
  <c r="G1394" i="59"/>
  <c r="G1395" i="59"/>
  <c r="G1396" i="59"/>
  <c r="G1397" i="59"/>
  <c r="G1398" i="59"/>
  <c r="G1399" i="59"/>
  <c r="G1400" i="59"/>
  <c r="G1401" i="59"/>
  <c r="G1402" i="59"/>
  <c r="G1403" i="59"/>
  <c r="G1404" i="59"/>
  <c r="G1405" i="59"/>
  <c r="G1406" i="59"/>
  <c r="G1407" i="59"/>
  <c r="G1408" i="59"/>
  <c r="G1409" i="59"/>
  <c r="G1410" i="59"/>
  <c r="G1411" i="59"/>
  <c r="G1412" i="59"/>
  <c r="G1413" i="59"/>
  <c r="G1414" i="59"/>
  <c r="H1414" i="59"/>
  <c r="G1415" i="59"/>
  <c r="G1416" i="59"/>
  <c r="G1418" i="59"/>
  <c r="G1419" i="59"/>
  <c r="G1420" i="59"/>
  <c r="G1421" i="59"/>
  <c r="H1421" i="59"/>
  <c r="G1422" i="59"/>
  <c r="G1423" i="59"/>
  <c r="G1424" i="59"/>
  <c r="G1425" i="59"/>
  <c r="G1426" i="59"/>
  <c r="G1427" i="59"/>
  <c r="G1428" i="59"/>
  <c r="G1429" i="59"/>
  <c r="G1430" i="59"/>
  <c r="G1431" i="59"/>
  <c r="G1432" i="59"/>
  <c r="H1432" i="59"/>
  <c r="G1433" i="59"/>
  <c r="G1434" i="59"/>
  <c r="G1435" i="59"/>
  <c r="G1436" i="59"/>
  <c r="G1437" i="59"/>
  <c r="G1438" i="59"/>
  <c r="G1439" i="59"/>
  <c r="G1440" i="59"/>
  <c r="G1441" i="59"/>
  <c r="G1442" i="59"/>
  <c r="G1443" i="59"/>
  <c r="G1444" i="59"/>
  <c r="G1445" i="59"/>
  <c r="G1446" i="59"/>
  <c r="G1447" i="59"/>
  <c r="G1448" i="59"/>
  <c r="G1449" i="59"/>
  <c r="G1450" i="59"/>
  <c r="G1451" i="59"/>
  <c r="G1452" i="59"/>
  <c r="G1453" i="59"/>
  <c r="G1454" i="59"/>
  <c r="G1455" i="59"/>
  <c r="G1460" i="59"/>
  <c r="G1461" i="59"/>
  <c r="G1462" i="59"/>
  <c r="G1463" i="59"/>
  <c r="G1464" i="59"/>
  <c r="G1465" i="59"/>
  <c r="G1466" i="59"/>
  <c r="G1467" i="59"/>
  <c r="G1468" i="59"/>
  <c r="H1468" i="59"/>
  <c r="G1469" i="59"/>
  <c r="G1470" i="59"/>
  <c r="H1470" i="59"/>
  <c r="G1471" i="59"/>
  <c r="G1472" i="59"/>
  <c r="G1473" i="59"/>
  <c r="G1474" i="59"/>
  <c r="G1475" i="59"/>
  <c r="G1476" i="59"/>
  <c r="G1477" i="59"/>
  <c r="G1478" i="59"/>
  <c r="G1479" i="59"/>
  <c r="G1480" i="59"/>
  <c r="G1481" i="59"/>
  <c r="G1482" i="59"/>
  <c r="G1483" i="59"/>
  <c r="G1484" i="59"/>
  <c r="G1485" i="59"/>
  <c r="G1486" i="59"/>
  <c r="G1487" i="59"/>
  <c r="G1488" i="59"/>
  <c r="G1489" i="59"/>
  <c r="H1489" i="59"/>
  <c r="G1490" i="59"/>
  <c r="G1492" i="59"/>
  <c r="G1493" i="59"/>
  <c r="G1494" i="59"/>
  <c r="G1495" i="59"/>
  <c r="G1496" i="59"/>
  <c r="G1497" i="59"/>
  <c r="G1498" i="59"/>
  <c r="G1499" i="59"/>
  <c r="G1500" i="59"/>
  <c r="G1501" i="59"/>
  <c r="G1502" i="59"/>
  <c r="G1503" i="59"/>
  <c r="G1504" i="59"/>
  <c r="G1505" i="59"/>
  <c r="G1506" i="59"/>
  <c r="G1507" i="59"/>
  <c r="G1508" i="59"/>
  <c r="G1509" i="59"/>
  <c r="G1510" i="59"/>
  <c r="G1511" i="59"/>
  <c r="G1512" i="59"/>
  <c r="G1513" i="59"/>
  <c r="G1514" i="59"/>
  <c r="G1515" i="59"/>
  <c r="G1516" i="59"/>
  <c r="G1517" i="59"/>
  <c r="G1518" i="59"/>
  <c r="G1519" i="59"/>
  <c r="G1520" i="59"/>
  <c r="G1521" i="59"/>
  <c r="G1522" i="59"/>
  <c r="G1523" i="59"/>
  <c r="G1524" i="59"/>
  <c r="G1525" i="59"/>
  <c r="G1526" i="59"/>
  <c r="G1527" i="59"/>
  <c r="G1528" i="59"/>
  <c r="G1529" i="59"/>
  <c r="G1530" i="59"/>
  <c r="G1531" i="59"/>
  <c r="G1532" i="59"/>
  <c r="G1533" i="59"/>
  <c r="G1534" i="59"/>
  <c r="G1535" i="59"/>
  <c r="G1536" i="59"/>
  <c r="G1537" i="59"/>
  <c r="G1538" i="59"/>
  <c r="G1539" i="59"/>
  <c r="G1540" i="59"/>
  <c r="G1541" i="59"/>
  <c r="G1542" i="59"/>
  <c r="G1543" i="59"/>
  <c r="G1544" i="59"/>
  <c r="G1545" i="59"/>
  <c r="G1546" i="59"/>
  <c r="G1547" i="59"/>
  <c r="G1548" i="59"/>
  <c r="G1549" i="59"/>
  <c r="G1550" i="59"/>
  <c r="G1551" i="59"/>
  <c r="G1552" i="59"/>
  <c r="G1553" i="59"/>
  <c r="G1554" i="59"/>
  <c r="G1555" i="59"/>
  <c r="G1556" i="59"/>
  <c r="G1557" i="59"/>
  <c r="G1558" i="59"/>
  <c r="G1559" i="59"/>
  <c r="G1560" i="59"/>
  <c r="G1561" i="59"/>
  <c r="G1562" i="59"/>
  <c r="G1563" i="59"/>
  <c r="G1564" i="59"/>
  <c r="G1565" i="59"/>
  <c r="G1566" i="59"/>
  <c r="G1567" i="59"/>
  <c r="G1568" i="59"/>
  <c r="G1569" i="59"/>
  <c r="G1570" i="59"/>
  <c r="G1571" i="59"/>
  <c r="G1572" i="59"/>
  <c r="G1573" i="59"/>
  <c r="G1574" i="59"/>
  <c r="G1575" i="59"/>
  <c r="G1576" i="59"/>
  <c r="G1577" i="59"/>
  <c r="G1578" i="59"/>
  <c r="G1579" i="59"/>
  <c r="G1580" i="59"/>
  <c r="G1581" i="59"/>
  <c r="H1581" i="59"/>
  <c r="G1582" i="59"/>
  <c r="G1583" i="59"/>
  <c r="G1584" i="59"/>
  <c r="G1585" i="59"/>
  <c r="G1586" i="59"/>
  <c r="G1587" i="59"/>
  <c r="G1588" i="59"/>
  <c r="G1589" i="59"/>
  <c r="G1590" i="59"/>
  <c r="G1591" i="59"/>
  <c r="G1592" i="59"/>
  <c r="G1593" i="59"/>
  <c r="G1594" i="59"/>
  <c r="G1595" i="59"/>
  <c r="G1596" i="59"/>
  <c r="G1597" i="59"/>
  <c r="G1598" i="59"/>
  <c r="H1598" i="59"/>
  <c r="G1599" i="59"/>
  <c r="H1599" i="59"/>
  <c r="G1600" i="59"/>
  <c r="H1600" i="59"/>
  <c r="G1601" i="59"/>
  <c r="H1601" i="59"/>
  <c r="G1602" i="59"/>
  <c r="H1602" i="59"/>
  <c r="G1603" i="59"/>
  <c r="G1604" i="59"/>
  <c r="H1604" i="59"/>
  <c r="G1605" i="59"/>
  <c r="H1605" i="59"/>
  <c r="G1606" i="59"/>
  <c r="H1606" i="59"/>
  <c r="I1606" i="59" s="1"/>
  <c r="G1607" i="59"/>
  <c r="H1607" i="59"/>
  <c r="G1613" i="59"/>
  <c r="H1613" i="59"/>
  <c r="G1614" i="59"/>
  <c r="G1615" i="59"/>
  <c r="G1616" i="59"/>
  <c r="G1617" i="59"/>
  <c r="G1618" i="59"/>
  <c r="G1619" i="59"/>
  <c r="G1620" i="59"/>
  <c r="G1621" i="59"/>
  <c r="G1622" i="59"/>
  <c r="G1623" i="59"/>
  <c r="G1624" i="59"/>
  <c r="G1625" i="59"/>
  <c r="G1626" i="59"/>
  <c r="G1627" i="59"/>
  <c r="G1628" i="59"/>
  <c r="G1629" i="59"/>
  <c r="G1630" i="59"/>
  <c r="G1631" i="59"/>
  <c r="H1631" i="59"/>
  <c r="G1632" i="59"/>
  <c r="G1633" i="59"/>
  <c r="G1634" i="59"/>
  <c r="G1635" i="59"/>
  <c r="G1636" i="59"/>
  <c r="H1636" i="59"/>
  <c r="G1637" i="59"/>
  <c r="G1638" i="59"/>
  <c r="G1639" i="59"/>
  <c r="G1640" i="59"/>
  <c r="G1641" i="59"/>
  <c r="G1642" i="59"/>
  <c r="G1643" i="59"/>
  <c r="G1644" i="59"/>
  <c r="G1645" i="59"/>
  <c r="G1646" i="59"/>
  <c r="H1646" i="59"/>
  <c r="G1647" i="59"/>
  <c r="G1648" i="59"/>
  <c r="G1649" i="59"/>
  <c r="G1650" i="59"/>
  <c r="G1651" i="59"/>
  <c r="G1652" i="59"/>
  <c r="H1652" i="59"/>
  <c r="I1652" i="59" s="1"/>
  <c r="G1653" i="59"/>
  <c r="G1654" i="59"/>
  <c r="H1654" i="59"/>
  <c r="G1655" i="59"/>
  <c r="G1656" i="59"/>
  <c r="G1657" i="59"/>
  <c r="G1658" i="59"/>
  <c r="G1659" i="59"/>
  <c r="G1660" i="59"/>
  <c r="G1661" i="59"/>
  <c r="G1662" i="59"/>
  <c r="H1662" i="59"/>
  <c r="G1663" i="59"/>
  <c r="G1664" i="59"/>
  <c r="G1665" i="59"/>
  <c r="G1666" i="59"/>
  <c r="G1667" i="59"/>
  <c r="G1668" i="59"/>
  <c r="G1669" i="59"/>
  <c r="G1670" i="59"/>
  <c r="G1671" i="59"/>
  <c r="G1672" i="59"/>
  <c r="H1672" i="59"/>
  <c r="G1673" i="59"/>
  <c r="G1674" i="59"/>
  <c r="G1675" i="59"/>
  <c r="G1676" i="59"/>
  <c r="H1676" i="59"/>
  <c r="G1677" i="59"/>
  <c r="H1677" i="59"/>
  <c r="G1678" i="59"/>
  <c r="H1678" i="59"/>
  <c r="G1679" i="59"/>
  <c r="H1679" i="59"/>
  <c r="G1680" i="59"/>
  <c r="H1680" i="59"/>
  <c r="G1681" i="59"/>
  <c r="G1682" i="59"/>
  <c r="G1683" i="59"/>
  <c r="H1683" i="59"/>
  <c r="J1683" i="59" s="1"/>
  <c r="G1684" i="59"/>
  <c r="G1685" i="59"/>
  <c r="G1686" i="59"/>
  <c r="G1687" i="59"/>
  <c r="G1688" i="59"/>
  <c r="G1689" i="59"/>
  <c r="G1690" i="59"/>
  <c r="G1691" i="59"/>
  <c r="G1692" i="59"/>
  <c r="G1693" i="59"/>
  <c r="G1694" i="59"/>
  <c r="G1695" i="59"/>
  <c r="G1696" i="59"/>
  <c r="G1697" i="59"/>
  <c r="G1698" i="59"/>
  <c r="G1699" i="59"/>
  <c r="G1700" i="59"/>
  <c r="G1701" i="59"/>
  <c r="G1702" i="59"/>
  <c r="G1703" i="59"/>
  <c r="G1704" i="59"/>
  <c r="G1705" i="59"/>
  <c r="G1706" i="59"/>
  <c r="G1707" i="59"/>
  <c r="G1708" i="59"/>
  <c r="G1709" i="59"/>
  <c r="G1710" i="59"/>
  <c r="G1711" i="59"/>
  <c r="G1712" i="59"/>
  <c r="G1713" i="59"/>
  <c r="G1714" i="59"/>
  <c r="G1715" i="59"/>
  <c r="G1716" i="59"/>
  <c r="G1717" i="59"/>
  <c r="G1718" i="59"/>
  <c r="G1719" i="59"/>
  <c r="G1720" i="59"/>
  <c r="G1721" i="59"/>
  <c r="G1722" i="59"/>
  <c r="G1723" i="59"/>
  <c r="G1724" i="59"/>
  <c r="G1725" i="59"/>
  <c r="G1726" i="59"/>
  <c r="G1727" i="59"/>
  <c r="G1728" i="59"/>
  <c r="G1729" i="59"/>
  <c r="G1730" i="59"/>
  <c r="G1731" i="59"/>
  <c r="G1732" i="59"/>
  <c r="G1733" i="59"/>
  <c r="G1734" i="59"/>
  <c r="G1735" i="59"/>
  <c r="G1736" i="59"/>
  <c r="G1737" i="59"/>
  <c r="G1738" i="59"/>
  <c r="G1739" i="59"/>
  <c r="G1740" i="59"/>
  <c r="G1741" i="59"/>
  <c r="G1742" i="59"/>
  <c r="H1742" i="59"/>
  <c r="G1743" i="59"/>
  <c r="G1744" i="59"/>
  <c r="G1745" i="59"/>
  <c r="G1746" i="59"/>
  <c r="G1747" i="59"/>
  <c r="G1748" i="59"/>
  <c r="G1749" i="59"/>
  <c r="G1750" i="59"/>
  <c r="G1751" i="59"/>
  <c r="G1752" i="59"/>
  <c r="G1753" i="59"/>
  <c r="G1754" i="59"/>
  <c r="G1755" i="59"/>
  <c r="G1756" i="59"/>
  <c r="G1757" i="59"/>
  <c r="G1758" i="59"/>
  <c r="G1759" i="59"/>
  <c r="G1760" i="59"/>
  <c r="G1761" i="59"/>
  <c r="G1762" i="59"/>
  <c r="G1763" i="59"/>
  <c r="G1764" i="59"/>
  <c r="G1765" i="59"/>
  <c r="G1766" i="59"/>
  <c r="G1767" i="59"/>
  <c r="G1768" i="59"/>
  <c r="H1768" i="59"/>
  <c r="G1769" i="59"/>
  <c r="H1769" i="59"/>
  <c r="G1770" i="59"/>
  <c r="H1770" i="59"/>
  <c r="G1771" i="59"/>
  <c r="G1772" i="59"/>
  <c r="G1773" i="59"/>
  <c r="G1774" i="59"/>
  <c r="G1775" i="59"/>
  <c r="G1776" i="59"/>
  <c r="G1777" i="59"/>
  <c r="G1778" i="59"/>
  <c r="G1779" i="59"/>
  <c r="H1779" i="59"/>
  <c r="I1779" i="59" s="1"/>
  <c r="G1780" i="59"/>
  <c r="H1780" i="59"/>
  <c r="G1781" i="59"/>
  <c r="G1782" i="59"/>
  <c r="G1783" i="59"/>
  <c r="G1784" i="59"/>
  <c r="G1785" i="59"/>
  <c r="G1786" i="59"/>
  <c r="G1787" i="59"/>
  <c r="G1788" i="59"/>
  <c r="H1788" i="59"/>
  <c r="G1789" i="59"/>
  <c r="G1790" i="59"/>
  <c r="G1791" i="59"/>
  <c r="G1792" i="59"/>
  <c r="G1793" i="59"/>
  <c r="G1794" i="59"/>
  <c r="H1794" i="59"/>
  <c r="J1794" i="59" s="1"/>
  <c r="G1795" i="59"/>
  <c r="G1796" i="59"/>
  <c r="G1797" i="59"/>
  <c r="G1798" i="59"/>
  <c r="G1799" i="59"/>
  <c r="G1800" i="59"/>
  <c r="G1801" i="59"/>
  <c r="G1802" i="59"/>
  <c r="G1803" i="59"/>
  <c r="G1804" i="59"/>
  <c r="G1805" i="59"/>
  <c r="G1806" i="59"/>
  <c r="G1807" i="59"/>
  <c r="G1808" i="59"/>
  <c r="G1809" i="59"/>
  <c r="G1810" i="59"/>
  <c r="G1811" i="59"/>
  <c r="G1812" i="59"/>
  <c r="G1813" i="59"/>
  <c r="G1814" i="59"/>
  <c r="G1815" i="59"/>
  <c r="G1816" i="59"/>
  <c r="G1817" i="59"/>
  <c r="G1818" i="59"/>
  <c r="G1819" i="59"/>
  <c r="G1820" i="59"/>
  <c r="G1821" i="59"/>
  <c r="G1822" i="59"/>
  <c r="G1823" i="59"/>
  <c r="G1824" i="59"/>
  <c r="G1825" i="59"/>
  <c r="G1826" i="59"/>
  <c r="G1827" i="59"/>
  <c r="G1828" i="59"/>
  <c r="G1829" i="59"/>
  <c r="G1830" i="59"/>
  <c r="G1831" i="59"/>
  <c r="G1832" i="59"/>
  <c r="G1833" i="59"/>
  <c r="G1834" i="59"/>
  <c r="G1835" i="59"/>
  <c r="G1836" i="59"/>
  <c r="H1836" i="59"/>
  <c r="J1836" i="59" s="1"/>
  <c r="G1837" i="59"/>
  <c r="G1838" i="59"/>
  <c r="G1839" i="59"/>
  <c r="G1840" i="59"/>
  <c r="G1841" i="59"/>
  <c r="G1842" i="59"/>
  <c r="G1843" i="59"/>
  <c r="G1844" i="59"/>
  <c r="G1845" i="59"/>
  <c r="G1846" i="59"/>
  <c r="G1847" i="59"/>
  <c r="G1848" i="59"/>
  <c r="G1849" i="59"/>
  <c r="G1850" i="59"/>
  <c r="G1851" i="59"/>
  <c r="G1852" i="59"/>
  <c r="G1853" i="59"/>
  <c r="G1854" i="59"/>
  <c r="G1855" i="59"/>
  <c r="G1856" i="59"/>
  <c r="G1857" i="59"/>
  <c r="G1858" i="59"/>
  <c r="H1858" i="59"/>
  <c r="G1859" i="59"/>
  <c r="G1860" i="59"/>
  <c r="G1861" i="59"/>
  <c r="H1861" i="59"/>
  <c r="G1862" i="59"/>
  <c r="H1862" i="59"/>
  <c r="G1863" i="59"/>
  <c r="G1864" i="59"/>
  <c r="G1865" i="59"/>
  <c r="G1866" i="59"/>
  <c r="G1867" i="59"/>
  <c r="G1868" i="59"/>
  <c r="G1869" i="59"/>
  <c r="G1870" i="59"/>
  <c r="G1871" i="59"/>
  <c r="G1872" i="59"/>
  <c r="G1873" i="59"/>
  <c r="G1874" i="59"/>
  <c r="G1875" i="59"/>
  <c r="G1876" i="59"/>
  <c r="G1877" i="59"/>
  <c r="G1878" i="59"/>
  <c r="G1879" i="59"/>
  <c r="G1880" i="59"/>
  <c r="G1881" i="59"/>
  <c r="G1882" i="59"/>
  <c r="G1883" i="59"/>
  <c r="G1884" i="59"/>
  <c r="G1885" i="59"/>
  <c r="G1886" i="59"/>
  <c r="G1887" i="59"/>
  <c r="G1888" i="59"/>
  <c r="G1889" i="59"/>
  <c r="G1890" i="59"/>
  <c r="G1891" i="59"/>
  <c r="G1892" i="59"/>
  <c r="G1893" i="59"/>
  <c r="G1894" i="59"/>
  <c r="G1895" i="59"/>
  <c r="G1896" i="59"/>
  <c r="G1897" i="59"/>
  <c r="G1898" i="59"/>
  <c r="G1899" i="59"/>
  <c r="G1900" i="59"/>
  <c r="G1901" i="59"/>
  <c r="G1902" i="59"/>
  <c r="G1903" i="59"/>
  <c r="G1904" i="59"/>
  <c r="G1905" i="59"/>
  <c r="G1906" i="59"/>
  <c r="H1906" i="59"/>
  <c r="I1906" i="59" s="1"/>
  <c r="G1907" i="59"/>
  <c r="G1908" i="59"/>
  <c r="G1909" i="59"/>
  <c r="G1910" i="59"/>
  <c r="G1911" i="59"/>
  <c r="G1912" i="59"/>
  <c r="G1913" i="59"/>
  <c r="G1914" i="59"/>
  <c r="G1915" i="59"/>
  <c r="G1916" i="59"/>
  <c r="G1917" i="59"/>
  <c r="G1918" i="59"/>
  <c r="G1919" i="59"/>
  <c r="G1920" i="59"/>
  <c r="G1921" i="59"/>
  <c r="G1922" i="59"/>
  <c r="G1923" i="59"/>
  <c r="G1924" i="59"/>
  <c r="G1925" i="59"/>
  <c r="G1926" i="59"/>
  <c r="G1927" i="59"/>
  <c r="G1928" i="59"/>
  <c r="G1929" i="59"/>
  <c r="G1930" i="59"/>
  <c r="G1931" i="59"/>
  <c r="G1932" i="59"/>
  <c r="G1933" i="59"/>
  <c r="G1934" i="59"/>
  <c r="G1935" i="59"/>
  <c r="G1936" i="59"/>
  <c r="G1937" i="59"/>
  <c r="G1938" i="59"/>
  <c r="G1939" i="59"/>
  <c r="G1940" i="59"/>
  <c r="G1941" i="59"/>
  <c r="G1942" i="59"/>
  <c r="G1943" i="59"/>
  <c r="G1944" i="59"/>
  <c r="G1945" i="59"/>
  <c r="G1946" i="59"/>
  <c r="G1947" i="59"/>
  <c r="G1948" i="59"/>
  <c r="G1949" i="59"/>
  <c r="G1950" i="59"/>
  <c r="G1951" i="59"/>
  <c r="G1952" i="59"/>
  <c r="G1953" i="59"/>
  <c r="G1954" i="59"/>
  <c r="G1955" i="59"/>
  <c r="G1956" i="59"/>
  <c r="G1957" i="59"/>
  <c r="G1958" i="59"/>
  <c r="G1959" i="59"/>
  <c r="H1959" i="59"/>
  <c r="G1960" i="59"/>
  <c r="G1961" i="59"/>
  <c r="G1962" i="59"/>
  <c r="G1963" i="59"/>
  <c r="G1964" i="59"/>
  <c r="G1965" i="59"/>
  <c r="G1966" i="59"/>
  <c r="G1967" i="59"/>
  <c r="G1968" i="59"/>
  <c r="G1969" i="59"/>
  <c r="G1970" i="59"/>
  <c r="G1971" i="59"/>
  <c r="G1972" i="59"/>
  <c r="G1973" i="59"/>
  <c r="G1974" i="59"/>
  <c r="G1975" i="59"/>
  <c r="G1976" i="59"/>
  <c r="G1977" i="59"/>
  <c r="G1978" i="59"/>
  <c r="H1978" i="59"/>
  <c r="G1979" i="59"/>
  <c r="G1980" i="59"/>
  <c r="G1981" i="59"/>
  <c r="G1982" i="59"/>
  <c r="G1983" i="59"/>
  <c r="G1984" i="59"/>
  <c r="G1985" i="59"/>
  <c r="G1986" i="59"/>
  <c r="G1987" i="59"/>
  <c r="G1988" i="59"/>
  <c r="H1988" i="59"/>
  <c r="G1989" i="59"/>
  <c r="G1990" i="59"/>
  <c r="G1991" i="59"/>
  <c r="G1992" i="59"/>
  <c r="G1993" i="59"/>
  <c r="G1994" i="59"/>
  <c r="G1995" i="59"/>
  <c r="G1996" i="59"/>
  <c r="G1997" i="59"/>
  <c r="G1998" i="59"/>
  <c r="G1999" i="59"/>
  <c r="G2000" i="59"/>
  <c r="G2001" i="59"/>
  <c r="G2002" i="59"/>
  <c r="G2003" i="59"/>
  <c r="G2004" i="59"/>
  <c r="G2005" i="59"/>
  <c r="G2006" i="59"/>
  <c r="H2006" i="59"/>
  <c r="J2006" i="59" s="1"/>
  <c r="G2007" i="59"/>
  <c r="G2008" i="59"/>
  <c r="G2009" i="59"/>
  <c r="G2010" i="59"/>
  <c r="G2011" i="59"/>
  <c r="G2012" i="59"/>
  <c r="G2013" i="59"/>
  <c r="G2014" i="59"/>
  <c r="G2015" i="59"/>
  <c r="G2016" i="59"/>
  <c r="G2017" i="59"/>
  <c r="G2018" i="59"/>
  <c r="G2019" i="59"/>
  <c r="G2020" i="59"/>
  <c r="G2021" i="59"/>
  <c r="G2022" i="59"/>
  <c r="G2023" i="59"/>
  <c r="G2024" i="59"/>
  <c r="G2025" i="59"/>
  <c r="G2026" i="59"/>
  <c r="G2027" i="59"/>
  <c r="H2027" i="59"/>
  <c r="G2028" i="59"/>
  <c r="G2029" i="59"/>
  <c r="G2030" i="59"/>
  <c r="G2031" i="59"/>
  <c r="G2032" i="59"/>
  <c r="G2033" i="59"/>
  <c r="G2034" i="59"/>
  <c r="G2035" i="59"/>
  <c r="G2036" i="59"/>
  <c r="G2037" i="59"/>
  <c r="G2038" i="59"/>
  <c r="G2039" i="59"/>
  <c r="G2040" i="59"/>
  <c r="G2041" i="59"/>
  <c r="G2042" i="59"/>
  <c r="G2043" i="59"/>
  <c r="G2044" i="59"/>
  <c r="G2045" i="59"/>
  <c r="G2046" i="59"/>
  <c r="G2047" i="59"/>
  <c r="G2048" i="59"/>
  <c r="G2049" i="59"/>
  <c r="G2050" i="59"/>
  <c r="G2051" i="59"/>
  <c r="G2052" i="59"/>
  <c r="G2053" i="59"/>
  <c r="G2054" i="59"/>
  <c r="G2055" i="59"/>
  <c r="G2056" i="59"/>
  <c r="G2057" i="59"/>
  <c r="G2058" i="59"/>
  <c r="G2059" i="59"/>
  <c r="G2060" i="59"/>
  <c r="G2061" i="59"/>
  <c r="G2062" i="59"/>
  <c r="G2063" i="59"/>
  <c r="G2064" i="59"/>
  <c r="G2065" i="59"/>
  <c r="G2066" i="59"/>
  <c r="G2067" i="59"/>
  <c r="G2068" i="59"/>
  <c r="G2069" i="59"/>
  <c r="G2070" i="59"/>
  <c r="G2071" i="59"/>
  <c r="G2072" i="59"/>
  <c r="G2073" i="59"/>
  <c r="G2074" i="59"/>
  <c r="G2075" i="59"/>
  <c r="G2076" i="59"/>
  <c r="G2077" i="59"/>
  <c r="G2078" i="59"/>
  <c r="G2079" i="59"/>
  <c r="G2080" i="59"/>
  <c r="G2081" i="59"/>
  <c r="G2082" i="59"/>
  <c r="G2083" i="59"/>
  <c r="G2084" i="59"/>
  <c r="G2085" i="59"/>
  <c r="G2086" i="59"/>
  <c r="G2087" i="59"/>
  <c r="G2088" i="59"/>
  <c r="G2089" i="59"/>
  <c r="G2090" i="59"/>
  <c r="G2091" i="59"/>
  <c r="G2092" i="59"/>
  <c r="G2093" i="59"/>
  <c r="G2094" i="59"/>
  <c r="G2095" i="59"/>
  <c r="G2096" i="59"/>
  <c r="G2097" i="59"/>
  <c r="G2098" i="59"/>
  <c r="G2099" i="59"/>
  <c r="G2100" i="59"/>
  <c r="G2101" i="59"/>
  <c r="G2102" i="59"/>
  <c r="G2103" i="59"/>
  <c r="G2104" i="59"/>
  <c r="G2105" i="59"/>
  <c r="G2106" i="59"/>
  <c r="G2107" i="59"/>
  <c r="G2108" i="59"/>
  <c r="G2109" i="59"/>
  <c r="G2110" i="59"/>
  <c r="G2111" i="59"/>
  <c r="G2112" i="59"/>
  <c r="G2113" i="59"/>
  <c r="G2114" i="59"/>
  <c r="G2115" i="59"/>
  <c r="G2116" i="59"/>
  <c r="G2117" i="59"/>
  <c r="G2118" i="59"/>
  <c r="G2119" i="59"/>
  <c r="G2120" i="59"/>
  <c r="G2121" i="59"/>
  <c r="G2122" i="59"/>
  <c r="G2123" i="59"/>
  <c r="G2124" i="59"/>
  <c r="H2124" i="59"/>
  <c r="G2125" i="59"/>
  <c r="G2126" i="59"/>
  <c r="G2127" i="59"/>
  <c r="G2128" i="59"/>
  <c r="G2129" i="59"/>
  <c r="G2130" i="59"/>
  <c r="G2131" i="59"/>
  <c r="G2132" i="59"/>
  <c r="G2133" i="59"/>
  <c r="G2134" i="59"/>
  <c r="H2134" i="59"/>
  <c r="G2135" i="59"/>
  <c r="G2136" i="59"/>
  <c r="G2137" i="59"/>
  <c r="G2138" i="59"/>
  <c r="G2139" i="59"/>
  <c r="G2140" i="59"/>
  <c r="G2141" i="59"/>
  <c r="G2142" i="59"/>
  <c r="G2143" i="59"/>
  <c r="G2144" i="59"/>
  <c r="G2145" i="59"/>
  <c r="G2146" i="59"/>
  <c r="G2147" i="59"/>
  <c r="G2148" i="59"/>
  <c r="G2149" i="59"/>
  <c r="G2150" i="59"/>
  <c r="G2151" i="59"/>
  <c r="G2152" i="59"/>
  <c r="G2153" i="59"/>
  <c r="G2154" i="59"/>
  <c r="G2155" i="59"/>
  <c r="G2156" i="59"/>
  <c r="G2157" i="59"/>
  <c r="G2158" i="59"/>
  <c r="G2159" i="59"/>
  <c r="G2160" i="59"/>
  <c r="G2161" i="59"/>
  <c r="G2162" i="59"/>
  <c r="G2163" i="59"/>
  <c r="G2164" i="59"/>
  <c r="G2165" i="59"/>
  <c r="G2166" i="59"/>
  <c r="G2167" i="59"/>
  <c r="G2168" i="59"/>
  <c r="G2169" i="59"/>
  <c r="G2170" i="59"/>
  <c r="G2171" i="59"/>
  <c r="G2172" i="59"/>
  <c r="H2172" i="59"/>
  <c r="G2173" i="59"/>
  <c r="G2174" i="59"/>
  <c r="G2175" i="59"/>
  <c r="G2176" i="59"/>
  <c r="G2177" i="59"/>
  <c r="G2178" i="59"/>
  <c r="G2179" i="59"/>
  <c r="G2180" i="59"/>
  <c r="G2181" i="59"/>
  <c r="G2182" i="59"/>
  <c r="G2183" i="59"/>
  <c r="G2184" i="59"/>
  <c r="G2185" i="59"/>
  <c r="G2186" i="59"/>
  <c r="G2187" i="59"/>
  <c r="G2188" i="59"/>
  <c r="G2189" i="59"/>
  <c r="G2190" i="59"/>
  <c r="G2191" i="59"/>
  <c r="G2192" i="59"/>
  <c r="G2193" i="59"/>
  <c r="G2194" i="59"/>
  <c r="G2195" i="59"/>
  <c r="G2196" i="59"/>
  <c r="G2197" i="59"/>
  <c r="G2198" i="59"/>
  <c r="G2199" i="59"/>
  <c r="G2200" i="59"/>
  <c r="G2201" i="59"/>
  <c r="G2202" i="59"/>
  <c r="G2203" i="59"/>
  <c r="G2204" i="59"/>
  <c r="G2205" i="59"/>
  <c r="G2206" i="59"/>
  <c r="G2207" i="59"/>
  <c r="G2208" i="59"/>
  <c r="G2209" i="59"/>
  <c r="G2210" i="59"/>
  <c r="G2211" i="59"/>
  <c r="G2212" i="59"/>
  <c r="G2213" i="59"/>
  <c r="G2214" i="59"/>
  <c r="G2215" i="59"/>
  <c r="G2216" i="59"/>
  <c r="G2217" i="59"/>
  <c r="G2218" i="59"/>
  <c r="G2219" i="59"/>
  <c r="G2220" i="59"/>
  <c r="G2221" i="59"/>
  <c r="G2222" i="59"/>
  <c r="G2223" i="59"/>
  <c r="G2224" i="59"/>
  <c r="G2225" i="59"/>
  <c r="G2226" i="59"/>
  <c r="G2227" i="59"/>
  <c r="G2228" i="59"/>
  <c r="G2229" i="59"/>
  <c r="G2230" i="59"/>
  <c r="G2231" i="59"/>
  <c r="G2232" i="59"/>
  <c r="G2233" i="59"/>
  <c r="G2234" i="59"/>
  <c r="G2235" i="59"/>
  <c r="G2236" i="59"/>
  <c r="G2237" i="59"/>
  <c r="G2238" i="59"/>
  <c r="G2239" i="59"/>
  <c r="G2240" i="59"/>
  <c r="G2241" i="59"/>
  <c r="G2242" i="59"/>
  <c r="G2243" i="59"/>
  <c r="G2244" i="59"/>
  <c r="G2245" i="59"/>
  <c r="G2246" i="59"/>
  <c r="G2247" i="59"/>
  <c r="G2248" i="59"/>
  <c r="G2249" i="59"/>
  <c r="G2250" i="59"/>
  <c r="G2251" i="59"/>
  <c r="G2252" i="59"/>
  <c r="G2253" i="59"/>
  <c r="G2254" i="59"/>
  <c r="G2255" i="59"/>
  <c r="G2256" i="59"/>
  <c r="G2257" i="59"/>
  <c r="G2258" i="59"/>
  <c r="G2259" i="59"/>
  <c r="G2260" i="59"/>
  <c r="H2260" i="59"/>
  <c r="G2261" i="59"/>
  <c r="G2262" i="59"/>
  <c r="G2263" i="59"/>
  <c r="G2264" i="59"/>
  <c r="G2265" i="59"/>
  <c r="G2266" i="59"/>
  <c r="G2267" i="59"/>
  <c r="G2268" i="59"/>
  <c r="G2269" i="59"/>
  <c r="H2269" i="59"/>
  <c r="G2270" i="59"/>
  <c r="G2271" i="59"/>
  <c r="G2272" i="59"/>
  <c r="G2273" i="59"/>
  <c r="G2274" i="59"/>
  <c r="G2275" i="59"/>
  <c r="G2276" i="59"/>
  <c r="H2276" i="59"/>
  <c r="G2277" i="59"/>
  <c r="G2278" i="59"/>
  <c r="G2279" i="59"/>
  <c r="G2280" i="59"/>
  <c r="G2281" i="59"/>
  <c r="G2282" i="59"/>
  <c r="G2283" i="59"/>
  <c r="G2284" i="59"/>
  <c r="G2285" i="59"/>
  <c r="G2286" i="59"/>
  <c r="G2287" i="59"/>
  <c r="G2288" i="59"/>
  <c r="G2289" i="59"/>
  <c r="G2290" i="59"/>
  <c r="G2291" i="59"/>
  <c r="G2292" i="59"/>
  <c r="G2293" i="59"/>
  <c r="G2294" i="59"/>
  <c r="G2295" i="59"/>
  <c r="G2296" i="59"/>
  <c r="G2297" i="59"/>
  <c r="G2298" i="59"/>
  <c r="G2299" i="59"/>
  <c r="G2300" i="59"/>
  <c r="G2301" i="59"/>
  <c r="G2302" i="59"/>
  <c r="G2303" i="59"/>
  <c r="G2304" i="59"/>
  <c r="G2305" i="59"/>
  <c r="G2306" i="59"/>
  <c r="G2307" i="59"/>
  <c r="G2308" i="59"/>
  <c r="G2309" i="59"/>
  <c r="G2310" i="59"/>
  <c r="G2311" i="59"/>
  <c r="G2312" i="59"/>
  <c r="G2313" i="59"/>
  <c r="G2314" i="59"/>
  <c r="G2315" i="59"/>
  <c r="G2316" i="59"/>
  <c r="G2317" i="59"/>
  <c r="G2318" i="59"/>
  <c r="G2319" i="59"/>
  <c r="G2320" i="59"/>
  <c r="G2321" i="59"/>
  <c r="G2322" i="59"/>
  <c r="G2323" i="59"/>
  <c r="H2323" i="59"/>
  <c r="G2324" i="59"/>
  <c r="G2325" i="59"/>
  <c r="G2326" i="59"/>
  <c r="G2327" i="59"/>
  <c r="G2328" i="59"/>
  <c r="G2329" i="59"/>
  <c r="G2330" i="59"/>
  <c r="G2331" i="59"/>
  <c r="G2332" i="59"/>
  <c r="G2333" i="59"/>
  <c r="G2334" i="59"/>
  <c r="G2335" i="59"/>
  <c r="G2336" i="59"/>
  <c r="G2337" i="59"/>
  <c r="G2338" i="59"/>
  <c r="G2339" i="59"/>
  <c r="G2340" i="59"/>
  <c r="G2341" i="59"/>
  <c r="G2342" i="59"/>
  <c r="G2343" i="59"/>
  <c r="H2343" i="59"/>
  <c r="J2343" i="59" s="1"/>
  <c r="G2344" i="59"/>
  <c r="G2345" i="59"/>
  <c r="G2346" i="59"/>
  <c r="G2347" i="59"/>
  <c r="G2348" i="59"/>
  <c r="G2349" i="59"/>
  <c r="G2350" i="59"/>
  <c r="G2351" i="59"/>
  <c r="H2351" i="59"/>
  <c r="J2351" i="59" s="1"/>
  <c r="G2352" i="59"/>
  <c r="G2353" i="59"/>
  <c r="G2354" i="59"/>
  <c r="G2355" i="59"/>
  <c r="G2356" i="59"/>
  <c r="G2357" i="59"/>
  <c r="G2358" i="59"/>
  <c r="G2359" i="59"/>
  <c r="G2360" i="59"/>
  <c r="G2361" i="59"/>
  <c r="G2362" i="59"/>
  <c r="G2363" i="59"/>
  <c r="G2364" i="59"/>
  <c r="G2365" i="59"/>
  <c r="G2366" i="59"/>
  <c r="G2367" i="59"/>
  <c r="G2368" i="59"/>
  <c r="G2369" i="59"/>
  <c r="G2370" i="59"/>
  <c r="G2371" i="59"/>
  <c r="G2372" i="59"/>
  <c r="G2373" i="59"/>
  <c r="G2374" i="59"/>
  <c r="G2375" i="59"/>
  <c r="G2376" i="59"/>
  <c r="G2377" i="59"/>
  <c r="H2377" i="59"/>
  <c r="G2378" i="59"/>
  <c r="H2378" i="59"/>
  <c r="G2379" i="59"/>
  <c r="H2379" i="59"/>
  <c r="G2380" i="59"/>
  <c r="H2380" i="59"/>
  <c r="G2381" i="59"/>
  <c r="H2381" i="59"/>
  <c r="G2382" i="59"/>
  <c r="H2382" i="59"/>
  <c r="G2383" i="59"/>
  <c r="H2383" i="59"/>
  <c r="G2384" i="59"/>
  <c r="H2384" i="59"/>
  <c r="G2385" i="59"/>
  <c r="H2385" i="59"/>
  <c r="G2386" i="59"/>
  <c r="H2386" i="59"/>
  <c r="G2387" i="59"/>
  <c r="H2387" i="59"/>
  <c r="I2387" i="59" s="1"/>
  <c r="G2388" i="59"/>
  <c r="H2388" i="59"/>
  <c r="I2388" i="59" s="1"/>
  <c r="G2389" i="59"/>
  <c r="H2389" i="59"/>
  <c r="I2389" i="59" s="1"/>
  <c r="G2390" i="59"/>
  <c r="H2390" i="59"/>
  <c r="G2391" i="59"/>
  <c r="H2391" i="59"/>
  <c r="I2391" i="59" s="1"/>
  <c r="G2392" i="59"/>
  <c r="H2392" i="59"/>
  <c r="G2393" i="59"/>
  <c r="G2394" i="59"/>
  <c r="G2395" i="59"/>
  <c r="G2396" i="59"/>
  <c r="G2397" i="59"/>
  <c r="G2398" i="59"/>
  <c r="G2399" i="59"/>
  <c r="G920" i="59"/>
  <c r="H920" i="59"/>
  <c r="G921" i="59"/>
  <c r="H921" i="59"/>
  <c r="G922" i="59"/>
  <c r="G923" i="59"/>
  <c r="G924" i="59"/>
  <c r="G925" i="59"/>
  <c r="H925" i="59"/>
  <c r="G926" i="59"/>
  <c r="G927" i="59"/>
  <c r="G928" i="59"/>
  <c r="G929" i="59"/>
  <c r="G930" i="59"/>
  <c r="G931" i="59"/>
  <c r="G932" i="59"/>
  <c r="G933" i="59"/>
  <c r="H933" i="59"/>
  <c r="G934" i="59"/>
  <c r="G935" i="59"/>
  <c r="G936" i="59"/>
  <c r="G937" i="59"/>
  <c r="G938" i="59"/>
  <c r="G939" i="59"/>
  <c r="G940" i="59"/>
  <c r="G941" i="59"/>
  <c r="H941" i="59"/>
  <c r="J941" i="59" s="1"/>
  <c r="G942" i="59"/>
  <c r="G943" i="59"/>
  <c r="G944" i="59"/>
  <c r="H944" i="59"/>
  <c r="J944" i="59" s="1"/>
  <c r="G945" i="59"/>
  <c r="G946" i="59"/>
  <c r="G947" i="59"/>
  <c r="G948" i="59"/>
  <c r="G949" i="59"/>
  <c r="G950" i="59"/>
  <c r="G951" i="59"/>
  <c r="G952" i="59"/>
  <c r="G953" i="59"/>
  <c r="G954" i="59"/>
  <c r="G955" i="59"/>
  <c r="G956" i="59"/>
  <c r="G957" i="59"/>
  <c r="G958" i="59"/>
  <c r="H958" i="59"/>
  <c r="G959" i="59"/>
  <c r="G960" i="59"/>
  <c r="G961" i="59"/>
  <c r="G962" i="59"/>
  <c r="G963" i="59"/>
  <c r="G964" i="59"/>
  <c r="G965" i="59"/>
  <c r="G966" i="59"/>
  <c r="G967" i="59"/>
  <c r="G968" i="59"/>
  <c r="G969" i="59"/>
  <c r="G970" i="59"/>
  <c r="G971" i="59"/>
  <c r="G972" i="59"/>
  <c r="G973" i="59"/>
  <c r="G974" i="59"/>
  <c r="G975" i="59"/>
  <c r="G976" i="59"/>
  <c r="G977" i="59"/>
  <c r="G978" i="59"/>
  <c r="G979" i="59"/>
  <c r="G980" i="59"/>
  <c r="G981" i="59"/>
  <c r="G982" i="59"/>
  <c r="G983" i="59"/>
  <c r="G984" i="59"/>
  <c r="G985" i="59"/>
  <c r="G986" i="59"/>
  <c r="G987" i="59"/>
  <c r="G988" i="59"/>
  <c r="G989" i="59"/>
  <c r="G990" i="59"/>
  <c r="G991" i="59"/>
  <c r="G992" i="59"/>
  <c r="G993" i="59"/>
  <c r="G994" i="59"/>
  <c r="G995" i="59"/>
  <c r="G996" i="59"/>
  <c r="G997" i="59"/>
  <c r="G998" i="59"/>
  <c r="G999" i="59"/>
  <c r="G1000" i="59"/>
  <c r="G1001" i="59"/>
  <c r="G1002" i="59"/>
  <c r="H1002" i="59"/>
  <c r="G1003" i="59"/>
  <c r="G1004" i="59"/>
  <c r="G709" i="59"/>
  <c r="H709" i="59"/>
  <c r="J709" i="59" s="1"/>
  <c r="G710" i="59"/>
  <c r="H710" i="59"/>
  <c r="I710" i="59" s="1"/>
  <c r="G711" i="59"/>
  <c r="H711" i="59"/>
  <c r="I711" i="59" s="1"/>
  <c r="G712" i="59"/>
  <c r="H712" i="59"/>
  <c r="I712" i="59" s="1"/>
  <c r="G713" i="59"/>
  <c r="H713" i="59"/>
  <c r="I713" i="59" s="1"/>
  <c r="G714" i="59"/>
  <c r="H714" i="59"/>
  <c r="I714" i="59" s="1"/>
  <c r="G715" i="59"/>
  <c r="H715" i="59"/>
  <c r="J715" i="59" s="1"/>
  <c r="G716" i="59"/>
  <c r="H716" i="59"/>
  <c r="I716" i="59" s="1"/>
  <c r="G717" i="59"/>
  <c r="H717" i="59"/>
  <c r="I717" i="59" s="1"/>
  <c r="G718" i="59"/>
  <c r="H718" i="59"/>
  <c r="I718" i="59" s="1"/>
  <c r="G719" i="59"/>
  <c r="H719" i="59"/>
  <c r="I719" i="59" s="1"/>
  <c r="G720" i="59"/>
  <c r="G721" i="59"/>
  <c r="G722" i="59"/>
  <c r="G723" i="59"/>
  <c r="G724" i="59"/>
  <c r="G725" i="59"/>
  <c r="G726" i="59"/>
  <c r="G727" i="59"/>
  <c r="G728" i="59"/>
  <c r="G729" i="59"/>
  <c r="G730" i="59"/>
  <c r="G731" i="59"/>
  <c r="G653" i="59"/>
  <c r="G590" i="59"/>
  <c r="G506" i="59"/>
  <c r="H506" i="59"/>
  <c r="I506" i="59" s="1"/>
  <c r="G507" i="59"/>
  <c r="G508" i="59"/>
  <c r="G509" i="59"/>
  <c r="G375" i="59"/>
  <c r="I3094" i="59" l="1"/>
  <c r="I3018" i="59"/>
  <c r="K3013" i="59"/>
  <c r="K3003" i="59"/>
  <c r="K3079" i="59"/>
  <c r="K2985" i="59"/>
  <c r="J2978" i="59"/>
  <c r="I2995" i="59"/>
  <c r="L3079" i="59"/>
  <c r="I2969" i="59"/>
  <c r="L3017" i="59"/>
  <c r="K3017" i="59"/>
  <c r="I3004" i="59"/>
  <c r="I2984" i="59"/>
  <c r="I2621" i="59"/>
  <c r="I3076" i="59"/>
  <c r="I3013" i="59"/>
  <c r="I3083" i="59"/>
  <c r="K3082" i="59"/>
  <c r="I3051" i="59"/>
  <c r="I3010" i="59"/>
  <c r="L3000" i="59"/>
  <c r="I3009" i="59"/>
  <c r="J3000" i="59"/>
  <c r="K3087" i="59"/>
  <c r="I2977" i="59"/>
  <c r="J3017" i="59"/>
  <c r="J2989" i="59"/>
  <c r="K3035" i="59"/>
  <c r="I2963" i="59"/>
  <c r="K3066" i="59"/>
  <c r="J3066" i="59"/>
  <c r="I3082" i="59"/>
  <c r="L3024" i="59"/>
  <c r="J2962" i="59"/>
  <c r="J2743" i="59"/>
  <c r="K3024" i="59"/>
  <c r="I3024" i="59"/>
  <c r="L2970" i="59"/>
  <c r="J3072" i="59"/>
  <c r="J3015" i="59"/>
  <c r="J2970" i="59"/>
  <c r="K3062" i="59"/>
  <c r="J3062" i="59"/>
  <c r="K2978" i="59"/>
  <c r="I2960" i="59"/>
  <c r="L2984" i="59"/>
  <c r="L3095" i="59"/>
  <c r="J3059" i="59"/>
  <c r="K2984" i="59"/>
  <c r="K3095" i="59"/>
  <c r="I3077" i="59"/>
  <c r="I3059" i="59"/>
  <c r="K3049" i="59"/>
  <c r="L3028" i="59"/>
  <c r="J3098" i="59"/>
  <c r="L3090" i="59"/>
  <c r="J2985" i="59"/>
  <c r="I3098" i="59"/>
  <c r="K3090" i="59"/>
  <c r="I3042" i="59"/>
  <c r="I2985" i="59"/>
  <c r="I3088" i="59"/>
  <c r="L3047" i="59"/>
  <c r="K3080" i="59"/>
  <c r="K3047" i="59"/>
  <c r="J3047" i="59"/>
  <c r="I3087" i="59"/>
  <c r="I3038" i="59"/>
  <c r="I3014" i="59"/>
  <c r="I3006" i="59"/>
  <c r="I2998" i="59"/>
  <c r="L2989" i="59"/>
  <c r="I2967" i="59"/>
  <c r="I2959" i="59"/>
  <c r="I3086" i="59"/>
  <c r="L3062" i="59"/>
  <c r="J3037" i="59"/>
  <c r="L3013" i="59"/>
  <c r="L2966" i="59"/>
  <c r="J3070" i="59"/>
  <c r="I3037" i="59"/>
  <c r="J2966" i="59"/>
  <c r="L3018" i="59"/>
  <c r="L2980" i="59"/>
  <c r="K2972" i="59"/>
  <c r="I3092" i="59"/>
  <c r="K3077" i="59"/>
  <c r="J3069" i="59"/>
  <c r="K3044" i="59"/>
  <c r="K3018" i="59"/>
  <c r="K2995" i="59"/>
  <c r="K2980" i="59"/>
  <c r="J2972" i="59"/>
  <c r="J3077" i="59"/>
  <c r="I3061" i="59"/>
  <c r="J3044" i="59"/>
  <c r="L3003" i="59"/>
  <c r="J2995" i="59"/>
  <c r="J2980" i="59"/>
  <c r="I2972" i="59"/>
  <c r="J3025" i="59"/>
  <c r="J3083" i="59"/>
  <c r="L3068" i="59"/>
  <c r="I3025" i="59"/>
  <c r="J3087" i="59"/>
  <c r="I3073" i="59"/>
  <c r="I3066" i="59"/>
  <c r="L3050" i="59"/>
  <c r="J3036" i="59"/>
  <c r="K3009" i="59"/>
  <c r="J3003" i="59"/>
  <c r="K2989" i="59"/>
  <c r="I2983" i="59"/>
  <c r="L2977" i="59"/>
  <c r="I2971" i="59"/>
  <c r="I3058" i="59"/>
  <c r="K3028" i="59"/>
  <c r="L3021" i="59"/>
  <c r="L3014" i="59"/>
  <c r="L2976" i="59"/>
  <c r="L2963" i="59"/>
  <c r="I3064" i="59"/>
  <c r="L3057" i="59"/>
  <c r="K3027" i="59"/>
  <c r="K3020" i="59"/>
  <c r="K3014" i="59"/>
  <c r="L2981" i="59"/>
  <c r="K2976" i="59"/>
  <c r="K2963" i="59"/>
  <c r="K2378" i="59"/>
  <c r="K2379" i="59" s="1"/>
  <c r="K2380" i="59" s="1"/>
  <c r="K2381" i="59" s="1"/>
  <c r="K2382" i="59" s="1"/>
  <c r="J3092" i="59"/>
  <c r="K3071" i="59"/>
  <c r="I3048" i="59"/>
  <c r="I3027" i="59"/>
  <c r="K2994" i="59"/>
  <c r="K2981" i="59"/>
  <c r="I2976" i="59"/>
  <c r="J2994" i="59"/>
  <c r="J2981" i="59"/>
  <c r="K3040" i="59"/>
  <c r="I3033" i="59"/>
  <c r="J3006" i="59"/>
  <c r="K3000" i="59"/>
  <c r="I2994" i="59"/>
  <c r="L3032" i="59"/>
  <c r="I2962" i="59"/>
  <c r="K3032" i="59"/>
  <c r="L2967" i="59"/>
  <c r="L3038" i="59"/>
  <c r="J3032" i="59"/>
  <c r="J3005" i="59"/>
  <c r="K2992" i="59"/>
  <c r="J2973" i="59"/>
  <c r="K2967" i="59"/>
  <c r="K3005" i="59"/>
  <c r="I3097" i="59"/>
  <c r="L3076" i="59"/>
  <c r="I3053" i="59"/>
  <c r="K3038" i="59"/>
  <c r="I3005" i="59"/>
  <c r="K2998" i="59"/>
  <c r="J2992" i="59"/>
  <c r="I2973" i="59"/>
  <c r="J2961" i="59"/>
  <c r="J3081" i="59"/>
  <c r="K3058" i="59"/>
  <c r="K3051" i="59"/>
  <c r="K3033" i="59"/>
  <c r="J3022" i="59"/>
  <c r="J2999" i="59"/>
  <c r="K2959" i="59"/>
  <c r="I3093" i="59"/>
  <c r="I3081" i="59"/>
  <c r="K3069" i="59"/>
  <c r="J3058" i="59"/>
  <c r="J3051" i="59"/>
  <c r="J3033" i="59"/>
  <c r="I3022" i="59"/>
  <c r="J3004" i="59"/>
  <c r="I2999" i="59"/>
  <c r="J2993" i="59"/>
  <c r="J2959" i="59"/>
  <c r="K3068" i="59"/>
  <c r="K3057" i="59"/>
  <c r="I3026" i="59"/>
  <c r="L3091" i="59"/>
  <c r="L3043" i="59"/>
  <c r="L2991" i="59"/>
  <c r="K3091" i="59"/>
  <c r="L3061" i="59"/>
  <c r="K3043" i="59"/>
  <c r="L3007" i="59"/>
  <c r="K2991" i="59"/>
  <c r="J3091" i="59"/>
  <c r="L3072" i="59"/>
  <c r="K3061" i="59"/>
  <c r="J3043" i="59"/>
  <c r="K3007" i="59"/>
  <c r="J2991" i="59"/>
  <c r="L2962" i="59"/>
  <c r="K3072" i="59"/>
  <c r="K3055" i="59"/>
  <c r="J3048" i="59"/>
  <c r="L3036" i="59"/>
  <c r="I3031" i="59"/>
  <c r="I3007" i="59"/>
  <c r="I2831" i="59"/>
  <c r="J2736" i="59"/>
  <c r="I3036" i="59"/>
  <c r="J3095" i="59"/>
  <c r="I3071" i="59"/>
  <c r="L3065" i="59"/>
  <c r="K3076" i="59"/>
  <c r="J3028" i="59"/>
  <c r="L3022" i="59"/>
  <c r="L2999" i="59"/>
  <c r="K2977" i="59"/>
  <c r="L3046" i="59"/>
  <c r="J3010" i="59"/>
  <c r="I2988" i="59"/>
  <c r="I2982" i="59"/>
  <c r="J2971" i="59"/>
  <c r="L3080" i="59"/>
  <c r="L3055" i="59"/>
  <c r="K3046" i="59"/>
  <c r="L3040" i="59"/>
  <c r="J3026" i="59"/>
  <c r="K2966" i="59"/>
  <c r="K2961" i="59"/>
  <c r="L3099" i="59"/>
  <c r="L3084" i="59"/>
  <c r="J3080" i="59"/>
  <c r="I3075" i="59"/>
  <c r="I3070" i="59"/>
  <c r="K3065" i="59"/>
  <c r="K3060" i="59"/>
  <c r="J3055" i="59"/>
  <c r="K3050" i="59"/>
  <c r="J3040" i="59"/>
  <c r="K3021" i="59"/>
  <c r="L3011" i="59"/>
  <c r="I2993" i="59"/>
  <c r="L2974" i="59"/>
  <c r="K2970" i="59"/>
  <c r="I2961" i="59"/>
  <c r="K3099" i="59"/>
  <c r="L3094" i="59"/>
  <c r="K3084" i="59"/>
  <c r="J3065" i="59"/>
  <c r="I3060" i="59"/>
  <c r="J3050" i="59"/>
  <c r="J3021" i="59"/>
  <c r="K3016" i="59"/>
  <c r="K3011" i="59"/>
  <c r="L3002" i="59"/>
  <c r="L2988" i="59"/>
  <c r="K2974" i="59"/>
  <c r="J3099" i="59"/>
  <c r="K3094" i="59"/>
  <c r="J3084" i="59"/>
  <c r="L3025" i="59"/>
  <c r="I3016" i="59"/>
  <c r="J3011" i="59"/>
  <c r="L3006" i="59"/>
  <c r="K3002" i="59"/>
  <c r="K2988" i="59"/>
  <c r="K2983" i="59"/>
  <c r="J2974" i="59"/>
  <c r="J2841" i="59"/>
  <c r="K2831" i="59"/>
  <c r="K2832" i="59" s="1"/>
  <c r="L3069" i="59"/>
  <c r="L3044" i="59"/>
  <c r="L3035" i="59"/>
  <c r="I3002" i="59"/>
  <c r="L2992" i="59"/>
  <c r="J2983" i="59"/>
  <c r="L2978" i="59"/>
  <c r="I2965" i="59"/>
  <c r="J2960" i="59"/>
  <c r="L3054" i="59"/>
  <c r="L3039" i="59"/>
  <c r="L3029" i="59"/>
  <c r="L2996" i="59"/>
  <c r="L3088" i="59"/>
  <c r="L3073" i="59"/>
  <c r="K3054" i="59"/>
  <c r="K3039" i="59"/>
  <c r="K3029" i="59"/>
  <c r="K2996" i="59"/>
  <c r="L2969" i="59"/>
  <c r="L3098" i="59"/>
  <c r="K3088" i="59"/>
  <c r="L3083" i="59"/>
  <c r="K3073" i="59"/>
  <c r="J3054" i="59"/>
  <c r="I3049" i="59"/>
  <c r="J3039" i="59"/>
  <c r="J3029" i="59"/>
  <c r="I3020" i="59"/>
  <c r="I3015" i="59"/>
  <c r="L3010" i="59"/>
  <c r="J2996" i="59"/>
  <c r="L2973" i="59"/>
  <c r="K2969" i="59"/>
  <c r="J2945" i="59"/>
  <c r="K3093" i="59"/>
  <c r="I2987" i="59"/>
  <c r="J2982" i="59"/>
  <c r="L3097" i="59"/>
  <c r="J3090" i="59"/>
  <c r="L3086" i="59"/>
  <c r="J3079" i="59"/>
  <c r="L3075" i="59"/>
  <c r="J3068" i="59"/>
  <c r="L3064" i="59"/>
  <c r="J3057" i="59"/>
  <c r="L3053" i="59"/>
  <c r="J3046" i="59"/>
  <c r="L3042" i="59"/>
  <c r="J3035" i="59"/>
  <c r="L3031" i="59"/>
  <c r="L3020" i="59"/>
  <c r="L3009" i="59"/>
  <c r="L2998" i="59"/>
  <c r="L2987" i="59"/>
  <c r="L2965" i="59"/>
  <c r="J2793" i="59"/>
  <c r="K3097" i="59"/>
  <c r="K3086" i="59"/>
  <c r="K3075" i="59"/>
  <c r="K3064" i="59"/>
  <c r="K3053" i="59"/>
  <c r="K3042" i="59"/>
  <c r="K3031" i="59"/>
  <c r="K2987" i="59"/>
  <c r="K2965" i="59"/>
  <c r="L3093" i="59"/>
  <c r="L3082" i="59"/>
  <c r="L3071" i="59"/>
  <c r="L3060" i="59"/>
  <c r="L3049" i="59"/>
  <c r="L3027" i="59"/>
  <c r="L3016" i="59"/>
  <c r="L3089" i="59"/>
  <c r="L3078" i="59"/>
  <c r="L3067" i="59"/>
  <c r="L3056" i="59"/>
  <c r="L3045" i="59"/>
  <c r="L3034" i="59"/>
  <c r="L3023" i="59"/>
  <c r="L3012" i="59"/>
  <c r="L3001" i="59"/>
  <c r="L2990" i="59"/>
  <c r="L2979" i="59"/>
  <c r="L2968" i="59"/>
  <c r="K3089" i="59"/>
  <c r="K3078" i="59"/>
  <c r="K3067" i="59"/>
  <c r="K3056" i="59"/>
  <c r="K3045" i="59"/>
  <c r="K3034" i="59"/>
  <c r="K3023" i="59"/>
  <c r="K3012" i="59"/>
  <c r="K3001" i="59"/>
  <c r="K2990" i="59"/>
  <c r="K2979" i="59"/>
  <c r="K2968" i="59"/>
  <c r="L3096" i="59"/>
  <c r="J3089" i="59"/>
  <c r="L3085" i="59"/>
  <c r="J3078" i="59"/>
  <c r="L3074" i="59"/>
  <c r="J3067" i="59"/>
  <c r="L3063" i="59"/>
  <c r="J3056" i="59"/>
  <c r="L3052" i="59"/>
  <c r="J3045" i="59"/>
  <c r="L3041" i="59"/>
  <c r="J3034" i="59"/>
  <c r="L3030" i="59"/>
  <c r="J3023" i="59"/>
  <c r="L3019" i="59"/>
  <c r="J3012" i="59"/>
  <c r="L3008" i="59"/>
  <c r="J3001" i="59"/>
  <c r="L2997" i="59"/>
  <c r="J2990" i="59"/>
  <c r="L2986" i="59"/>
  <c r="J2979" i="59"/>
  <c r="L2975" i="59"/>
  <c r="J2968" i="59"/>
  <c r="L2964" i="59"/>
  <c r="K3096" i="59"/>
  <c r="K3085" i="59"/>
  <c r="K3074" i="59"/>
  <c r="K3063" i="59"/>
  <c r="K3052" i="59"/>
  <c r="K3041" i="59"/>
  <c r="K3030" i="59"/>
  <c r="K3019" i="59"/>
  <c r="K3008" i="59"/>
  <c r="K2997" i="59"/>
  <c r="K2986" i="59"/>
  <c r="K2975" i="59"/>
  <c r="K2964" i="59"/>
  <c r="J3096" i="59"/>
  <c r="L3092" i="59"/>
  <c r="J3085" i="59"/>
  <c r="L3081" i="59"/>
  <c r="J3074" i="59"/>
  <c r="L3070" i="59"/>
  <c r="J3063" i="59"/>
  <c r="L3059" i="59"/>
  <c r="J3052" i="59"/>
  <c r="L3048" i="59"/>
  <c r="J3041" i="59"/>
  <c r="L3037" i="59"/>
  <c r="J3030" i="59"/>
  <c r="L3026" i="59"/>
  <c r="J3019" i="59"/>
  <c r="L3015" i="59"/>
  <c r="J3008" i="59"/>
  <c r="L3004" i="59"/>
  <c r="J2997" i="59"/>
  <c r="L2993" i="59"/>
  <c r="J2986" i="59"/>
  <c r="L2982" i="59"/>
  <c r="J2975" i="59"/>
  <c r="L2971" i="59"/>
  <c r="J2964" i="59"/>
  <c r="L2960" i="59"/>
  <c r="J2832" i="59"/>
  <c r="J2777" i="59"/>
  <c r="J2614" i="59"/>
  <c r="I2691" i="59"/>
  <c r="J2691" i="59"/>
  <c r="K2614" i="59"/>
  <c r="J2613" i="59"/>
  <c r="J2612" i="59"/>
  <c r="J2403" i="59"/>
  <c r="I2404" i="59"/>
  <c r="J2447" i="59"/>
  <c r="I2583" i="59"/>
  <c r="J2583" i="59"/>
  <c r="J2586" i="59"/>
  <c r="J2406" i="59"/>
  <c r="J2402" i="59"/>
  <c r="I2406" i="59"/>
  <c r="I2402" i="59"/>
  <c r="J2412" i="59"/>
  <c r="J2404" i="59"/>
  <c r="J2400" i="59"/>
  <c r="K2405" i="59"/>
  <c r="K2406" i="59" s="1"/>
  <c r="J2405" i="59"/>
  <c r="J2401" i="59"/>
  <c r="K2383" i="59"/>
  <c r="K2384" i="59" s="1"/>
  <c r="K2385" i="59" s="1"/>
  <c r="K2386" i="59" s="1"/>
  <c r="K2387" i="59" s="1"/>
  <c r="K1598" i="59"/>
  <c r="K1599" i="59" s="1"/>
  <c r="K1600" i="59" s="1"/>
  <c r="K1601" i="59" s="1"/>
  <c r="K1602" i="59" s="1"/>
  <c r="K2260" i="59"/>
  <c r="K1769" i="59"/>
  <c r="K1770" i="59" s="1"/>
  <c r="K1678" i="59"/>
  <c r="K1679" i="59" s="1"/>
  <c r="K1680" i="59" s="1"/>
  <c r="K1320" i="59"/>
  <c r="K1321" i="59" s="1"/>
  <c r="K1322" i="59" s="1"/>
  <c r="K1323" i="59" s="1"/>
  <c r="K1324" i="59" s="1"/>
  <c r="I2380" i="59"/>
  <c r="I1600" i="59"/>
  <c r="J2387" i="59"/>
  <c r="J2380" i="59"/>
  <c r="I1010" i="59"/>
  <c r="I1011" i="59" s="1"/>
  <c r="I1012" i="59" s="1"/>
  <c r="I1676" i="59"/>
  <c r="J1598" i="59"/>
  <c r="I1602" i="59"/>
  <c r="J1988" i="59"/>
  <c r="I1605" i="59"/>
  <c r="I1321" i="59"/>
  <c r="J2386" i="59"/>
  <c r="J1321" i="59"/>
  <c r="J1009" i="59"/>
  <c r="K2388" i="59"/>
  <c r="K2389" i="59" s="1"/>
  <c r="K2390" i="59" s="1"/>
  <c r="K2391" i="59" s="1"/>
  <c r="K2392" i="59" s="1"/>
  <c r="J2027" i="59"/>
  <c r="J2391" i="59"/>
  <c r="I1780" i="59"/>
  <c r="L1780" i="59"/>
  <c r="I1679" i="59"/>
  <c r="I1680" i="59" s="1"/>
  <c r="J1421" i="59"/>
  <c r="J1279" i="59"/>
  <c r="J1862" i="59"/>
  <c r="I1274" i="59"/>
  <c r="I1275" i="59" s="1"/>
  <c r="I1276" i="59" s="1"/>
  <c r="I1277" i="59" s="1"/>
  <c r="J1274" i="59"/>
  <c r="J1270" i="59"/>
  <c r="J2392" i="59"/>
  <c r="J1299" i="59"/>
  <c r="I2383" i="59"/>
  <c r="I1299" i="59"/>
  <c r="I1239" i="59"/>
  <c r="J2260" i="59"/>
  <c r="I1041" i="59"/>
  <c r="I1042" i="59" s="1"/>
  <c r="I1280" i="59"/>
  <c r="I1281" i="59" s="1"/>
  <c r="J1606" i="59"/>
  <c r="J2378" i="59"/>
  <c r="J1470" i="59"/>
  <c r="K1432" i="59"/>
  <c r="J1432" i="59"/>
  <c r="I1599" i="59"/>
  <c r="I1029" i="59"/>
  <c r="I1030" i="59" s="1"/>
  <c r="J1029" i="59"/>
  <c r="J2276" i="59"/>
  <c r="I2260" i="59"/>
  <c r="I1683" i="59"/>
  <c r="J1679" i="59"/>
  <c r="J1602" i="59"/>
  <c r="J1320" i="59"/>
  <c r="I1270" i="59"/>
  <c r="I1271" i="59" s="1"/>
  <c r="I1272" i="59" s="1"/>
  <c r="J1132" i="59"/>
  <c r="J1158" i="59"/>
  <c r="J1672" i="59"/>
  <c r="I1672" i="59"/>
  <c r="J920" i="59"/>
  <c r="J2384" i="59"/>
  <c r="J1906" i="59"/>
  <c r="I1768" i="59"/>
  <c r="J1768" i="59"/>
  <c r="J1631" i="59"/>
  <c r="J2388" i="59"/>
  <c r="I2384" i="59"/>
  <c r="J2382" i="59"/>
  <c r="I2124" i="59"/>
  <c r="J1959" i="59"/>
  <c r="K1325" i="59"/>
  <c r="K1326" i="59" s="1"/>
  <c r="I1325" i="59"/>
  <c r="J1325" i="59"/>
  <c r="I2392" i="59"/>
  <c r="J2390" i="59"/>
  <c r="I2377" i="59"/>
  <c r="J2269" i="59"/>
  <c r="J1788" i="59"/>
  <c r="J1858" i="59"/>
  <c r="J1770" i="59"/>
  <c r="J1652" i="59"/>
  <c r="K1652" i="59"/>
  <c r="J1338" i="59"/>
  <c r="K958" i="59"/>
  <c r="J1779" i="59"/>
  <c r="I2381" i="59"/>
  <c r="J2379" i="59"/>
  <c r="I2385" i="59"/>
  <c r="J2383" i="59"/>
  <c r="I2379" i="59"/>
  <c r="J2134" i="59"/>
  <c r="J1384" i="59"/>
  <c r="J1324" i="59"/>
  <c r="J1164" i="59"/>
  <c r="I1988" i="59"/>
  <c r="J1676" i="59"/>
  <c r="J1605" i="59"/>
  <c r="I1598" i="59"/>
  <c r="J1354" i="59"/>
  <c r="I1013" i="59"/>
  <c r="I1014" i="59" s="1"/>
  <c r="J1013" i="59"/>
  <c r="J1780" i="59"/>
  <c r="K1780" i="59"/>
  <c r="I1326" i="59"/>
  <c r="J1326" i="59"/>
  <c r="J1680" i="59"/>
  <c r="J1414" i="59"/>
  <c r="J1276" i="59"/>
  <c r="I1677" i="59"/>
  <c r="J1599" i="59"/>
  <c r="J1273" i="59"/>
  <c r="J1269" i="59"/>
  <c r="I1018" i="59"/>
  <c r="I1019" i="59" s="1"/>
  <c r="I1020" i="59" s="1"/>
  <c r="I1021" i="59" s="1"/>
  <c r="K1018" i="59"/>
  <c r="K1019" i="59" s="1"/>
  <c r="K1020" i="59" s="1"/>
  <c r="K1021" i="59" s="1"/>
  <c r="K1022" i="59" s="1"/>
  <c r="K1023" i="59" s="1"/>
  <c r="K1024" i="59" s="1"/>
  <c r="K1025" i="59" s="1"/>
  <c r="K1026" i="59" s="1"/>
  <c r="K1027" i="59" s="1"/>
  <c r="K1028" i="59" s="1"/>
  <c r="K1029" i="59" s="1"/>
  <c r="K1030" i="59" s="1"/>
  <c r="K1031" i="59" s="1"/>
  <c r="K1032" i="59" s="1"/>
  <c r="K1033" i="59" s="1"/>
  <c r="J1185" i="59"/>
  <c r="J1272" i="59"/>
  <c r="J1268" i="59"/>
  <c r="I1034" i="59"/>
  <c r="I1035" i="59" s="1"/>
  <c r="I1036" i="59" s="1"/>
  <c r="I1037" i="59" s="1"/>
  <c r="K1034" i="59"/>
  <c r="K1035" i="59" s="1"/>
  <c r="K1036" i="59" s="1"/>
  <c r="K1037" i="59" s="1"/>
  <c r="K1038" i="59" s="1"/>
  <c r="K1039" i="59" s="1"/>
  <c r="K1040" i="59" s="1"/>
  <c r="K1041" i="59" s="1"/>
  <c r="K1042" i="59" s="1"/>
  <c r="K1043" i="59" s="1"/>
  <c r="I1322" i="59"/>
  <c r="L1239" i="59"/>
  <c r="J1138" i="59"/>
  <c r="K1085" i="59"/>
  <c r="J1280" i="59"/>
  <c r="J1271" i="59"/>
  <c r="J1267" i="59"/>
  <c r="J1239" i="59"/>
  <c r="J1223" i="59"/>
  <c r="J1198" i="59"/>
  <c r="J1186" i="59"/>
  <c r="J1102" i="59"/>
  <c r="J1088" i="59"/>
  <c r="J1080" i="59"/>
  <c r="I2390" i="59"/>
  <c r="I2386" i="59"/>
  <c r="I2382" i="59"/>
  <c r="I2378" i="59"/>
  <c r="I1978" i="59"/>
  <c r="J1978" i="59"/>
  <c r="L2385" i="59"/>
  <c r="L2386" i="59" s="1"/>
  <c r="L2387" i="59" s="1"/>
  <c r="L2388" i="59" s="1"/>
  <c r="L2389" i="59" s="1"/>
  <c r="L2390" i="59" s="1"/>
  <c r="L2391" i="59" s="1"/>
  <c r="L2392" i="59" s="1"/>
  <c r="J2172" i="59"/>
  <c r="J2389" i="59"/>
  <c r="J2385" i="59"/>
  <c r="J2381" i="59"/>
  <c r="J2377" i="59"/>
  <c r="J2323" i="59"/>
  <c r="J1861" i="59"/>
  <c r="J2124" i="59"/>
  <c r="I1678" i="59"/>
  <c r="J1678" i="59"/>
  <c r="J1646" i="59"/>
  <c r="J1607" i="59"/>
  <c r="I1607" i="59"/>
  <c r="J1742" i="59"/>
  <c r="J1654" i="59"/>
  <c r="J1613" i="59"/>
  <c r="I1601" i="59"/>
  <c r="J1601" i="59"/>
  <c r="I1770" i="59"/>
  <c r="J1662" i="59"/>
  <c r="J1604" i="59"/>
  <c r="I1604" i="59"/>
  <c r="I1769" i="59"/>
  <c r="J1769" i="59"/>
  <c r="J1636" i="59"/>
  <c r="J1581" i="59"/>
  <c r="J1677" i="59"/>
  <c r="J1600" i="59"/>
  <c r="J1468" i="59"/>
  <c r="I1323" i="59"/>
  <c r="J1323" i="59"/>
  <c r="J1489" i="59"/>
  <c r="I1432" i="59"/>
  <c r="J1379" i="59"/>
  <c r="I1355" i="59"/>
  <c r="J1355" i="59"/>
  <c r="I1320" i="59"/>
  <c r="I1324" i="59"/>
  <c r="J1277" i="59"/>
  <c r="J1278" i="59"/>
  <c r="I1278" i="59"/>
  <c r="I1279" i="59" s="1"/>
  <c r="J1281" i="59"/>
  <c r="I1085" i="59"/>
  <c r="J1085" i="59"/>
  <c r="J1053" i="59"/>
  <c r="J1177" i="59"/>
  <c r="I1043" i="59"/>
  <c r="I1039" i="59"/>
  <c r="I1040" i="59" s="1"/>
  <c r="I1031" i="59"/>
  <c r="I1032" i="59" s="1"/>
  <c r="I1033" i="59" s="1"/>
  <c r="I1027" i="59"/>
  <c r="I1028" i="59" s="1"/>
  <c r="I1023" i="59"/>
  <c r="I1024" i="59" s="1"/>
  <c r="I1025" i="59" s="1"/>
  <c r="I1015" i="59"/>
  <c r="I1016" i="59" s="1"/>
  <c r="I1017" i="59" s="1"/>
  <c r="J1042" i="59"/>
  <c r="J1038" i="59"/>
  <c r="J1034" i="59"/>
  <c r="J1030" i="59"/>
  <c r="J1026" i="59"/>
  <c r="J1022" i="59"/>
  <c r="J1018" i="59"/>
  <c r="J1014" i="59"/>
  <c r="J1010" i="59"/>
  <c r="J1006" i="59"/>
  <c r="J1002" i="59"/>
  <c r="J958" i="59"/>
  <c r="I958" i="59"/>
  <c r="J921" i="59"/>
  <c r="I925" i="59"/>
  <c r="J925" i="59"/>
  <c r="I933" i="59"/>
  <c r="J933" i="59"/>
  <c r="I715" i="59"/>
  <c r="J716" i="59"/>
  <c r="I709" i="59"/>
  <c r="K715" i="59"/>
  <c r="K716" i="59" s="1"/>
  <c r="K717" i="59" s="1"/>
  <c r="K718" i="59" s="1"/>
  <c r="K719" i="59" s="1"/>
  <c r="J711" i="59"/>
  <c r="J719" i="59"/>
  <c r="J713" i="59"/>
  <c r="J717" i="59"/>
  <c r="J712" i="59"/>
  <c r="K710" i="59"/>
  <c r="K711" i="59" s="1"/>
  <c r="K712" i="59" s="1"/>
  <c r="K713" i="59" s="1"/>
  <c r="K714" i="59" s="1"/>
  <c r="J718" i="59"/>
  <c r="L715" i="59"/>
  <c r="L716" i="59" s="1"/>
  <c r="L717" i="59" s="1"/>
  <c r="L718" i="59" s="1"/>
  <c r="L719" i="59" s="1"/>
  <c r="J714" i="59"/>
  <c r="J710" i="59"/>
  <c r="J506" i="59"/>
  <c r="H252" i="59"/>
  <c r="J252" i="59" s="1"/>
  <c r="G248" i="59"/>
  <c r="G249" i="59"/>
  <c r="G250" i="59"/>
  <c r="G251" i="59"/>
  <c r="G11" i="59"/>
  <c r="G12" i="59"/>
  <c r="G13" i="59"/>
  <c r="G14" i="59"/>
  <c r="G15" i="59"/>
  <c r="G16" i="59"/>
  <c r="G17" i="59"/>
  <c r="G18" i="59"/>
  <c r="G19" i="59"/>
  <c r="G20" i="59"/>
  <c r="G21" i="59"/>
  <c r="G22" i="59"/>
  <c r="G23" i="59"/>
  <c r="G24" i="59"/>
  <c r="G25" i="59"/>
  <c r="G26" i="59"/>
  <c r="G27" i="59"/>
  <c r="G28" i="59"/>
  <c r="G29" i="59"/>
  <c r="G30" i="59"/>
  <c r="G31" i="59"/>
  <c r="G32" i="59"/>
  <c r="G33" i="59"/>
  <c r="G34" i="59"/>
  <c r="G35" i="59"/>
  <c r="G36" i="59"/>
  <c r="G37" i="59"/>
  <c r="G38" i="59"/>
  <c r="G39" i="59"/>
  <c r="G40" i="59"/>
  <c r="G41" i="59"/>
  <c r="G42" i="59"/>
  <c r="G43" i="59"/>
  <c r="G44" i="59"/>
  <c r="G45" i="59"/>
  <c r="G46" i="59"/>
  <c r="G47" i="59"/>
  <c r="G48" i="59"/>
  <c r="G49" i="59"/>
  <c r="G50" i="59"/>
  <c r="G51" i="59"/>
  <c r="G52" i="59"/>
  <c r="G53" i="59"/>
  <c r="G54" i="59"/>
  <c r="G55" i="59"/>
  <c r="G56" i="59"/>
  <c r="G57" i="59"/>
  <c r="G58" i="59"/>
  <c r="G59" i="59"/>
  <c r="G60" i="59"/>
  <c r="G61" i="59"/>
  <c r="G62" i="59"/>
  <c r="G63" i="59"/>
  <c r="G64" i="59"/>
  <c r="G65" i="59"/>
  <c r="G66" i="59"/>
  <c r="G67" i="59"/>
  <c r="G68" i="59"/>
  <c r="G69" i="59"/>
  <c r="G70" i="59"/>
  <c r="G71" i="59"/>
  <c r="G72" i="59"/>
  <c r="G73" i="59"/>
  <c r="G74" i="59"/>
  <c r="G75" i="59"/>
  <c r="G76" i="59"/>
  <c r="G77" i="59"/>
  <c r="G78" i="59"/>
  <c r="G79" i="59"/>
  <c r="G80" i="59"/>
  <c r="G81" i="59"/>
  <c r="G82" i="59"/>
  <c r="G83" i="59"/>
  <c r="G84" i="59"/>
  <c r="G85" i="59"/>
  <c r="G86" i="59"/>
  <c r="G87" i="59"/>
  <c r="G88" i="59"/>
  <c r="G89" i="59"/>
  <c r="G90" i="59"/>
  <c r="G91" i="59"/>
  <c r="G92" i="59"/>
  <c r="G93" i="59"/>
  <c r="G94" i="59"/>
  <c r="G95" i="59"/>
  <c r="G96" i="59"/>
  <c r="G97" i="59"/>
  <c r="G98" i="59"/>
  <c r="G99" i="59"/>
  <c r="G100" i="59"/>
  <c r="G101" i="59"/>
  <c r="G102" i="59"/>
  <c r="G103" i="59"/>
  <c r="G104" i="59"/>
  <c r="G105" i="59"/>
  <c r="G106" i="59"/>
  <c r="G107" i="59"/>
  <c r="G108" i="59"/>
  <c r="G109" i="59"/>
  <c r="G110" i="59"/>
  <c r="G111" i="59"/>
  <c r="G112" i="59"/>
  <c r="G113" i="59"/>
  <c r="G114" i="59"/>
  <c r="G115" i="59"/>
  <c r="G116" i="59"/>
  <c r="G117" i="59"/>
  <c r="G118" i="59"/>
  <c r="G119" i="59"/>
  <c r="G120" i="59"/>
  <c r="G121" i="59"/>
  <c r="G122" i="59"/>
  <c r="G123" i="59"/>
  <c r="G124" i="59"/>
  <c r="G125" i="59"/>
  <c r="G126" i="59"/>
  <c r="G127" i="59"/>
  <c r="G128" i="59"/>
  <c r="G129" i="59"/>
  <c r="G130" i="59"/>
  <c r="G131" i="59"/>
  <c r="G132" i="59"/>
  <c r="G133" i="59"/>
  <c r="G134" i="59"/>
  <c r="G135" i="59"/>
  <c r="G136" i="59"/>
  <c r="G137" i="59"/>
  <c r="G138" i="59"/>
  <c r="G139" i="59"/>
  <c r="G140" i="59"/>
  <c r="G141" i="59"/>
  <c r="G142" i="59"/>
  <c r="G143" i="59"/>
  <c r="G144" i="59"/>
  <c r="G145" i="59"/>
  <c r="G146" i="59"/>
  <c r="G147" i="59"/>
  <c r="G148" i="59"/>
  <c r="G149" i="59"/>
  <c r="G150" i="59"/>
  <c r="G151" i="59"/>
  <c r="G152" i="59"/>
  <c r="G153" i="59"/>
  <c r="G154" i="59"/>
  <c r="G155" i="59"/>
  <c r="G156" i="59"/>
  <c r="G157" i="59"/>
  <c r="G158" i="59"/>
  <c r="G159" i="59"/>
  <c r="G160" i="59"/>
  <c r="G161" i="59"/>
  <c r="G162" i="59"/>
  <c r="G163" i="59"/>
  <c r="G164" i="59"/>
  <c r="G165" i="59"/>
  <c r="G166" i="59"/>
  <c r="G167" i="59"/>
  <c r="G168" i="59"/>
  <c r="G169" i="59"/>
  <c r="G170" i="59"/>
  <c r="G171" i="59"/>
  <c r="G172" i="59"/>
  <c r="G173" i="59"/>
  <c r="G174" i="59"/>
  <c r="G175" i="59"/>
  <c r="G176" i="59"/>
  <c r="G177" i="59"/>
  <c r="G178" i="59"/>
  <c r="G179" i="59"/>
  <c r="G180" i="59"/>
  <c r="G181" i="59"/>
  <c r="G182" i="59"/>
  <c r="G183" i="59"/>
  <c r="G184" i="59"/>
  <c r="G185" i="59"/>
  <c r="G186" i="59"/>
  <c r="G187" i="59"/>
  <c r="G188" i="59"/>
  <c r="G189" i="59"/>
  <c r="G190" i="59"/>
  <c r="G191" i="59"/>
  <c r="G192" i="59"/>
  <c r="G193" i="59"/>
  <c r="G194" i="59"/>
  <c r="G195" i="59"/>
  <c r="G196" i="59"/>
  <c r="G197" i="59"/>
  <c r="G198" i="59"/>
  <c r="G199" i="59"/>
  <c r="G200" i="59"/>
  <c r="G201" i="59"/>
  <c r="G202" i="59"/>
  <c r="G203" i="59"/>
  <c r="G204" i="59"/>
  <c r="G205" i="59"/>
  <c r="G206" i="59"/>
  <c r="G207" i="59"/>
  <c r="G208" i="59"/>
  <c r="G209" i="59"/>
  <c r="G210" i="59"/>
  <c r="G211" i="59"/>
  <c r="G212" i="59"/>
  <c r="G213" i="59"/>
  <c r="G214" i="59"/>
  <c r="G215" i="59"/>
  <c r="G216" i="59"/>
  <c r="G217" i="59"/>
  <c r="G218" i="59"/>
  <c r="G219" i="59"/>
  <c r="G220" i="59"/>
  <c r="G221" i="59"/>
  <c r="G222" i="59"/>
  <c r="G223" i="59"/>
  <c r="G224" i="59"/>
  <c r="G225" i="59"/>
  <c r="G226" i="59"/>
  <c r="G227" i="59"/>
  <c r="G228" i="59"/>
  <c r="G229" i="59"/>
  <c r="G230" i="59"/>
  <c r="G231" i="59"/>
  <c r="G232" i="59"/>
  <c r="G233" i="59"/>
  <c r="G234" i="59"/>
  <c r="G235" i="59"/>
  <c r="G236" i="59"/>
  <c r="G237" i="59"/>
  <c r="G238" i="59"/>
  <c r="G239" i="59"/>
  <c r="G240" i="59"/>
  <c r="G241" i="59"/>
  <c r="G242" i="59"/>
  <c r="G243" i="59"/>
  <c r="G244" i="59"/>
  <c r="G245" i="59"/>
  <c r="G246" i="59"/>
  <c r="G247" i="59"/>
  <c r="G252" i="59"/>
  <c r="G253" i="59"/>
  <c r="G254" i="59"/>
  <c r="G255" i="59"/>
  <c r="G256" i="59"/>
  <c r="G257" i="59"/>
  <c r="G258" i="59"/>
  <c r="G259" i="59"/>
  <c r="G260" i="59"/>
  <c r="G261" i="59"/>
  <c r="G262" i="59"/>
  <c r="G263" i="59"/>
  <c r="G264" i="59"/>
  <c r="G265" i="59"/>
  <c r="G266" i="59"/>
  <c r="G267" i="59"/>
  <c r="G268" i="59"/>
  <c r="G269" i="59"/>
  <c r="G270" i="59"/>
  <c r="G271" i="59"/>
  <c r="G272" i="59"/>
  <c r="G273" i="59"/>
  <c r="G274" i="59"/>
  <c r="G275" i="59"/>
  <c r="G276" i="59"/>
  <c r="G277" i="59"/>
  <c r="G278" i="59"/>
  <c r="G279" i="59"/>
  <c r="G280" i="59"/>
  <c r="G281" i="59"/>
  <c r="G282" i="59"/>
  <c r="G283" i="59"/>
  <c r="G284" i="59"/>
  <c r="G285" i="59"/>
  <c r="G286" i="59"/>
  <c r="G287" i="59"/>
  <c r="G288" i="59"/>
  <c r="G289" i="59"/>
  <c r="G290" i="59"/>
  <c r="G291" i="59"/>
  <c r="G292" i="59"/>
  <c r="G293" i="59"/>
  <c r="G294" i="59"/>
  <c r="G295" i="59"/>
  <c r="G296" i="59"/>
  <c r="G297" i="59"/>
  <c r="G298" i="59"/>
  <c r="G299" i="59"/>
  <c r="G300" i="59"/>
  <c r="G301" i="59"/>
  <c r="G302" i="59"/>
  <c r="G303" i="59"/>
  <c r="G304" i="59"/>
  <c r="G305" i="59"/>
  <c r="G306" i="59"/>
  <c r="G307" i="59"/>
  <c r="G308" i="59"/>
  <c r="G309" i="59"/>
  <c r="G310" i="59"/>
  <c r="G311" i="59"/>
  <c r="G312" i="59"/>
  <c r="G313" i="59"/>
  <c r="G314" i="59"/>
  <c r="G315" i="59"/>
  <c r="G316" i="59"/>
  <c r="G317" i="59"/>
  <c r="G318" i="59"/>
  <c r="G319" i="59"/>
  <c r="G320" i="59"/>
  <c r="G321" i="59"/>
  <c r="G322" i="59"/>
  <c r="G323" i="59"/>
  <c r="G324" i="59"/>
  <c r="G325" i="59"/>
  <c r="G326" i="59"/>
  <c r="G327" i="59"/>
  <c r="G328" i="59"/>
  <c r="G329" i="59"/>
  <c r="G330" i="59"/>
  <c r="G331" i="59"/>
  <c r="G332" i="59"/>
  <c r="G333" i="59"/>
  <c r="G334" i="59"/>
  <c r="G335" i="59"/>
  <c r="G336" i="59"/>
  <c r="G337" i="59"/>
  <c r="G338" i="59"/>
  <c r="G339" i="59"/>
  <c r="G340" i="59"/>
  <c r="G341" i="59"/>
  <c r="G342" i="59"/>
  <c r="G343" i="59"/>
  <c r="G344" i="59"/>
  <c r="G345" i="59"/>
  <c r="G346" i="59"/>
  <c r="G347" i="59"/>
  <c r="G348" i="59"/>
  <c r="G349" i="59"/>
  <c r="G350" i="59"/>
  <c r="G351" i="59"/>
  <c r="G352" i="59"/>
  <c r="G353" i="59"/>
  <c r="G354" i="59"/>
  <c r="G355" i="59"/>
  <c r="G356" i="59"/>
  <c r="G357" i="59"/>
  <c r="G358" i="59"/>
  <c r="G359" i="59"/>
  <c r="G360" i="59"/>
  <c r="G361" i="59"/>
  <c r="G362" i="59"/>
  <c r="G363" i="59"/>
  <c r="G364" i="59"/>
  <c r="G365" i="59"/>
  <c r="G366" i="59"/>
  <c r="G367" i="59"/>
  <c r="G368" i="59"/>
  <c r="G369" i="59"/>
  <c r="G370" i="59"/>
  <c r="G371" i="59"/>
  <c r="G372" i="59"/>
  <c r="G373" i="59"/>
  <c r="G374" i="59"/>
  <c r="G376" i="59"/>
  <c r="G377" i="59"/>
  <c r="G378" i="59"/>
  <c r="G379" i="59"/>
  <c r="G380" i="59"/>
  <c r="G381" i="59"/>
  <c r="G382" i="59"/>
  <c r="G383" i="59"/>
  <c r="G384" i="59"/>
  <c r="G385" i="59"/>
  <c r="G386" i="59"/>
  <c r="G387" i="59"/>
  <c r="G388" i="59"/>
  <c r="G389" i="59"/>
  <c r="G390" i="59"/>
  <c r="G391" i="59"/>
  <c r="G392" i="59"/>
  <c r="G393" i="59"/>
  <c r="G394" i="59"/>
  <c r="G395" i="59"/>
  <c r="G396" i="59"/>
  <c r="G397" i="59"/>
  <c r="G398" i="59"/>
  <c r="G399" i="59"/>
  <c r="G400" i="59"/>
  <c r="G401" i="59"/>
  <c r="G402" i="59"/>
  <c r="G403" i="59"/>
  <c r="G404" i="59"/>
  <c r="G405" i="59"/>
  <c r="G406" i="59"/>
  <c r="G407" i="59"/>
  <c r="G408" i="59"/>
  <c r="G409" i="59"/>
  <c r="G410" i="59"/>
  <c r="G411" i="59"/>
  <c r="G412" i="59"/>
  <c r="G413" i="59"/>
  <c r="G414" i="59"/>
  <c r="G415" i="59"/>
  <c r="G416" i="59"/>
  <c r="G417" i="59"/>
  <c r="G418" i="59"/>
  <c r="G419" i="59"/>
  <c r="G420" i="59"/>
  <c r="G421" i="59"/>
  <c r="G422" i="59"/>
  <c r="G423" i="59"/>
  <c r="G424" i="59"/>
  <c r="G425" i="59"/>
  <c r="G426" i="59"/>
  <c r="G427" i="59"/>
  <c r="G428" i="59"/>
  <c r="G429" i="59"/>
  <c r="G430" i="59"/>
  <c r="G431" i="59"/>
  <c r="G432" i="59"/>
  <c r="G433" i="59"/>
  <c r="G434" i="59"/>
  <c r="G435" i="59"/>
  <c r="G436" i="59"/>
  <c r="G437" i="59"/>
  <c r="G438" i="59"/>
  <c r="G439" i="59"/>
  <c r="G440" i="59"/>
  <c r="G441" i="59"/>
  <c r="G442" i="59"/>
  <c r="G443" i="59"/>
  <c r="G444" i="59"/>
  <c r="G445" i="59"/>
  <c r="G446" i="59"/>
  <c r="G447" i="59"/>
  <c r="G448" i="59"/>
  <c r="G449" i="59"/>
  <c r="G450" i="59"/>
  <c r="G451" i="59"/>
  <c r="G452" i="59"/>
  <c r="G453" i="59"/>
  <c r="G454" i="59"/>
  <c r="G455" i="59"/>
  <c r="G456" i="59"/>
  <c r="G457" i="59"/>
  <c r="G458" i="59"/>
  <c r="G459" i="59"/>
  <c r="G460" i="59"/>
  <c r="G461" i="59"/>
  <c r="G462" i="59"/>
  <c r="G463" i="59"/>
  <c r="G464" i="59"/>
  <c r="G465" i="59"/>
  <c r="G466" i="59"/>
  <c r="G467" i="59"/>
  <c r="G468" i="59"/>
  <c r="G469" i="59"/>
  <c r="G470" i="59"/>
  <c r="G471" i="59"/>
  <c r="G472" i="59"/>
  <c r="G473" i="59"/>
  <c r="G474" i="59"/>
  <c r="G475" i="59"/>
  <c r="G476" i="59"/>
  <c r="G477" i="59"/>
  <c r="G478" i="59"/>
  <c r="G479" i="59"/>
  <c r="G480" i="59"/>
  <c r="G481" i="59"/>
  <c r="G482" i="59"/>
  <c r="G483" i="59"/>
  <c r="G484" i="59"/>
  <c r="G485" i="59"/>
  <c r="G486" i="59"/>
  <c r="G487" i="59"/>
  <c r="G488" i="59"/>
  <c r="G489" i="59"/>
  <c r="G490" i="59"/>
  <c r="G491" i="59"/>
  <c r="G492" i="59"/>
  <c r="G493" i="59"/>
  <c r="G494" i="59"/>
  <c r="G495" i="59"/>
  <c r="G496" i="59"/>
  <c r="G497" i="59"/>
  <c r="G498" i="59"/>
  <c r="G499" i="59"/>
  <c r="G500" i="59"/>
  <c r="G501" i="59"/>
  <c r="G502" i="59"/>
  <c r="G503" i="59"/>
  <c r="G504" i="59"/>
  <c r="G505" i="59"/>
  <c r="G510" i="59"/>
  <c r="G511" i="59"/>
  <c r="G512" i="59"/>
  <c r="G513" i="59"/>
  <c r="G514" i="59"/>
  <c r="G515" i="59"/>
  <c r="G516" i="59"/>
  <c r="G517" i="59"/>
  <c r="G518" i="59"/>
  <c r="G519" i="59"/>
  <c r="G520" i="59"/>
  <c r="G521" i="59"/>
  <c r="G522" i="59"/>
  <c r="G523" i="59"/>
  <c r="G524" i="59"/>
  <c r="G525" i="59"/>
  <c r="G526" i="59"/>
  <c r="G527" i="59"/>
  <c r="G528" i="59"/>
  <c r="G529" i="59"/>
  <c r="G530" i="59"/>
  <c r="G531" i="59"/>
  <c r="G532" i="59"/>
  <c r="G533" i="59"/>
  <c r="G534" i="59"/>
  <c r="G535" i="59"/>
  <c r="G536" i="59"/>
  <c r="G537" i="59"/>
  <c r="G538" i="59"/>
  <c r="G539" i="59"/>
  <c r="G540" i="59"/>
  <c r="G541" i="59"/>
  <c r="G542" i="59"/>
  <c r="G543" i="59"/>
  <c r="G544" i="59"/>
  <c r="G545" i="59"/>
  <c r="G546" i="59"/>
  <c r="G547" i="59"/>
  <c r="G548" i="59"/>
  <c r="G549" i="59"/>
  <c r="G550" i="59"/>
  <c r="G551" i="59"/>
  <c r="G552" i="59"/>
  <c r="G553" i="59"/>
  <c r="G554" i="59"/>
  <c r="G555" i="59"/>
  <c r="G556" i="59"/>
  <c r="G557" i="59"/>
  <c r="G558" i="59"/>
  <c r="G559" i="59"/>
  <c r="G560" i="59"/>
  <c r="G561" i="59"/>
  <c r="G562" i="59"/>
  <c r="G563" i="59"/>
  <c r="G564" i="59"/>
  <c r="G565" i="59"/>
  <c r="G566" i="59"/>
  <c r="G567" i="59"/>
  <c r="G568" i="59"/>
  <c r="G569" i="59"/>
  <c r="G570" i="59"/>
  <c r="G571" i="59"/>
  <c r="G572" i="59"/>
  <c r="G573" i="59"/>
  <c r="G574" i="59"/>
  <c r="G575" i="59"/>
  <c r="G576" i="59"/>
  <c r="G577" i="59"/>
  <c r="G578" i="59"/>
  <c r="G579" i="59"/>
  <c r="G580" i="59"/>
  <c r="G581" i="59"/>
  <c r="G582" i="59"/>
  <c r="G583" i="59"/>
  <c r="G584" i="59"/>
  <c r="G585" i="59"/>
  <c r="G586" i="59"/>
  <c r="G587" i="59"/>
  <c r="G588" i="59"/>
  <c r="G589" i="59"/>
  <c r="G591" i="59"/>
  <c r="G592" i="59"/>
  <c r="G593" i="59"/>
  <c r="G594" i="59"/>
  <c r="G595" i="59"/>
  <c r="G596" i="59"/>
  <c r="G597" i="59"/>
  <c r="G598" i="59"/>
  <c r="G599" i="59"/>
  <c r="G600" i="59"/>
  <c r="G601" i="59"/>
  <c r="G602" i="59"/>
  <c r="G603" i="59"/>
  <c r="G604" i="59"/>
  <c r="G605" i="59"/>
  <c r="G606" i="59"/>
  <c r="G607" i="59"/>
  <c r="G608" i="59"/>
  <c r="G609" i="59"/>
  <c r="G610" i="59"/>
  <c r="G611" i="59"/>
  <c r="G612" i="59"/>
  <c r="G613" i="59"/>
  <c r="G614" i="59"/>
  <c r="G615" i="59"/>
  <c r="G616" i="59"/>
  <c r="G617" i="59"/>
  <c r="G618" i="59"/>
  <c r="G619" i="59"/>
  <c r="G620" i="59"/>
  <c r="G621" i="59"/>
  <c r="G622" i="59"/>
  <c r="G623" i="59"/>
  <c r="G624" i="59"/>
  <c r="G625" i="59"/>
  <c r="G626" i="59"/>
  <c r="G627" i="59"/>
  <c r="G628" i="59"/>
  <c r="G629" i="59"/>
  <c r="G630" i="59"/>
  <c r="G631" i="59"/>
  <c r="G632" i="59"/>
  <c r="G633" i="59"/>
  <c r="G634" i="59"/>
  <c r="G635" i="59"/>
  <c r="G636" i="59"/>
  <c r="G637" i="59"/>
  <c r="G638" i="59"/>
  <c r="G639" i="59"/>
  <c r="G640" i="59"/>
  <c r="G641" i="59"/>
  <c r="G642" i="59"/>
  <c r="G643" i="59"/>
  <c r="G644" i="59"/>
  <c r="G645" i="59"/>
  <c r="G646" i="59"/>
  <c r="G647" i="59"/>
  <c r="G648" i="59"/>
  <c r="G649" i="59"/>
  <c r="G650" i="59"/>
  <c r="G651" i="59"/>
  <c r="G652" i="59"/>
  <c r="G654" i="59"/>
  <c r="G655" i="59"/>
  <c r="G656" i="59"/>
  <c r="G657" i="59"/>
  <c r="G658" i="59"/>
  <c r="G659" i="59"/>
  <c r="G660" i="59"/>
  <c r="G661" i="59"/>
  <c r="G662" i="59"/>
  <c r="G663" i="59"/>
  <c r="G664" i="59"/>
  <c r="G665" i="59"/>
  <c r="G666" i="59"/>
  <c r="G667" i="59"/>
  <c r="G668" i="59"/>
  <c r="G669" i="59"/>
  <c r="G670" i="59"/>
  <c r="G671" i="59"/>
  <c r="G672" i="59"/>
  <c r="G673" i="59"/>
  <c r="G674" i="59"/>
  <c r="G675" i="59"/>
  <c r="G676" i="59"/>
  <c r="G677" i="59"/>
  <c r="G678" i="59"/>
  <c r="G679" i="59"/>
  <c r="G680" i="59"/>
  <c r="G681" i="59"/>
  <c r="G682" i="59"/>
  <c r="G683" i="59"/>
  <c r="G684" i="59"/>
  <c r="G685" i="59"/>
  <c r="G686" i="59"/>
  <c r="G687" i="59"/>
  <c r="G688" i="59"/>
  <c r="G689" i="59"/>
  <c r="G690" i="59"/>
  <c r="G691" i="59"/>
  <c r="G692" i="59"/>
  <c r="G693" i="59"/>
  <c r="G694" i="59"/>
  <c r="G695" i="59"/>
  <c r="G696" i="59"/>
  <c r="G697" i="59"/>
  <c r="G698" i="59"/>
  <c r="G699" i="59"/>
  <c r="G700" i="59"/>
  <c r="G701" i="59"/>
  <c r="G702" i="59"/>
  <c r="G703" i="59"/>
  <c r="G704" i="59"/>
  <c r="G705" i="59"/>
  <c r="G706" i="59"/>
  <c r="G707" i="59"/>
  <c r="G708" i="59"/>
  <c r="G732" i="59"/>
  <c r="G733" i="59"/>
  <c r="G734" i="59"/>
  <c r="G735" i="59"/>
  <c r="G736" i="59"/>
  <c r="G737" i="59"/>
  <c r="G738" i="59"/>
  <c r="G739" i="59"/>
  <c r="G740" i="59"/>
  <c r="G741" i="59"/>
  <c r="G742" i="59"/>
  <c r="G743" i="59"/>
  <c r="G744" i="59"/>
  <c r="G745" i="59"/>
  <c r="G746" i="59"/>
  <c r="G747" i="59"/>
  <c r="G748" i="59"/>
  <c r="G749" i="59"/>
  <c r="G750" i="59"/>
  <c r="G751" i="59"/>
  <c r="G752" i="59"/>
  <c r="G753" i="59"/>
  <c r="G754" i="59"/>
  <c r="G755" i="59"/>
  <c r="G756" i="59"/>
  <c r="G757" i="59"/>
  <c r="G758" i="59"/>
  <c r="G759" i="59"/>
  <c r="G760" i="59"/>
  <c r="G761" i="59"/>
  <c r="G762" i="59"/>
  <c r="G763" i="59"/>
  <c r="G764" i="59"/>
  <c r="G765" i="59"/>
  <c r="G766" i="59"/>
  <c r="G767" i="59"/>
  <c r="G768" i="59"/>
  <c r="G769" i="59"/>
  <c r="G770" i="59"/>
  <c r="G771" i="59"/>
  <c r="G772" i="59"/>
  <c r="G773" i="59"/>
  <c r="G774" i="59"/>
  <c r="G775" i="59"/>
  <c r="G776" i="59"/>
  <c r="G777" i="59"/>
  <c r="G778" i="59"/>
  <c r="G779" i="59"/>
  <c r="G780" i="59"/>
  <c r="G781" i="59"/>
  <c r="G782" i="59"/>
  <c r="G783" i="59"/>
  <c r="G784" i="59"/>
  <c r="G785" i="59"/>
  <c r="G786" i="59"/>
  <c r="G787" i="59"/>
  <c r="G788" i="59"/>
  <c r="G789" i="59"/>
  <c r="G790" i="59"/>
  <c r="G791" i="59"/>
  <c r="G792" i="59"/>
  <c r="G793" i="59"/>
  <c r="G794" i="59"/>
  <c r="G795" i="59"/>
  <c r="G796" i="59"/>
  <c r="G797" i="59"/>
  <c r="G798" i="59"/>
  <c r="G799" i="59"/>
  <c r="G800" i="59"/>
  <c r="G801" i="59"/>
  <c r="G802" i="59"/>
  <c r="G803" i="59"/>
  <c r="G804" i="59"/>
  <c r="G805" i="59"/>
  <c r="G806" i="59"/>
  <c r="G807" i="59"/>
  <c r="G808" i="59"/>
  <c r="G809" i="59"/>
  <c r="G810" i="59"/>
  <c r="G811" i="59"/>
  <c r="G812" i="59"/>
  <c r="G813" i="59"/>
  <c r="G814" i="59"/>
  <c r="G815" i="59"/>
  <c r="G816" i="59"/>
  <c r="G817" i="59"/>
  <c r="G818" i="59"/>
  <c r="G819" i="59"/>
  <c r="G820" i="59"/>
  <c r="G821" i="59"/>
  <c r="G822" i="59"/>
  <c r="G823" i="59"/>
  <c r="G824" i="59"/>
  <c r="G825" i="59"/>
  <c r="G826" i="59"/>
  <c r="G827" i="59"/>
  <c r="G828" i="59"/>
  <c r="G829" i="59"/>
  <c r="G830" i="59"/>
  <c r="G831" i="59"/>
  <c r="G832" i="59"/>
  <c r="G833" i="59"/>
  <c r="G834" i="59"/>
  <c r="G835" i="59"/>
  <c r="G836" i="59"/>
  <c r="G837" i="59"/>
  <c r="G838" i="59"/>
  <c r="G839" i="59"/>
  <c r="G840" i="59"/>
  <c r="G841" i="59"/>
  <c r="G842" i="59"/>
  <c r="G843" i="59"/>
  <c r="G844" i="59"/>
  <c r="G845" i="59"/>
  <c r="G846" i="59"/>
  <c r="G847" i="59"/>
  <c r="G848" i="59"/>
  <c r="G849" i="59"/>
  <c r="G850" i="59"/>
  <c r="G851" i="59"/>
  <c r="G852" i="59"/>
  <c r="G853" i="59"/>
  <c r="G854" i="59"/>
  <c r="G855" i="59"/>
  <c r="G856" i="59"/>
  <c r="G857" i="59"/>
  <c r="G858" i="59"/>
  <c r="G859" i="59"/>
  <c r="G860" i="59"/>
  <c r="G861" i="59"/>
  <c r="G862" i="59"/>
  <c r="G863" i="59"/>
  <c r="G864" i="59"/>
  <c r="G865" i="59"/>
  <c r="G866" i="59"/>
  <c r="G867" i="59"/>
  <c r="G868" i="59"/>
  <c r="G869" i="59"/>
  <c r="G870" i="59"/>
  <c r="G871" i="59"/>
  <c r="G872" i="59"/>
  <c r="G873" i="59"/>
  <c r="G874" i="59"/>
  <c r="G875" i="59"/>
  <c r="G876" i="59"/>
  <c r="G877" i="59"/>
  <c r="G878" i="59"/>
  <c r="G879" i="59"/>
  <c r="G880" i="59"/>
  <c r="G881" i="59"/>
  <c r="G882" i="59"/>
  <c r="G883" i="59"/>
  <c r="G884" i="59"/>
  <c r="G885" i="59"/>
  <c r="G886" i="59"/>
  <c r="G887" i="59"/>
  <c r="G888" i="59"/>
  <c r="G889" i="59"/>
  <c r="G890" i="59"/>
  <c r="G891" i="59"/>
  <c r="G892" i="59"/>
  <c r="G893" i="59"/>
  <c r="G894" i="59"/>
  <c r="G895" i="59"/>
  <c r="G896" i="59"/>
  <c r="G897" i="59"/>
  <c r="G898" i="59"/>
  <c r="G899" i="59"/>
  <c r="G900" i="59"/>
  <c r="G901" i="59"/>
  <c r="G902" i="59"/>
  <c r="G903" i="59"/>
  <c r="G904" i="59"/>
  <c r="G905" i="59"/>
  <c r="G906" i="59"/>
  <c r="G907" i="59"/>
  <c r="G908" i="59"/>
  <c r="G909" i="59"/>
  <c r="G910" i="59"/>
  <c r="G911" i="59"/>
  <c r="G912" i="59"/>
  <c r="G913" i="59"/>
  <c r="G914" i="59"/>
  <c r="G915" i="59"/>
  <c r="G916" i="59"/>
  <c r="G917" i="59"/>
  <c r="G918" i="59"/>
  <c r="G919" i="59"/>
  <c r="F1" i="59" l="1"/>
  <c r="H2957" i="59" l="1"/>
  <c r="H2958" i="59"/>
  <c r="I2957" i="59"/>
  <c r="L2957" i="59"/>
  <c r="J2957" i="59"/>
  <c r="K2957" i="59"/>
  <c r="H2955" i="59"/>
  <c r="H2956" i="59"/>
  <c r="I2955" i="59"/>
  <c r="L2955" i="59"/>
  <c r="K2955" i="59"/>
  <c r="J2955" i="59"/>
  <c r="H2953" i="59"/>
  <c r="H2954" i="59"/>
  <c r="I2953" i="59"/>
  <c r="K2953" i="59"/>
  <c r="L2953" i="59"/>
  <c r="J2953" i="59"/>
  <c r="H2951" i="59"/>
  <c r="H2952" i="59"/>
  <c r="J2951" i="59"/>
  <c r="H2949" i="59"/>
  <c r="H2950" i="59"/>
  <c r="K2949" i="59"/>
  <c r="L2949" i="59"/>
  <c r="J2949" i="59"/>
  <c r="I2949" i="59"/>
  <c r="H2947" i="59"/>
  <c r="H2948" i="59"/>
  <c r="J2947" i="59"/>
  <c r="H2944" i="59"/>
  <c r="I2944" i="59" s="1"/>
  <c r="I2945" i="59" s="1"/>
  <c r="H2946" i="59"/>
  <c r="H2942" i="59"/>
  <c r="H2943" i="59"/>
  <c r="I2942" i="59"/>
  <c r="J2942" i="59"/>
  <c r="K2942" i="59"/>
  <c r="L2942" i="59"/>
  <c r="H2940" i="59"/>
  <c r="H2941" i="59"/>
  <c r="J2940" i="59"/>
  <c r="L2940" i="59"/>
  <c r="I2940" i="59"/>
  <c r="K2940" i="59"/>
  <c r="H2938" i="59"/>
  <c r="K2938" i="59" s="1"/>
  <c r="H2939" i="59"/>
  <c r="I2938" i="59"/>
  <c r="L2938" i="59"/>
  <c r="H2936" i="59"/>
  <c r="H2937" i="59"/>
  <c r="J2936" i="59"/>
  <c r="H2934" i="59"/>
  <c r="H2935" i="59"/>
  <c r="L2934" i="59"/>
  <c r="I2934" i="59"/>
  <c r="J2934" i="59"/>
  <c r="K2934" i="59"/>
  <c r="H2931" i="59"/>
  <c r="H2933" i="59"/>
  <c r="I2931" i="59"/>
  <c r="I2932" i="59" s="1"/>
  <c r="J2931" i="59"/>
  <c r="L2931" i="59"/>
  <c r="L2932" i="59" s="1"/>
  <c r="K2931" i="59"/>
  <c r="K2932" i="59" s="1"/>
  <c r="H2929" i="59"/>
  <c r="H2930" i="59"/>
  <c r="K2929" i="59"/>
  <c r="I2929" i="59"/>
  <c r="J2929" i="59"/>
  <c r="L2929" i="59"/>
  <c r="H2927" i="59"/>
  <c r="H2928" i="59"/>
  <c r="J2927" i="59"/>
  <c r="H2925" i="59"/>
  <c r="H2926" i="59"/>
  <c r="I2925" i="59"/>
  <c r="J2925" i="59"/>
  <c r="L2925" i="59"/>
  <c r="K2925" i="59"/>
  <c r="H2923" i="59"/>
  <c r="H2924" i="59"/>
  <c r="I2923" i="59"/>
  <c r="L2923" i="59"/>
  <c r="K2923" i="59"/>
  <c r="J2923" i="59"/>
  <c r="H2921" i="59"/>
  <c r="H2922" i="59"/>
  <c r="J2921" i="59"/>
  <c r="K2921" i="59"/>
  <c r="I2921" i="59"/>
  <c r="L2921" i="59"/>
  <c r="H2919" i="59"/>
  <c r="H2920" i="59"/>
  <c r="I2919" i="59"/>
  <c r="J2919" i="59"/>
  <c r="L2919" i="59"/>
  <c r="K2919" i="59"/>
  <c r="H2917" i="59"/>
  <c r="L2917" i="59" s="1"/>
  <c r="H2918" i="59"/>
  <c r="J2917" i="59"/>
  <c r="H2915" i="59"/>
  <c r="J2915" i="59" s="1"/>
  <c r="H2916" i="59"/>
  <c r="L2915" i="59"/>
  <c r="K2915" i="59"/>
  <c r="I2915" i="59"/>
  <c r="H2913" i="59"/>
  <c r="H2914" i="59"/>
  <c r="I2913" i="59"/>
  <c r="L2913" i="59"/>
  <c r="J2913" i="59"/>
  <c r="K2913" i="59"/>
  <c r="H2911" i="59"/>
  <c r="H2912" i="59"/>
  <c r="L2911" i="59"/>
  <c r="I2911" i="59"/>
  <c r="K2911" i="59"/>
  <c r="J2911" i="59"/>
  <c r="H2909" i="59"/>
  <c r="H2910" i="59"/>
  <c r="I2909" i="59"/>
  <c r="J2909" i="59"/>
  <c r="L2909" i="59"/>
  <c r="K2909" i="59"/>
  <c r="H2907" i="59"/>
  <c r="H2908" i="59"/>
  <c r="J2907" i="59"/>
  <c r="H2905" i="59"/>
  <c r="H2906" i="59"/>
  <c r="K2905" i="59"/>
  <c r="J2905" i="59"/>
  <c r="L2905" i="59"/>
  <c r="I2905" i="59"/>
  <c r="H2903" i="59"/>
  <c r="H2904" i="59"/>
  <c r="I2903" i="59"/>
  <c r="K2903" i="59"/>
  <c r="L2903" i="59"/>
  <c r="J2903" i="59"/>
  <c r="H2901" i="59"/>
  <c r="H2902" i="59"/>
  <c r="K2901" i="59"/>
  <c r="I2901" i="59"/>
  <c r="J2901" i="59"/>
  <c r="L2901" i="59"/>
  <c r="H2899" i="59"/>
  <c r="H2900" i="59"/>
  <c r="J2899" i="59"/>
  <c r="K2899" i="59"/>
  <c r="I2899" i="59"/>
  <c r="L2899" i="59"/>
  <c r="H2897" i="59"/>
  <c r="H2898" i="59"/>
  <c r="I2897" i="59"/>
  <c r="K2897" i="59"/>
  <c r="J2897" i="59"/>
  <c r="L2897" i="59"/>
  <c r="H2895" i="59"/>
  <c r="H2896" i="59"/>
  <c r="I2895" i="59"/>
  <c r="K2895" i="59"/>
  <c r="L2895" i="59"/>
  <c r="J2895" i="59"/>
  <c r="H2893" i="59"/>
  <c r="H2894" i="59"/>
  <c r="J2893" i="59"/>
  <c r="H2891" i="59"/>
  <c r="H2892" i="59"/>
  <c r="I2891" i="59"/>
  <c r="J2891" i="59"/>
  <c r="L2891" i="59"/>
  <c r="K2891" i="59"/>
  <c r="H2889" i="59"/>
  <c r="J2889" i="59" s="1"/>
  <c r="H2890" i="59"/>
  <c r="I2889" i="59"/>
  <c r="L2889" i="59"/>
  <c r="H2887" i="59"/>
  <c r="H2888" i="59"/>
  <c r="J2887" i="59"/>
  <c r="H2885" i="59"/>
  <c r="H2886" i="59"/>
  <c r="J2885" i="59"/>
  <c r="I2885" i="59"/>
  <c r="K2885" i="59"/>
  <c r="L2885" i="59"/>
  <c r="H2883" i="59"/>
  <c r="H2884" i="59"/>
  <c r="K2883" i="59"/>
  <c r="L2883" i="59"/>
  <c r="I2883" i="59"/>
  <c r="J2883" i="59"/>
  <c r="H2881" i="59"/>
  <c r="H2882" i="59"/>
  <c r="I2881" i="59"/>
  <c r="L2881" i="59"/>
  <c r="K2881" i="59"/>
  <c r="J2881" i="59"/>
  <c r="H2879" i="59"/>
  <c r="H2880" i="59"/>
  <c r="I2879" i="59"/>
  <c r="K2879" i="59"/>
  <c r="L2879" i="59"/>
  <c r="J2879" i="59"/>
  <c r="H2877" i="59"/>
  <c r="H2878" i="59"/>
  <c r="J2877" i="59"/>
  <c r="H2875" i="59"/>
  <c r="J2875" i="59" s="1"/>
  <c r="H2876" i="59"/>
  <c r="H2873" i="59"/>
  <c r="H2874" i="59"/>
  <c r="H2871" i="59"/>
  <c r="J2871" i="59" s="1"/>
  <c r="H2872" i="59"/>
  <c r="H2869" i="59"/>
  <c r="J2869" i="59" s="1"/>
  <c r="H2870" i="59"/>
  <c r="H2867" i="59"/>
  <c r="J2867" i="59" s="1"/>
  <c r="H2868" i="59"/>
  <c r="H2865" i="59"/>
  <c r="J2865" i="59" s="1"/>
  <c r="H2866" i="59"/>
  <c r="H2863" i="59"/>
  <c r="I2863" i="59" s="1"/>
  <c r="H2864" i="59"/>
  <c r="H2861" i="59"/>
  <c r="I2861" i="59" s="1"/>
  <c r="H2862" i="59"/>
  <c r="H2859" i="59"/>
  <c r="J2859" i="59" s="1"/>
  <c r="H2860" i="59"/>
  <c r="H2857" i="59"/>
  <c r="H2858" i="59"/>
  <c r="H2855" i="59"/>
  <c r="J2855" i="59" s="1"/>
  <c r="H2856" i="59"/>
  <c r="H2853" i="59"/>
  <c r="J2853" i="59" s="1"/>
  <c r="H2854" i="59"/>
  <c r="H2851" i="59"/>
  <c r="J2851" i="59" s="1"/>
  <c r="H2852" i="59"/>
  <c r="H2849" i="59"/>
  <c r="J2849" i="59" s="1"/>
  <c r="H2850" i="59"/>
  <c r="H2847" i="59"/>
  <c r="H2848" i="59"/>
  <c r="H2845" i="59"/>
  <c r="J2845" i="59" s="1"/>
  <c r="H2846" i="59"/>
  <c r="H2842" i="59"/>
  <c r="J2842" i="59" s="1"/>
  <c r="H2844" i="59"/>
  <c r="H2840" i="59"/>
  <c r="H2843" i="59"/>
  <c r="H2838" i="59"/>
  <c r="H2839" i="59"/>
  <c r="H2836" i="59"/>
  <c r="J2836" i="59" s="1"/>
  <c r="H2837" i="59"/>
  <c r="H2834" i="59"/>
  <c r="H2835" i="59"/>
  <c r="H2830" i="59"/>
  <c r="H2833" i="59"/>
  <c r="H2828" i="59"/>
  <c r="J2828" i="59" s="1"/>
  <c r="H2829" i="59"/>
  <c r="H2826" i="59"/>
  <c r="J2826" i="59" s="1"/>
  <c r="H2827" i="59"/>
  <c r="H2824" i="59"/>
  <c r="H2825" i="59"/>
  <c r="H2822" i="59"/>
  <c r="J2822" i="59" s="1"/>
  <c r="H2823" i="59"/>
  <c r="H2820" i="59"/>
  <c r="J2820" i="59" s="1"/>
  <c r="H2821" i="59"/>
  <c r="H2818" i="59"/>
  <c r="I2818" i="59" s="1"/>
  <c r="H2819" i="59"/>
  <c r="H2816" i="59"/>
  <c r="J2816" i="59" s="1"/>
  <c r="H2817" i="59"/>
  <c r="H2814" i="59"/>
  <c r="J2814" i="59" s="1"/>
  <c r="H2815" i="59"/>
  <c r="H2812" i="59"/>
  <c r="H2813" i="59"/>
  <c r="H2810" i="59"/>
  <c r="I2810" i="59" s="1"/>
  <c r="H2811" i="59"/>
  <c r="H2808" i="59"/>
  <c r="J2808" i="59" s="1"/>
  <c r="H2809" i="59"/>
  <c r="H2806" i="59"/>
  <c r="H2807" i="59"/>
  <c r="H2804" i="59"/>
  <c r="H2805" i="59"/>
  <c r="H2802" i="59"/>
  <c r="J2802" i="59" s="1"/>
  <c r="H2803" i="59"/>
  <c r="H2800" i="59"/>
  <c r="J2800" i="59" s="1"/>
  <c r="H2801" i="59"/>
  <c r="H2798" i="59"/>
  <c r="H2799" i="59"/>
  <c r="H2796" i="59"/>
  <c r="H2797" i="59"/>
  <c r="H2794" i="59"/>
  <c r="J2794" i="59" s="1"/>
  <c r="H2795" i="59"/>
  <c r="H2791" i="59"/>
  <c r="J2791" i="59" s="1"/>
  <c r="H2792" i="59"/>
  <c r="H2789" i="59"/>
  <c r="J2789" i="59" s="1"/>
  <c r="H2790" i="59"/>
  <c r="H2787" i="59"/>
  <c r="J2787" i="59" s="1"/>
  <c r="H2788" i="59"/>
  <c r="H2785" i="59"/>
  <c r="I2785" i="59" s="1"/>
  <c r="H2786" i="59"/>
  <c r="H2783" i="59"/>
  <c r="J2783" i="59" s="1"/>
  <c r="H2784" i="59"/>
  <c r="H2781" i="59"/>
  <c r="H2782" i="59"/>
  <c r="H2779" i="59"/>
  <c r="J2779" i="59" s="1"/>
  <c r="H2780" i="59"/>
  <c r="H2776" i="59"/>
  <c r="I2776" i="59" s="1"/>
  <c r="I2777" i="59" s="1"/>
  <c r="H2778" i="59"/>
  <c r="H2774" i="59"/>
  <c r="J2774" i="59" s="1"/>
  <c r="H2775" i="59"/>
  <c r="H2772" i="59"/>
  <c r="J2772" i="59" s="1"/>
  <c r="H2773" i="59"/>
  <c r="H2770" i="59"/>
  <c r="J2770" i="59" s="1"/>
  <c r="H2771" i="59"/>
  <c r="H2768" i="59"/>
  <c r="H2769" i="59"/>
  <c r="H2766" i="59"/>
  <c r="J2766" i="59" s="1"/>
  <c r="H2767" i="59"/>
  <c r="H2764" i="59"/>
  <c r="J2764" i="59" s="1"/>
  <c r="H2765" i="59"/>
  <c r="H2762" i="59"/>
  <c r="H2763" i="59"/>
  <c r="H2760" i="59"/>
  <c r="J2760" i="59" s="1"/>
  <c r="H2761" i="59"/>
  <c r="H2758" i="59"/>
  <c r="J2758" i="59" s="1"/>
  <c r="H2759" i="59"/>
  <c r="H2756" i="59"/>
  <c r="J2756" i="59" s="1"/>
  <c r="H2757" i="59"/>
  <c r="H2754" i="59"/>
  <c r="J2754" i="59" s="1"/>
  <c r="H2755" i="59"/>
  <c r="H2751" i="59"/>
  <c r="J2751" i="59" s="1"/>
  <c r="H2753" i="59"/>
  <c r="H2749" i="59"/>
  <c r="J2749" i="59" s="1"/>
  <c r="H2750" i="59"/>
  <c r="H2747" i="59"/>
  <c r="J2747" i="59" s="1"/>
  <c r="H2748" i="59"/>
  <c r="H2745" i="59"/>
  <c r="J2745" i="59" s="1"/>
  <c r="H2746" i="59"/>
  <c r="H2742" i="59"/>
  <c r="J2742" i="59" s="1"/>
  <c r="H2744" i="59"/>
  <c r="H2740" i="59"/>
  <c r="J2740" i="59" s="1"/>
  <c r="H2741" i="59"/>
  <c r="H2738" i="59"/>
  <c r="I2738" i="59" s="1"/>
  <c r="H2739" i="59"/>
  <c r="H2735" i="59"/>
  <c r="J2735" i="59" s="1"/>
  <c r="H2737" i="59"/>
  <c r="H2733" i="59"/>
  <c r="J2733" i="59" s="1"/>
  <c r="H2734" i="59"/>
  <c r="H2731" i="59"/>
  <c r="J2731" i="59" s="1"/>
  <c r="H2732" i="59"/>
  <c r="H2727" i="59"/>
  <c r="J2727" i="59" s="1"/>
  <c r="H2730" i="59"/>
  <c r="H2725" i="59"/>
  <c r="H2726" i="59"/>
  <c r="H2723" i="59"/>
  <c r="J2723" i="59" s="1"/>
  <c r="H2724" i="59"/>
  <c r="H2721" i="59"/>
  <c r="H2722" i="59"/>
  <c r="H2719" i="59"/>
  <c r="J2719" i="59" s="1"/>
  <c r="H2720" i="59"/>
  <c r="H2717" i="59"/>
  <c r="J2717" i="59" s="1"/>
  <c r="H2718" i="59"/>
  <c r="H2715" i="59"/>
  <c r="I2715" i="59" s="1"/>
  <c r="H2716" i="59"/>
  <c r="H2713" i="59"/>
  <c r="H2714" i="59"/>
  <c r="H2711" i="59"/>
  <c r="K2711" i="59" s="1"/>
  <c r="H2712" i="59"/>
  <c r="H2709" i="59"/>
  <c r="H2710" i="59"/>
  <c r="H2707" i="59"/>
  <c r="J2707" i="59" s="1"/>
  <c r="H2708" i="59"/>
  <c r="H2705" i="59"/>
  <c r="J2705" i="59" s="1"/>
  <c r="H2706" i="59"/>
  <c r="H2703" i="59"/>
  <c r="J2703" i="59" s="1"/>
  <c r="H2704" i="59"/>
  <c r="H2701" i="59"/>
  <c r="J2701" i="59" s="1"/>
  <c r="H2702" i="59"/>
  <c r="H2699" i="59"/>
  <c r="J2699" i="59" s="1"/>
  <c r="H2700" i="59"/>
  <c r="H2697" i="59"/>
  <c r="J2697" i="59" s="1"/>
  <c r="H2698" i="59"/>
  <c r="H2695" i="59"/>
  <c r="J2695" i="59" s="1"/>
  <c r="H2696" i="59"/>
  <c r="H2693" i="59"/>
  <c r="I2693" i="59" s="1"/>
  <c r="H2694" i="59"/>
  <c r="H2692" i="59"/>
  <c r="H2690" i="59"/>
  <c r="J2690" i="59" s="1"/>
  <c r="H2688" i="59"/>
  <c r="J2688" i="59" s="1"/>
  <c r="H2689" i="59"/>
  <c r="H2686" i="59"/>
  <c r="H2687" i="59"/>
  <c r="H2684" i="59"/>
  <c r="J2684" i="59" s="1"/>
  <c r="H2685" i="59"/>
  <c r="H2682" i="59"/>
  <c r="J2682" i="59" s="1"/>
  <c r="H2683" i="59"/>
  <c r="H2680" i="59"/>
  <c r="J2680" i="59" s="1"/>
  <c r="H2681" i="59"/>
  <c r="H2678" i="59"/>
  <c r="J2678" i="59" s="1"/>
  <c r="H2679" i="59"/>
  <c r="H2676" i="59"/>
  <c r="J2676" i="59" s="1"/>
  <c r="H2677" i="59"/>
  <c r="H2674" i="59"/>
  <c r="I2674" i="59" s="1"/>
  <c r="H2675" i="59"/>
  <c r="H2672" i="59"/>
  <c r="J2672" i="59" s="1"/>
  <c r="H2673" i="59"/>
  <c r="H2670" i="59"/>
  <c r="H2671" i="59"/>
  <c r="H2668" i="59"/>
  <c r="J2668" i="59" s="1"/>
  <c r="H2669" i="59"/>
  <c r="H2666" i="59"/>
  <c r="J2666" i="59" s="1"/>
  <c r="H2667" i="59"/>
  <c r="H2664" i="59"/>
  <c r="J2664" i="59" s="1"/>
  <c r="H2665" i="59"/>
  <c r="H2662" i="59"/>
  <c r="J2662" i="59" s="1"/>
  <c r="H2663" i="59"/>
  <c r="H2660" i="59"/>
  <c r="I2660" i="59" s="1"/>
  <c r="H2661" i="59"/>
  <c r="H2658" i="59"/>
  <c r="H2659" i="59"/>
  <c r="H2656" i="59"/>
  <c r="I2656" i="59" s="1"/>
  <c r="H2657" i="59"/>
  <c r="H2654" i="59"/>
  <c r="J2654" i="59" s="1"/>
  <c r="H2655" i="59"/>
  <c r="H2652" i="59"/>
  <c r="J2652" i="59" s="1"/>
  <c r="H2653" i="59"/>
  <c r="H2650" i="59"/>
  <c r="I2650" i="59" s="1"/>
  <c r="H2651" i="59"/>
  <c r="H2648" i="59"/>
  <c r="H2649" i="59"/>
  <c r="H2646" i="59"/>
  <c r="J2646" i="59" s="1"/>
  <c r="H2647" i="59"/>
  <c r="H2644" i="59"/>
  <c r="J2644" i="59" s="1"/>
  <c r="H2645" i="59"/>
  <c r="H2642" i="59"/>
  <c r="I2642" i="59" s="1"/>
  <c r="H2643" i="59"/>
  <c r="H2640" i="59"/>
  <c r="I2640" i="59" s="1"/>
  <c r="H2641" i="59"/>
  <c r="H2638" i="59"/>
  <c r="I2638" i="59" s="1"/>
  <c r="H2639" i="59"/>
  <c r="H2636" i="59"/>
  <c r="J2636" i="59" s="1"/>
  <c r="H2637" i="59"/>
  <c r="H2634" i="59"/>
  <c r="J2634" i="59" s="1"/>
  <c r="H2635" i="59"/>
  <c r="H2632" i="59"/>
  <c r="J2632" i="59" s="1"/>
  <c r="H2633" i="59"/>
  <c r="H2630" i="59"/>
  <c r="I2630" i="59" s="1"/>
  <c r="H2631" i="59"/>
  <c r="H2628" i="59"/>
  <c r="H2629" i="59"/>
  <c r="H2626" i="59"/>
  <c r="J2626" i="59" s="1"/>
  <c r="H2627" i="59"/>
  <c r="H2624" i="59"/>
  <c r="J2624" i="59" s="1"/>
  <c r="H2625" i="59"/>
  <c r="H2622" i="59"/>
  <c r="I2622" i="59" s="1"/>
  <c r="H2623" i="59"/>
  <c r="H2619" i="59"/>
  <c r="J2619" i="59" s="1"/>
  <c r="H2620" i="59"/>
  <c r="H2617" i="59"/>
  <c r="H2618" i="59"/>
  <c r="H2615" i="59"/>
  <c r="K2615" i="59" s="1"/>
  <c r="H2616" i="59"/>
  <c r="H2610" i="59"/>
  <c r="I2610" i="59" s="1"/>
  <c r="H2611" i="59"/>
  <c r="H2608" i="59"/>
  <c r="J2608" i="59" s="1"/>
  <c r="H2609" i="59"/>
  <c r="H2606" i="59"/>
  <c r="J2606" i="59" s="1"/>
  <c r="H2607" i="59"/>
  <c r="H2604" i="59"/>
  <c r="J2604" i="59" s="1"/>
  <c r="H2605" i="59"/>
  <c r="H2602" i="59"/>
  <c r="I2602" i="59" s="1"/>
  <c r="H2603" i="59"/>
  <c r="H2600" i="59"/>
  <c r="J2600" i="59" s="1"/>
  <c r="H2601" i="59"/>
  <c r="H2598" i="59"/>
  <c r="J2598" i="59" s="1"/>
  <c r="H2599" i="59"/>
  <c r="H2596" i="59"/>
  <c r="J2596" i="59" s="1"/>
  <c r="H2597" i="59"/>
  <c r="H2594" i="59"/>
  <c r="K2594" i="59" s="1"/>
  <c r="H2595" i="59"/>
  <c r="H2592" i="59"/>
  <c r="J2592" i="59" s="1"/>
  <c r="H2593" i="59"/>
  <c r="H2590" i="59"/>
  <c r="H2591" i="59"/>
  <c r="H2588" i="59"/>
  <c r="J2588" i="59" s="1"/>
  <c r="H2589" i="59"/>
  <c r="H2585" i="59"/>
  <c r="J2585" i="59" s="1"/>
  <c r="H2587" i="59"/>
  <c r="H2582" i="59"/>
  <c r="I2582" i="59" s="1"/>
  <c r="H2584" i="59"/>
  <c r="H2580" i="59"/>
  <c r="J2580" i="59" s="1"/>
  <c r="H2581" i="59"/>
  <c r="H2578" i="59"/>
  <c r="I2578" i="59" s="1"/>
  <c r="H2579" i="59"/>
  <c r="H2576" i="59"/>
  <c r="J2576" i="59" s="1"/>
  <c r="H2577" i="59"/>
  <c r="H2574" i="59"/>
  <c r="J2574" i="59" s="1"/>
  <c r="H2575" i="59"/>
  <c r="H2572" i="59"/>
  <c r="J2572" i="59" s="1"/>
  <c r="H2573" i="59"/>
  <c r="H2570" i="59"/>
  <c r="J2570" i="59" s="1"/>
  <c r="H2571" i="59"/>
  <c r="H2568" i="59"/>
  <c r="I2568" i="59" s="1"/>
  <c r="H2569" i="59"/>
  <c r="H2566" i="59"/>
  <c r="H2567" i="59"/>
  <c r="H2564" i="59"/>
  <c r="J2564" i="59" s="1"/>
  <c r="H2565" i="59"/>
  <c r="H2562" i="59"/>
  <c r="K2562" i="59" s="1"/>
  <c r="H2563" i="59"/>
  <c r="H2560" i="59"/>
  <c r="J2560" i="59" s="1"/>
  <c r="H2561" i="59"/>
  <c r="H2558" i="59"/>
  <c r="H2559" i="59"/>
  <c r="H2556" i="59"/>
  <c r="J2556" i="59" s="1"/>
  <c r="H2557" i="59"/>
  <c r="H2554" i="59"/>
  <c r="H2555" i="59"/>
  <c r="H2552" i="59"/>
  <c r="J2552" i="59" s="1"/>
  <c r="H2553" i="59"/>
  <c r="H2550" i="59"/>
  <c r="J2550" i="59" s="1"/>
  <c r="H2551" i="59"/>
  <c r="H2548" i="59"/>
  <c r="J2548" i="59" s="1"/>
  <c r="H2549" i="59"/>
  <c r="H2546" i="59"/>
  <c r="J2546" i="59" s="1"/>
  <c r="H2547" i="59"/>
  <c r="H2544" i="59"/>
  <c r="J2544" i="59" s="1"/>
  <c r="H2545" i="59"/>
  <c r="H2542" i="59"/>
  <c r="H2543" i="59"/>
  <c r="H2540" i="59"/>
  <c r="J2540" i="59" s="1"/>
  <c r="H2541" i="59"/>
  <c r="H2538" i="59"/>
  <c r="I2538" i="59" s="1"/>
  <c r="H2539" i="59"/>
  <c r="H2536" i="59"/>
  <c r="J2536" i="59" s="1"/>
  <c r="H2537" i="59"/>
  <c r="H2534" i="59"/>
  <c r="I2534" i="59" s="1"/>
  <c r="H2535" i="59"/>
  <c r="H2532" i="59"/>
  <c r="J2532" i="59" s="1"/>
  <c r="H2533" i="59"/>
  <c r="H2530" i="59"/>
  <c r="K2530" i="59" s="1"/>
  <c r="H2531" i="59"/>
  <c r="H2528" i="59"/>
  <c r="I2528" i="59" s="1"/>
  <c r="H2529" i="59"/>
  <c r="H2526" i="59"/>
  <c r="I2526" i="59" s="1"/>
  <c r="H2527" i="59"/>
  <c r="H2524" i="59"/>
  <c r="J2524" i="59" s="1"/>
  <c r="H2525" i="59"/>
  <c r="H2522" i="59"/>
  <c r="J2522" i="59" s="1"/>
  <c r="H2523" i="59"/>
  <c r="H2520" i="59"/>
  <c r="J2520" i="59" s="1"/>
  <c r="H2521" i="59"/>
  <c r="H2518" i="59"/>
  <c r="H2519" i="59"/>
  <c r="H2515" i="59"/>
  <c r="J2515" i="59" s="1"/>
  <c r="H2517" i="59"/>
  <c r="H2513" i="59"/>
  <c r="J2513" i="59" s="1"/>
  <c r="H2514" i="59"/>
  <c r="H2511" i="59"/>
  <c r="J2511" i="59" s="1"/>
  <c r="H2512" i="59"/>
  <c r="H2509" i="59"/>
  <c r="I2509" i="59" s="1"/>
  <c r="H2510" i="59"/>
  <c r="H2508" i="59"/>
  <c r="J2508" i="59" s="1"/>
  <c r="H2507" i="59"/>
  <c r="H2505" i="59"/>
  <c r="I2505" i="59" s="1"/>
  <c r="H2506" i="59"/>
  <c r="H2503" i="59"/>
  <c r="J2503" i="59" s="1"/>
  <c r="H2504" i="59"/>
  <c r="H2501" i="59"/>
  <c r="H2502" i="59"/>
  <c r="H2499" i="59"/>
  <c r="H2500" i="59"/>
  <c r="H2497" i="59"/>
  <c r="J2497" i="59" s="1"/>
  <c r="H2498" i="59"/>
  <c r="H2495" i="59"/>
  <c r="J2495" i="59" s="1"/>
  <c r="H2496" i="59"/>
  <c r="H2493" i="59"/>
  <c r="J2493" i="59" s="1"/>
  <c r="H2494" i="59"/>
  <c r="H2491" i="59"/>
  <c r="J2491" i="59" s="1"/>
  <c r="H2492" i="59"/>
  <c r="H2489" i="59"/>
  <c r="J2489" i="59" s="1"/>
  <c r="H2490" i="59"/>
  <c r="H2487" i="59"/>
  <c r="J2487" i="59" s="1"/>
  <c r="H2488" i="59"/>
  <c r="H2485" i="59"/>
  <c r="I2485" i="59" s="1"/>
  <c r="H2486" i="59"/>
  <c r="H2483" i="59"/>
  <c r="J2483" i="59" s="1"/>
  <c r="H2484" i="59"/>
  <c r="H2481" i="59"/>
  <c r="H2482" i="59"/>
  <c r="H2479" i="59"/>
  <c r="J2479" i="59" s="1"/>
  <c r="H2480" i="59"/>
  <c r="H2477" i="59"/>
  <c r="J2477" i="59" s="1"/>
  <c r="H2478" i="59"/>
  <c r="H2475" i="59"/>
  <c r="J2475" i="59" s="1"/>
  <c r="H2476" i="59"/>
  <c r="H2473" i="59"/>
  <c r="J2473" i="59" s="1"/>
  <c r="H2474" i="59"/>
  <c r="H2471" i="59"/>
  <c r="J2471" i="59" s="1"/>
  <c r="H2472" i="59"/>
  <c r="H2469" i="59"/>
  <c r="J2469" i="59" s="1"/>
  <c r="H2470" i="59"/>
  <c r="H2467" i="59"/>
  <c r="J2467" i="59" s="1"/>
  <c r="H2468" i="59"/>
  <c r="H2465" i="59"/>
  <c r="I2465" i="59" s="1"/>
  <c r="H2466" i="59"/>
  <c r="H2463" i="59"/>
  <c r="H2464" i="59"/>
  <c r="H2461" i="59"/>
  <c r="H2462" i="59"/>
  <c r="H2459" i="59"/>
  <c r="J2459" i="59" s="1"/>
  <c r="H2460" i="59"/>
  <c r="H2457" i="59"/>
  <c r="J2457" i="59" s="1"/>
  <c r="H2458" i="59"/>
  <c r="H2455" i="59"/>
  <c r="J2455" i="59" s="1"/>
  <c r="H2456" i="59"/>
  <c r="H2453" i="59"/>
  <c r="J2453" i="59" s="1"/>
  <c r="H2454" i="59"/>
  <c r="H2451" i="59"/>
  <c r="J2451" i="59" s="1"/>
  <c r="H2452" i="59"/>
  <c r="H2449" i="59"/>
  <c r="H2450" i="59"/>
  <c r="H2446" i="59"/>
  <c r="J2446" i="59" s="1"/>
  <c r="H2448" i="59"/>
  <c r="H2444" i="59"/>
  <c r="J2444" i="59" s="1"/>
  <c r="H2445" i="59"/>
  <c r="H2442" i="59"/>
  <c r="J2442" i="59" s="1"/>
  <c r="H2443" i="59"/>
  <c r="H2440" i="59"/>
  <c r="J2440" i="59" s="1"/>
  <c r="H2441" i="59"/>
  <c r="H2438" i="59"/>
  <c r="J2438" i="59" s="1"/>
  <c r="H2439" i="59"/>
  <c r="H2436" i="59"/>
  <c r="J2436" i="59" s="1"/>
  <c r="H2437" i="59"/>
  <c r="H2434" i="59"/>
  <c r="J2434" i="59" s="1"/>
  <c r="H2435" i="59"/>
  <c r="H2432" i="59"/>
  <c r="H2433" i="59"/>
  <c r="H2430" i="59"/>
  <c r="J2430" i="59" s="1"/>
  <c r="H2431" i="59"/>
  <c r="H2428" i="59"/>
  <c r="I2428" i="59" s="1"/>
  <c r="H2429" i="59"/>
  <c r="H2426" i="59"/>
  <c r="H2427" i="59"/>
  <c r="H2424" i="59"/>
  <c r="H2425" i="59"/>
  <c r="H2422" i="59"/>
  <c r="J2422" i="59" s="1"/>
  <c r="H2423" i="59"/>
  <c r="H2420" i="59"/>
  <c r="J2420" i="59" s="1"/>
  <c r="H2421" i="59"/>
  <c r="H2418" i="59"/>
  <c r="J2418" i="59" s="1"/>
  <c r="H2419" i="59"/>
  <c r="H2416" i="59"/>
  <c r="H2417" i="59"/>
  <c r="H2414" i="59"/>
  <c r="K2414" i="59" s="1"/>
  <c r="H2415" i="59"/>
  <c r="H2411" i="59"/>
  <c r="I2411" i="59" s="1"/>
  <c r="I2412" i="59" s="1"/>
  <c r="H2413" i="59"/>
  <c r="H2409" i="59"/>
  <c r="I2409" i="59" s="1"/>
  <c r="H2410" i="59"/>
  <c r="H2407" i="59"/>
  <c r="K2407" i="59" s="1"/>
  <c r="H2408" i="59"/>
  <c r="H2399" i="59"/>
  <c r="I2399" i="59" s="1"/>
  <c r="I2400" i="59" s="1"/>
  <c r="H2397" i="59"/>
  <c r="J2397" i="59" s="1"/>
  <c r="H2398" i="59"/>
  <c r="H2395" i="59"/>
  <c r="H2396" i="59"/>
  <c r="H2393" i="59"/>
  <c r="I2393" i="59" s="1"/>
  <c r="H2394" i="59"/>
  <c r="H2375" i="59"/>
  <c r="J2375" i="59" s="1"/>
  <c r="H2376" i="59"/>
  <c r="H2373" i="59"/>
  <c r="I2373" i="59" s="1"/>
  <c r="H2374" i="59"/>
  <c r="H2371" i="59"/>
  <c r="J2371" i="59" s="1"/>
  <c r="H2372" i="59"/>
  <c r="H2369" i="59"/>
  <c r="J2369" i="59" s="1"/>
  <c r="H2370" i="59"/>
  <c r="H2367" i="59"/>
  <c r="J2367" i="59" s="1"/>
  <c r="H2368" i="59"/>
  <c r="H2365" i="59"/>
  <c r="J2365" i="59" s="1"/>
  <c r="H2366" i="59"/>
  <c r="H2363" i="59"/>
  <c r="J2363" i="59" s="1"/>
  <c r="H2364" i="59"/>
  <c r="H2361" i="59"/>
  <c r="H2362" i="59"/>
  <c r="H2359" i="59"/>
  <c r="H2360" i="59"/>
  <c r="H2357" i="59"/>
  <c r="J2357" i="59" s="1"/>
  <c r="H2358" i="59"/>
  <c r="H2355" i="59"/>
  <c r="J2355" i="59" s="1"/>
  <c r="H2356" i="59"/>
  <c r="H2353" i="59"/>
  <c r="H2354" i="59"/>
  <c r="H2350" i="59"/>
  <c r="H2352" i="59"/>
  <c r="H2348" i="59"/>
  <c r="J2348" i="59" s="1"/>
  <c r="H2349" i="59"/>
  <c r="H2346" i="59"/>
  <c r="H2347" i="59"/>
  <c r="H2344" i="59"/>
  <c r="J2344" i="59" s="1"/>
  <c r="H2345" i="59"/>
  <c r="H2341" i="59"/>
  <c r="J2341" i="59" s="1"/>
  <c r="H2342" i="59"/>
  <c r="H2339" i="59"/>
  <c r="J2339" i="59" s="1"/>
  <c r="H2340" i="59"/>
  <c r="H2337" i="59"/>
  <c r="J2337" i="59" s="1"/>
  <c r="H2338" i="59"/>
  <c r="H2335" i="59"/>
  <c r="H2336" i="59"/>
  <c r="H2333" i="59"/>
  <c r="J2333" i="59" s="1"/>
  <c r="H2334" i="59"/>
  <c r="H2331" i="59"/>
  <c r="J2331" i="59" s="1"/>
  <c r="H2332" i="59"/>
  <c r="H2329" i="59"/>
  <c r="H2330" i="59"/>
  <c r="H2327" i="59"/>
  <c r="H2328" i="59"/>
  <c r="H2325" i="59"/>
  <c r="J2325" i="59" s="1"/>
  <c r="H2326" i="59"/>
  <c r="H2322" i="59"/>
  <c r="K2322" i="59" s="1"/>
  <c r="K2323" i="59" s="1"/>
  <c r="H2324" i="59"/>
  <c r="H2319" i="59"/>
  <c r="H2321" i="59"/>
  <c r="H2317" i="59"/>
  <c r="J2317" i="59" s="1"/>
  <c r="H2318" i="59"/>
  <c r="H2315" i="59"/>
  <c r="H2316" i="59"/>
  <c r="H2312" i="59"/>
  <c r="J2312" i="59" s="1"/>
  <c r="H2320" i="59"/>
  <c r="H2313" i="59"/>
  <c r="H2314" i="59"/>
  <c r="H2310" i="59"/>
  <c r="H2311" i="59"/>
  <c r="H2308" i="59"/>
  <c r="J2308" i="59" s="1"/>
  <c r="H2309" i="59"/>
  <c r="H2306" i="59"/>
  <c r="I2306" i="59" s="1"/>
  <c r="H2307" i="59"/>
  <c r="H2304" i="59"/>
  <c r="J2304" i="59" s="1"/>
  <c r="H2305" i="59"/>
  <c r="H2302" i="59"/>
  <c r="J2302" i="59" s="1"/>
  <c r="H2303" i="59"/>
  <c r="H2300" i="59"/>
  <c r="H2301" i="59"/>
  <c r="H2298" i="59"/>
  <c r="J2298" i="59" s="1"/>
  <c r="H2299" i="59"/>
  <c r="H2296" i="59"/>
  <c r="H2297" i="59"/>
  <c r="H2294" i="59"/>
  <c r="H2295" i="59"/>
  <c r="H2292" i="59"/>
  <c r="J2292" i="59" s="1"/>
  <c r="H2293" i="59"/>
  <c r="H2290" i="59"/>
  <c r="J2290" i="59" s="1"/>
  <c r="H2291" i="59"/>
  <c r="H2288" i="59"/>
  <c r="H2289" i="59"/>
  <c r="H2286" i="59"/>
  <c r="J2286" i="59" s="1"/>
  <c r="H2287" i="59"/>
  <c r="H2284" i="59"/>
  <c r="J2284" i="59" s="1"/>
  <c r="H2285" i="59"/>
  <c r="H2282" i="59"/>
  <c r="J2282" i="59" s="1"/>
  <c r="H2283" i="59"/>
  <c r="H2280" i="59"/>
  <c r="H2281" i="59"/>
  <c r="H2278" i="59"/>
  <c r="I2278" i="59" s="1"/>
  <c r="H2279" i="59"/>
  <c r="H2275" i="59"/>
  <c r="H2277" i="59"/>
  <c r="H2273" i="59"/>
  <c r="H2274" i="59"/>
  <c r="H2271" i="59"/>
  <c r="H2272" i="59"/>
  <c r="H2268" i="59"/>
  <c r="H2270" i="59"/>
  <c r="H2266" i="59"/>
  <c r="H2267" i="59"/>
  <c r="H2264" i="59"/>
  <c r="J2264" i="59" s="1"/>
  <c r="H2265" i="59"/>
  <c r="H2262" i="59"/>
  <c r="J2262" i="59" s="1"/>
  <c r="H2263" i="59"/>
  <c r="H2259" i="59"/>
  <c r="J2259" i="59" s="1"/>
  <c r="H2261" i="59"/>
  <c r="H2257" i="59"/>
  <c r="J2257" i="59" s="1"/>
  <c r="H2258" i="59"/>
  <c r="H2255" i="59"/>
  <c r="J2255" i="59" s="1"/>
  <c r="H2256" i="59"/>
  <c r="H2253" i="59"/>
  <c r="J2253" i="59" s="1"/>
  <c r="H2254" i="59"/>
  <c r="H2251" i="59"/>
  <c r="J2251" i="59" s="1"/>
  <c r="H2252" i="59"/>
  <c r="H2249" i="59"/>
  <c r="J2249" i="59" s="1"/>
  <c r="H2250" i="59"/>
  <c r="H2247" i="59"/>
  <c r="H2248" i="59"/>
  <c r="H2245" i="59"/>
  <c r="H2246" i="59"/>
  <c r="H2243" i="59"/>
  <c r="J2243" i="59" s="1"/>
  <c r="H2244" i="59"/>
  <c r="H2241" i="59"/>
  <c r="H2242" i="59"/>
  <c r="H2239" i="59"/>
  <c r="J2239" i="59" s="1"/>
  <c r="H2240" i="59"/>
  <c r="H2237" i="59"/>
  <c r="H2238" i="59"/>
  <c r="H2235" i="59"/>
  <c r="H2236" i="59"/>
  <c r="H2233" i="59"/>
  <c r="K2233" i="59" s="1"/>
  <c r="H2234" i="59"/>
  <c r="H2231" i="59"/>
  <c r="J2231" i="59" s="1"/>
  <c r="H2232" i="59"/>
  <c r="H2229" i="59"/>
  <c r="J2229" i="59" s="1"/>
  <c r="H2230" i="59"/>
  <c r="H2227" i="59"/>
  <c r="H2228" i="59"/>
  <c r="H2225" i="59"/>
  <c r="J2225" i="59" s="1"/>
  <c r="H2226" i="59"/>
  <c r="H2223" i="59"/>
  <c r="J2223" i="59" s="1"/>
  <c r="H2224" i="59"/>
  <c r="H2221" i="59"/>
  <c r="J2221" i="59" s="1"/>
  <c r="H2222" i="59"/>
  <c r="H2219" i="59"/>
  <c r="H2220" i="59"/>
  <c r="H2217" i="59"/>
  <c r="J2217" i="59" s="1"/>
  <c r="H2218" i="59"/>
  <c r="H2215" i="59"/>
  <c r="J2215" i="59" s="1"/>
  <c r="H2216" i="59"/>
  <c r="H2213" i="59"/>
  <c r="J2213" i="59" s="1"/>
  <c r="H2214" i="59"/>
  <c r="H2211" i="59"/>
  <c r="J2211" i="59" s="1"/>
  <c r="H2212" i="59"/>
  <c r="H2206" i="59"/>
  <c r="J2206" i="59" s="1"/>
  <c r="H2210" i="59"/>
  <c r="H2207" i="59"/>
  <c r="H2205" i="59"/>
  <c r="H2209" i="59"/>
  <c r="J2209" i="59" s="1"/>
  <c r="H2208" i="59"/>
  <c r="H2203" i="59"/>
  <c r="J2203" i="59" s="1"/>
  <c r="H2204" i="59"/>
  <c r="H2201" i="59"/>
  <c r="H2202" i="59"/>
  <c r="H2199" i="59"/>
  <c r="J2199" i="59" s="1"/>
  <c r="H2200" i="59"/>
  <c r="H2197" i="59"/>
  <c r="J2197" i="59" s="1"/>
  <c r="H2198" i="59"/>
  <c r="H2195" i="59"/>
  <c r="H2196" i="59"/>
  <c r="H2193" i="59"/>
  <c r="K2193" i="59" s="1"/>
  <c r="H2194" i="59"/>
  <c r="H2191" i="59"/>
  <c r="J2191" i="59" s="1"/>
  <c r="H2192" i="59"/>
  <c r="H2189" i="59"/>
  <c r="J2189" i="59" s="1"/>
  <c r="H2190" i="59"/>
  <c r="H2187" i="59"/>
  <c r="J2187" i="59" s="1"/>
  <c r="H2188" i="59"/>
  <c r="H2185" i="59"/>
  <c r="J2185" i="59" s="1"/>
  <c r="H2186" i="59"/>
  <c r="H2183" i="59"/>
  <c r="J2183" i="59" s="1"/>
  <c r="H2184" i="59"/>
  <c r="H2181" i="59"/>
  <c r="H2182" i="59"/>
  <c r="H2179" i="59"/>
  <c r="J2179" i="59" s="1"/>
  <c r="H2180" i="59"/>
  <c r="H2177" i="59"/>
  <c r="J2177" i="59" s="1"/>
  <c r="H2178" i="59"/>
  <c r="H2175" i="59"/>
  <c r="J2175" i="59" s="1"/>
  <c r="H2176" i="59"/>
  <c r="H2173" i="59"/>
  <c r="J2173" i="59" s="1"/>
  <c r="H2174" i="59"/>
  <c r="H2170" i="59"/>
  <c r="J2170" i="59" s="1"/>
  <c r="H2171" i="59"/>
  <c r="H2168" i="59"/>
  <c r="J2168" i="59" s="1"/>
  <c r="H2169" i="59"/>
  <c r="H2166" i="59"/>
  <c r="J2166" i="59" s="1"/>
  <c r="H2167" i="59"/>
  <c r="H2164" i="59"/>
  <c r="H2165" i="59"/>
  <c r="H2162" i="59"/>
  <c r="J2162" i="59" s="1"/>
  <c r="H2163" i="59"/>
  <c r="H2160" i="59"/>
  <c r="J2160" i="59" s="1"/>
  <c r="H2161" i="59"/>
  <c r="H2158" i="59"/>
  <c r="H2159" i="59"/>
  <c r="H2156" i="59"/>
  <c r="H2157" i="59"/>
  <c r="H2154" i="59"/>
  <c r="I2154" i="59" s="1"/>
  <c r="H2155" i="59"/>
  <c r="H2152" i="59"/>
  <c r="J2152" i="59" s="1"/>
  <c r="H2153" i="59"/>
  <c r="H2150" i="59"/>
  <c r="J2150" i="59" s="1"/>
  <c r="H2151" i="59"/>
  <c r="H2148" i="59"/>
  <c r="I2148" i="59" s="1"/>
  <c r="H2149" i="59"/>
  <c r="H2146" i="59"/>
  <c r="J2146" i="59" s="1"/>
  <c r="H2147" i="59"/>
  <c r="H2144" i="59"/>
  <c r="J2144" i="59" s="1"/>
  <c r="H2145" i="59"/>
  <c r="H2142" i="59"/>
  <c r="J2142" i="59" s="1"/>
  <c r="H2143" i="59"/>
  <c r="H2140" i="59"/>
  <c r="J2140" i="59" s="1"/>
  <c r="H2141" i="59"/>
  <c r="H2138" i="59"/>
  <c r="I2138" i="59" s="1"/>
  <c r="H2139" i="59"/>
  <c r="H2136" i="59"/>
  <c r="H2137" i="59"/>
  <c r="H2133" i="59"/>
  <c r="J2133" i="59" s="1"/>
  <c r="H2135" i="59"/>
  <c r="H2131" i="59"/>
  <c r="J2131" i="59" s="1"/>
  <c r="H2132" i="59"/>
  <c r="H2129" i="59"/>
  <c r="J2129" i="59" s="1"/>
  <c r="H2130" i="59"/>
  <c r="H2127" i="59"/>
  <c r="J2127" i="59" s="1"/>
  <c r="H2128" i="59"/>
  <c r="H2125" i="59"/>
  <c r="I2125" i="59" s="1"/>
  <c r="H2126" i="59"/>
  <c r="H2122" i="59"/>
  <c r="J2122" i="59" s="1"/>
  <c r="H2123" i="59"/>
  <c r="H2120" i="59"/>
  <c r="H2121" i="59"/>
  <c r="H2118" i="59"/>
  <c r="J2118" i="59" s="1"/>
  <c r="H2119" i="59"/>
  <c r="H2116" i="59"/>
  <c r="J2116" i="59" s="1"/>
  <c r="H2117" i="59"/>
  <c r="H2114" i="59"/>
  <c r="H2115" i="59"/>
  <c r="H2112" i="59"/>
  <c r="J2112" i="59" s="1"/>
  <c r="H2113" i="59"/>
  <c r="H2110" i="59"/>
  <c r="H2111" i="59"/>
  <c r="H2108" i="59"/>
  <c r="J2108" i="59" s="1"/>
  <c r="H2109" i="59"/>
  <c r="H2106" i="59"/>
  <c r="H2107" i="59"/>
  <c r="H2104" i="59"/>
  <c r="J2104" i="59" s="1"/>
  <c r="H2105" i="59"/>
  <c r="H2102" i="59"/>
  <c r="J2102" i="59" s="1"/>
  <c r="H2103" i="59"/>
  <c r="H2100" i="59"/>
  <c r="H2101" i="59"/>
  <c r="H2098" i="59"/>
  <c r="J2098" i="59" s="1"/>
  <c r="H2099" i="59"/>
  <c r="H2096" i="59"/>
  <c r="J2096" i="59" s="1"/>
  <c r="H2097" i="59"/>
  <c r="H2094" i="59"/>
  <c r="H2095" i="59"/>
  <c r="H2092" i="59"/>
  <c r="H2093" i="59"/>
  <c r="H2090" i="59"/>
  <c r="H2091" i="59"/>
  <c r="H2088" i="59"/>
  <c r="J2088" i="59" s="1"/>
  <c r="H2089" i="59"/>
  <c r="H2086" i="59"/>
  <c r="H2087" i="59"/>
  <c r="H2084" i="59"/>
  <c r="H2085" i="59"/>
  <c r="H2082" i="59"/>
  <c r="I2082" i="59" s="1"/>
  <c r="H2083" i="59"/>
  <c r="H2080" i="59"/>
  <c r="J2080" i="59" s="1"/>
  <c r="H2081" i="59"/>
  <c r="H2078" i="59"/>
  <c r="J2078" i="59" s="1"/>
  <c r="H2079" i="59"/>
  <c r="H2076" i="59"/>
  <c r="H2077" i="59"/>
  <c r="H2074" i="59"/>
  <c r="J2074" i="59" s="1"/>
  <c r="H2075" i="59"/>
  <c r="H2072" i="59"/>
  <c r="J2072" i="59" s="1"/>
  <c r="H2073" i="59"/>
  <c r="H2070" i="59"/>
  <c r="J2070" i="59" s="1"/>
  <c r="H2071" i="59"/>
  <c r="H2068" i="59"/>
  <c r="J2068" i="59" s="1"/>
  <c r="H2069" i="59"/>
  <c r="H2066" i="59"/>
  <c r="J2066" i="59" s="1"/>
  <c r="H2067" i="59"/>
  <c r="H2064" i="59"/>
  <c r="H2065" i="59"/>
  <c r="H2062" i="59"/>
  <c r="J2062" i="59" s="1"/>
  <c r="H2063" i="59"/>
  <c r="H2060" i="59"/>
  <c r="J2060" i="59" s="1"/>
  <c r="H2061" i="59"/>
  <c r="H2058" i="59"/>
  <c r="I2058" i="59" s="1"/>
  <c r="H2059" i="59"/>
  <c r="H2056" i="59"/>
  <c r="L2056" i="59" s="1"/>
  <c r="H2057" i="59"/>
  <c r="H2054" i="59"/>
  <c r="J2054" i="59" s="1"/>
  <c r="H2055" i="59"/>
  <c r="H2052" i="59"/>
  <c r="J2052" i="59" s="1"/>
  <c r="H2053" i="59"/>
  <c r="H2050" i="59"/>
  <c r="I2050" i="59" s="1"/>
  <c r="H2051" i="59"/>
  <c r="H2048" i="59"/>
  <c r="J2048" i="59" s="1"/>
  <c r="H2049" i="59"/>
  <c r="H2046" i="59"/>
  <c r="H2047" i="59"/>
  <c r="H2044" i="59"/>
  <c r="J2044" i="59" s="1"/>
  <c r="H2045" i="59"/>
  <c r="H2042" i="59"/>
  <c r="J2042" i="59" s="1"/>
  <c r="H2043" i="59"/>
  <c r="H2040" i="59"/>
  <c r="I2040" i="59" s="1"/>
  <c r="H2041" i="59"/>
  <c r="H2038" i="59"/>
  <c r="J2038" i="59" s="1"/>
  <c r="H2039" i="59"/>
  <c r="H2036" i="59"/>
  <c r="J2036" i="59" s="1"/>
  <c r="H2037" i="59"/>
  <c r="H2034" i="59"/>
  <c r="H2035" i="59"/>
  <c r="H2032" i="59"/>
  <c r="J2032" i="59" s="1"/>
  <c r="H2033" i="59"/>
  <c r="H2030" i="59"/>
  <c r="I2030" i="59" s="1"/>
  <c r="H2031" i="59"/>
  <c r="H2028" i="59"/>
  <c r="J2028" i="59" s="1"/>
  <c r="H2029" i="59"/>
  <c r="H2025" i="59"/>
  <c r="I2025" i="59" s="1"/>
  <c r="H2026" i="59"/>
  <c r="H2023" i="59"/>
  <c r="J2023" i="59" s="1"/>
  <c r="H2024" i="59"/>
  <c r="H2021" i="59"/>
  <c r="J2021" i="59" s="1"/>
  <c r="H2022" i="59"/>
  <c r="H2019" i="59"/>
  <c r="J2019" i="59" s="1"/>
  <c r="H2020" i="59"/>
  <c r="H2017" i="59"/>
  <c r="J2017" i="59" s="1"/>
  <c r="H2018" i="59"/>
  <c r="H2015" i="59"/>
  <c r="H2016" i="59"/>
  <c r="H2013" i="59"/>
  <c r="H2014" i="59"/>
  <c r="H2011" i="59"/>
  <c r="J2011" i="59" s="1"/>
  <c r="H2012" i="59"/>
  <c r="H2009" i="59"/>
  <c r="H2010" i="59"/>
  <c r="H2007" i="59"/>
  <c r="H2008" i="59"/>
  <c r="H2004" i="59"/>
  <c r="J2004" i="59" s="1"/>
  <c r="H2005" i="59"/>
  <c r="H2002" i="59"/>
  <c r="J2002" i="59" s="1"/>
  <c r="H2003" i="59"/>
  <c r="H2000" i="59"/>
  <c r="H2001" i="59"/>
  <c r="H1998" i="59"/>
  <c r="J1998" i="59" s="1"/>
  <c r="H1999" i="59"/>
  <c r="H1996" i="59"/>
  <c r="J1996" i="59" s="1"/>
  <c r="H1997" i="59"/>
  <c r="H1994" i="59"/>
  <c r="J1994" i="59" s="1"/>
  <c r="H1995" i="59"/>
  <c r="H1992" i="59"/>
  <c r="I1992" i="59" s="1"/>
  <c r="H1993" i="59"/>
  <c r="H1990" i="59"/>
  <c r="J1990" i="59" s="1"/>
  <c r="H1991" i="59"/>
  <c r="H1987" i="59"/>
  <c r="J1987" i="59" s="1"/>
  <c r="H1989" i="59"/>
  <c r="H1985" i="59"/>
  <c r="H1986" i="59"/>
  <c r="H1983" i="59"/>
  <c r="H1984" i="59"/>
  <c r="H1981" i="59"/>
  <c r="J1981" i="59" s="1"/>
  <c r="H1982" i="59"/>
  <c r="H1979" i="59"/>
  <c r="I1979" i="59" s="1"/>
  <c r="H1980" i="59"/>
  <c r="H1976" i="59"/>
  <c r="H1977" i="59"/>
  <c r="H1974" i="59"/>
  <c r="J1974" i="59" s="1"/>
  <c r="H1975" i="59"/>
  <c r="H1972" i="59"/>
  <c r="J1972" i="59" s="1"/>
  <c r="H1973" i="59"/>
  <c r="H1970" i="59"/>
  <c r="J1970" i="59" s="1"/>
  <c r="H1971" i="59"/>
  <c r="H1968" i="59"/>
  <c r="J1968" i="59" s="1"/>
  <c r="H1969" i="59"/>
  <c r="H1966" i="59"/>
  <c r="J1966" i="59" s="1"/>
  <c r="H1967" i="59"/>
  <c r="H1964" i="59"/>
  <c r="J1964" i="59" s="1"/>
  <c r="H1965" i="59"/>
  <c r="H1962" i="59"/>
  <c r="I1962" i="59" s="1"/>
  <c r="H1963" i="59"/>
  <c r="H1960" i="59"/>
  <c r="J1960" i="59" s="1"/>
  <c r="H1961" i="59"/>
  <c r="H1957" i="59"/>
  <c r="H1958" i="59"/>
  <c r="H1955" i="59"/>
  <c r="H1956" i="59"/>
  <c r="H1953" i="59"/>
  <c r="H1954" i="59"/>
  <c r="H1951" i="59"/>
  <c r="H1952" i="59"/>
  <c r="H1949" i="59"/>
  <c r="J1949" i="59" s="1"/>
  <c r="H1950" i="59"/>
  <c r="H1947" i="59"/>
  <c r="H1948" i="59"/>
  <c r="H1945" i="59"/>
  <c r="H1946" i="59"/>
  <c r="H1943" i="59"/>
  <c r="H1944" i="59"/>
  <c r="H1941" i="59"/>
  <c r="J1941" i="59" s="1"/>
  <c r="H1942" i="59"/>
  <c r="H1939" i="59"/>
  <c r="H1940" i="59"/>
  <c r="H1937" i="59"/>
  <c r="H1938" i="59"/>
  <c r="H1935" i="59"/>
  <c r="H1936" i="59"/>
  <c r="H1933" i="59"/>
  <c r="J1933" i="59" s="1"/>
  <c r="H1934" i="59"/>
  <c r="H1931" i="59"/>
  <c r="H1932" i="59"/>
  <c r="H1929" i="59"/>
  <c r="I1929" i="59" s="1"/>
  <c r="H1930" i="59"/>
  <c r="H1927" i="59"/>
  <c r="I1927" i="59" s="1"/>
  <c r="H1928" i="59"/>
  <c r="H1925" i="59"/>
  <c r="J1925" i="59" s="1"/>
  <c r="H1926" i="59"/>
  <c r="H1923" i="59"/>
  <c r="J1923" i="59" s="1"/>
  <c r="H1924" i="59"/>
  <c r="H1921" i="59"/>
  <c r="J1921" i="59" s="1"/>
  <c r="H1922" i="59"/>
  <c r="H1919" i="59"/>
  <c r="J1919" i="59" s="1"/>
  <c r="H1920" i="59"/>
  <c r="H1917" i="59"/>
  <c r="J1917" i="59" s="1"/>
  <c r="H1918" i="59"/>
  <c r="H1915" i="59"/>
  <c r="H1916" i="59"/>
  <c r="H1913" i="59"/>
  <c r="I1913" i="59" s="1"/>
  <c r="H1914" i="59"/>
  <c r="H1911" i="59"/>
  <c r="H1912" i="59"/>
  <c r="H1909" i="59"/>
  <c r="J1909" i="59" s="1"/>
  <c r="H1910" i="59"/>
  <c r="H1907" i="59"/>
  <c r="I1907" i="59" s="1"/>
  <c r="H1908" i="59"/>
  <c r="H1904" i="59"/>
  <c r="J1904" i="59" s="1"/>
  <c r="H1905" i="59"/>
  <c r="H1902" i="59"/>
  <c r="H1903" i="59"/>
  <c r="H1900" i="59"/>
  <c r="I1900" i="59" s="1"/>
  <c r="H1901" i="59"/>
  <c r="H1898" i="59"/>
  <c r="J1898" i="59" s="1"/>
  <c r="H1899" i="59"/>
  <c r="H1896" i="59"/>
  <c r="J1896" i="59" s="1"/>
  <c r="H1897" i="59"/>
  <c r="H1894" i="59"/>
  <c r="J1894" i="59" s="1"/>
  <c r="H1895" i="59"/>
  <c r="H1892" i="59"/>
  <c r="J1892" i="59" s="1"/>
  <c r="H1893" i="59"/>
  <c r="H1890" i="59"/>
  <c r="J1890" i="59" s="1"/>
  <c r="H1891" i="59"/>
  <c r="H1888" i="59"/>
  <c r="J1888" i="59" s="1"/>
  <c r="H1889" i="59"/>
  <c r="H1886" i="59"/>
  <c r="J1886" i="59" s="1"/>
  <c r="H1887" i="59"/>
  <c r="H1884" i="59"/>
  <c r="I1884" i="59" s="1"/>
  <c r="H1885" i="59"/>
  <c r="H1882" i="59"/>
  <c r="J1882" i="59" s="1"/>
  <c r="H1883" i="59"/>
  <c r="H1880" i="59"/>
  <c r="J1880" i="59" s="1"/>
  <c r="H1881" i="59"/>
  <c r="H1878" i="59"/>
  <c r="H1879" i="59"/>
  <c r="H1876" i="59"/>
  <c r="J1876" i="59" s="1"/>
  <c r="H1877" i="59"/>
  <c r="H1874" i="59"/>
  <c r="H1875" i="59"/>
  <c r="H1872" i="59"/>
  <c r="J1872" i="59" s="1"/>
  <c r="H1873" i="59"/>
  <c r="H1870" i="59"/>
  <c r="K1870" i="59" s="1"/>
  <c r="H1871" i="59"/>
  <c r="H1868" i="59"/>
  <c r="J1868" i="59" s="1"/>
  <c r="H1869" i="59"/>
  <c r="H1866" i="59"/>
  <c r="J1866" i="59" s="1"/>
  <c r="H1867" i="59"/>
  <c r="H1864" i="59"/>
  <c r="H1865" i="59"/>
  <c r="H1860" i="59"/>
  <c r="I1860" i="59" s="1"/>
  <c r="I1861" i="59" s="1"/>
  <c r="I1862" i="59" s="1"/>
  <c r="H1863" i="59"/>
  <c r="H1857" i="59"/>
  <c r="H1859" i="59"/>
  <c r="H1855" i="59"/>
  <c r="H1856" i="59"/>
  <c r="H1853" i="59"/>
  <c r="H1854" i="59"/>
  <c r="H1851" i="59"/>
  <c r="J1851" i="59" s="1"/>
  <c r="H1852" i="59"/>
  <c r="H1849" i="59"/>
  <c r="H1850" i="59"/>
  <c r="H1847" i="59"/>
  <c r="H1848" i="59"/>
  <c r="H1845" i="59"/>
  <c r="H1846" i="59"/>
  <c r="H1843" i="59"/>
  <c r="J1843" i="59" s="1"/>
  <c r="H1844" i="59"/>
  <c r="H1841" i="59"/>
  <c r="I1841" i="59" s="1"/>
  <c r="H1842" i="59"/>
  <c r="H1839" i="59"/>
  <c r="H1840" i="59"/>
  <c r="H1837" i="59"/>
  <c r="J1837" i="59" s="1"/>
  <c r="H1838" i="59"/>
  <c r="H1834" i="59"/>
  <c r="I1834" i="59" s="1"/>
  <c r="H1835" i="59"/>
  <c r="H1832" i="59"/>
  <c r="J1832" i="59" s="1"/>
  <c r="H1833" i="59"/>
  <c r="H1830" i="59"/>
  <c r="J1830" i="59" s="1"/>
  <c r="H1831" i="59"/>
  <c r="H1828" i="59"/>
  <c r="J1828" i="59" s="1"/>
  <c r="H1829" i="59"/>
  <c r="H1826" i="59"/>
  <c r="J1826" i="59" s="1"/>
  <c r="H1827" i="59"/>
  <c r="H1824" i="59"/>
  <c r="H1825" i="59"/>
  <c r="H1822" i="59"/>
  <c r="I1822" i="59" s="1"/>
  <c r="H1823" i="59"/>
  <c r="H1820" i="59"/>
  <c r="J1820" i="59" s="1"/>
  <c r="H1821" i="59"/>
  <c r="H1818" i="59"/>
  <c r="J1818" i="59" s="1"/>
  <c r="H1819" i="59"/>
  <c r="H1816" i="59"/>
  <c r="J1816" i="59" s="1"/>
  <c r="H1817" i="59"/>
  <c r="H1814" i="59"/>
  <c r="H1815" i="59"/>
  <c r="H1812" i="59"/>
  <c r="J1812" i="59" s="1"/>
  <c r="H1813" i="59"/>
  <c r="H1810" i="59"/>
  <c r="H1811" i="59"/>
  <c r="H1808" i="59"/>
  <c r="H1809" i="59"/>
  <c r="H1806" i="59"/>
  <c r="H1807" i="59"/>
  <c r="H1804" i="59"/>
  <c r="J1804" i="59" s="1"/>
  <c r="H1805" i="59"/>
  <c r="H1802" i="59"/>
  <c r="H1803" i="59"/>
  <c r="H1800" i="59"/>
  <c r="J1800" i="59" s="1"/>
  <c r="H1801" i="59"/>
  <c r="H1798" i="59"/>
  <c r="H1799" i="59"/>
  <c r="H1796" i="59"/>
  <c r="J1796" i="59" s="1"/>
  <c r="H1797" i="59"/>
  <c r="H1793" i="59"/>
  <c r="J1793" i="59" s="1"/>
  <c r="H1795" i="59"/>
  <c r="H1791" i="59"/>
  <c r="J1791" i="59" s="1"/>
  <c r="H1792" i="59"/>
  <c r="H1789" i="59"/>
  <c r="J1789" i="59" s="1"/>
  <c r="H1790" i="59"/>
  <c r="H1786" i="59"/>
  <c r="H1787" i="59"/>
  <c r="H1784" i="59"/>
  <c r="I1784" i="59" s="1"/>
  <c r="H1785" i="59"/>
  <c r="H1781" i="59"/>
  <c r="K1781" i="59" s="1"/>
  <c r="H1783" i="59"/>
  <c r="H1778" i="59"/>
  <c r="H1782" i="59"/>
  <c r="H1776" i="59"/>
  <c r="J1776" i="59" s="1"/>
  <c r="H1777" i="59"/>
  <c r="H1774" i="59"/>
  <c r="J1774" i="59" s="1"/>
  <c r="H1775" i="59"/>
  <c r="H1772" i="59"/>
  <c r="J1772" i="59" s="1"/>
  <c r="H1773" i="59"/>
  <c r="H1767" i="59"/>
  <c r="H1771" i="59"/>
  <c r="H1765" i="59"/>
  <c r="H1766" i="59"/>
  <c r="H1763" i="59"/>
  <c r="J1763" i="59" s="1"/>
  <c r="H1764" i="59"/>
  <c r="H1761" i="59"/>
  <c r="H1762" i="59"/>
  <c r="H1759" i="59"/>
  <c r="J1759" i="59" s="1"/>
  <c r="H1760" i="59"/>
  <c r="H1757" i="59"/>
  <c r="H1758" i="59"/>
  <c r="H1755" i="59"/>
  <c r="J1755" i="59" s="1"/>
  <c r="H1756" i="59"/>
  <c r="H1753" i="59"/>
  <c r="H1754" i="59"/>
  <c r="H1751" i="59"/>
  <c r="J1751" i="59" s="1"/>
  <c r="H1752" i="59"/>
  <c r="H1749" i="59"/>
  <c r="I1749" i="59" s="1"/>
  <c r="H1750" i="59"/>
  <c r="H1747" i="59"/>
  <c r="H1748" i="59"/>
  <c r="H1745" i="59"/>
  <c r="J1745" i="59" s="1"/>
  <c r="H1746" i="59"/>
  <c r="H1743" i="59"/>
  <c r="J1743" i="59" s="1"/>
  <c r="H1744" i="59"/>
  <c r="H1740" i="59"/>
  <c r="J1740" i="59" s="1"/>
  <c r="H1741" i="59"/>
  <c r="H1738" i="59"/>
  <c r="I1738" i="59" s="1"/>
  <c r="H1739" i="59"/>
  <c r="H1736" i="59"/>
  <c r="J1736" i="59" s="1"/>
  <c r="H1737" i="59"/>
  <c r="H1734" i="59"/>
  <c r="I1734" i="59" s="1"/>
  <c r="H1735" i="59"/>
  <c r="H1732" i="59"/>
  <c r="I1732" i="59" s="1"/>
  <c r="H1733" i="59"/>
  <c r="H1730" i="59"/>
  <c r="J1730" i="59" s="1"/>
  <c r="H1731" i="59"/>
  <c r="H1728" i="59"/>
  <c r="J1728" i="59" s="1"/>
  <c r="H1729" i="59"/>
  <c r="H1726" i="59"/>
  <c r="H1727" i="59"/>
  <c r="H1724" i="59"/>
  <c r="H1725" i="59"/>
  <c r="H1722" i="59"/>
  <c r="H1723" i="59"/>
  <c r="H1720" i="59"/>
  <c r="J1720" i="59" s="1"/>
  <c r="H1721" i="59"/>
  <c r="H1718" i="59"/>
  <c r="J1718" i="59" s="1"/>
  <c r="H1719" i="59"/>
  <c r="H1716" i="59"/>
  <c r="J1716" i="59" s="1"/>
  <c r="H1717" i="59"/>
  <c r="H1714" i="59"/>
  <c r="H1715" i="59"/>
  <c r="H1712" i="59"/>
  <c r="H1713" i="59"/>
  <c r="H1710" i="59"/>
  <c r="H1711" i="59"/>
  <c r="H1708" i="59"/>
  <c r="J1708" i="59" s="1"/>
  <c r="H1709" i="59"/>
  <c r="H1706" i="59"/>
  <c r="K1706" i="59" s="1"/>
  <c r="H1707" i="59"/>
  <c r="H1704" i="59"/>
  <c r="J1704" i="59" s="1"/>
  <c r="H1705" i="59"/>
  <c r="H1702" i="59"/>
  <c r="H1703" i="59"/>
  <c r="H1700" i="59"/>
  <c r="J1700" i="59" s="1"/>
  <c r="H1701" i="59"/>
  <c r="H1698" i="59"/>
  <c r="J1698" i="59" s="1"/>
  <c r="H1699" i="59"/>
  <c r="H1696" i="59"/>
  <c r="J1696" i="59" s="1"/>
  <c r="H1697" i="59"/>
  <c r="H1695" i="59"/>
  <c r="H1694" i="59"/>
  <c r="H1692" i="59"/>
  <c r="J1692" i="59" s="1"/>
  <c r="H1693" i="59"/>
  <c r="H1690" i="59"/>
  <c r="H1691" i="59"/>
  <c r="H1688" i="59"/>
  <c r="J1688" i="59" s="1"/>
  <c r="H1689" i="59"/>
  <c r="H1686" i="59"/>
  <c r="H1687" i="59"/>
  <c r="H1684" i="59"/>
  <c r="J1684" i="59" s="1"/>
  <c r="H1685" i="59"/>
  <c r="H1681" i="59"/>
  <c r="H1682" i="59"/>
  <c r="H1674" i="59"/>
  <c r="H1675" i="59"/>
  <c r="H1671" i="59"/>
  <c r="H1673" i="59"/>
  <c r="H1669" i="59"/>
  <c r="J1669" i="59" s="1"/>
  <c r="H1670" i="59"/>
  <c r="H1667" i="59"/>
  <c r="J1667" i="59" s="1"/>
  <c r="H1668" i="59"/>
  <c r="H1665" i="59"/>
  <c r="J1665" i="59" s="1"/>
  <c r="H1666" i="59"/>
  <c r="H1663" i="59"/>
  <c r="H1664" i="59"/>
  <c r="H1660" i="59"/>
  <c r="J1660" i="59" s="1"/>
  <c r="H1661" i="59"/>
  <c r="H1658" i="59"/>
  <c r="J1658" i="59" s="1"/>
  <c r="H1659" i="59"/>
  <c r="H1656" i="59"/>
  <c r="J1656" i="59" s="1"/>
  <c r="H1657" i="59"/>
  <c r="H1653" i="59"/>
  <c r="K1653" i="59" s="1"/>
  <c r="K1654" i="59" s="1"/>
  <c r="H1655" i="59"/>
  <c r="H1650" i="59"/>
  <c r="I1650" i="59" s="1"/>
  <c r="H1651" i="59"/>
  <c r="H1648" i="59"/>
  <c r="J1648" i="59" s="1"/>
  <c r="H1649" i="59"/>
  <c r="H1645" i="59"/>
  <c r="J1645" i="59" s="1"/>
  <c r="H1647" i="59"/>
  <c r="H1643" i="59"/>
  <c r="J1643" i="59" s="1"/>
  <c r="H1644" i="59"/>
  <c r="H1641" i="59"/>
  <c r="J1641" i="59" s="1"/>
  <c r="H1642" i="59"/>
  <c r="H1639" i="59"/>
  <c r="H1640" i="59"/>
  <c r="H1637" i="59"/>
  <c r="J1637" i="59" s="1"/>
  <c r="H1638" i="59"/>
  <c r="H1634" i="59"/>
  <c r="J1634" i="59" s="1"/>
  <c r="H1635" i="59"/>
  <c r="H1632" i="59"/>
  <c r="H1633" i="59"/>
  <c r="H1629" i="59"/>
  <c r="J1629" i="59" s="1"/>
  <c r="H1630" i="59"/>
  <c r="H1627" i="59"/>
  <c r="J1627" i="59" s="1"/>
  <c r="H1628" i="59"/>
  <c r="H1625" i="59"/>
  <c r="H1626" i="59"/>
  <c r="H1623" i="59"/>
  <c r="J1623" i="59" s="1"/>
  <c r="H1624" i="59"/>
  <c r="H1621" i="59"/>
  <c r="J1621" i="59" s="1"/>
  <c r="H1622" i="59"/>
  <c r="H1619" i="59"/>
  <c r="J1619" i="59" s="1"/>
  <c r="H1620" i="59"/>
  <c r="H1617" i="59"/>
  <c r="H1618" i="59"/>
  <c r="H1615" i="59"/>
  <c r="J1615" i="59" s="1"/>
  <c r="H1616" i="59"/>
  <c r="H1612" i="59"/>
  <c r="J1612" i="59" s="1"/>
  <c r="H1614" i="59"/>
  <c r="H1610" i="59"/>
  <c r="H1611" i="59"/>
  <c r="H1608" i="59"/>
  <c r="J1608" i="59" s="1"/>
  <c r="H1609" i="59"/>
  <c r="H1603" i="59"/>
  <c r="I1603" i="59" s="1"/>
  <c r="H1596" i="59"/>
  <c r="I1596" i="59" s="1"/>
  <c r="H1597" i="59"/>
  <c r="H1594" i="59"/>
  <c r="H1595" i="59"/>
  <c r="H1592" i="59"/>
  <c r="J1592" i="59" s="1"/>
  <c r="H1593" i="59"/>
  <c r="H1590" i="59"/>
  <c r="J1590" i="59" s="1"/>
  <c r="H1591" i="59"/>
  <c r="H1588" i="59"/>
  <c r="H1589" i="59"/>
  <c r="H1586" i="59"/>
  <c r="J1586" i="59" s="1"/>
  <c r="H1587" i="59"/>
  <c r="H1584" i="59"/>
  <c r="J1584" i="59" s="1"/>
  <c r="H1585" i="59"/>
  <c r="H1582" i="59"/>
  <c r="J1582" i="59" s="1"/>
  <c r="H1583" i="59"/>
  <c r="H1579" i="59"/>
  <c r="I1579" i="59" s="1"/>
  <c r="H1580" i="59"/>
  <c r="H1577" i="59"/>
  <c r="H1578" i="59"/>
  <c r="H1575" i="59"/>
  <c r="H1576" i="59"/>
  <c r="H1573" i="59"/>
  <c r="I1573" i="59" s="1"/>
  <c r="H1574" i="59"/>
  <c r="H1571" i="59"/>
  <c r="I1571" i="59" s="1"/>
  <c r="H1572" i="59"/>
  <c r="H1569" i="59"/>
  <c r="H1570" i="59"/>
  <c r="H1567" i="59"/>
  <c r="J1567" i="59" s="1"/>
  <c r="H1568" i="59"/>
  <c r="H1565" i="59"/>
  <c r="J1565" i="59" s="1"/>
  <c r="H1566" i="59"/>
  <c r="H1563" i="59"/>
  <c r="J1563" i="59" s="1"/>
  <c r="H1564" i="59"/>
  <c r="H1561" i="59"/>
  <c r="H1562" i="59"/>
  <c r="H1559" i="59"/>
  <c r="H1560" i="59"/>
  <c r="H1557" i="59"/>
  <c r="H1558" i="59"/>
  <c r="H1555" i="59"/>
  <c r="J1555" i="59" s="1"/>
  <c r="H1556" i="59"/>
  <c r="H1553" i="59"/>
  <c r="H1554" i="59"/>
  <c r="H1551" i="59"/>
  <c r="J1551" i="59" s="1"/>
  <c r="H1552" i="59"/>
  <c r="H1549" i="59"/>
  <c r="J1549" i="59" s="1"/>
  <c r="H1550" i="59"/>
  <c r="H1547" i="59"/>
  <c r="J1547" i="59" s="1"/>
  <c r="H1548" i="59"/>
  <c r="H1545" i="59"/>
  <c r="I1545" i="59" s="1"/>
  <c r="H1546" i="59"/>
  <c r="H1543" i="59"/>
  <c r="H1544" i="59"/>
  <c r="H1541" i="59"/>
  <c r="J1541" i="59" s="1"/>
  <c r="H1542" i="59"/>
  <c r="H1539" i="59"/>
  <c r="J1539" i="59" s="1"/>
  <c r="H1540" i="59"/>
  <c r="H1537" i="59"/>
  <c r="H1538" i="59"/>
  <c r="H1535" i="59"/>
  <c r="J1535" i="59" s="1"/>
  <c r="H1536" i="59"/>
  <c r="H1533" i="59"/>
  <c r="H1534" i="59"/>
  <c r="H1531" i="59"/>
  <c r="J1531" i="59" s="1"/>
  <c r="H1532" i="59"/>
  <c r="H1529" i="59"/>
  <c r="H1530" i="59"/>
  <c r="H1527" i="59"/>
  <c r="H1528" i="59"/>
  <c r="H1525" i="59"/>
  <c r="H1526" i="59"/>
  <c r="H1523" i="59"/>
  <c r="H1524" i="59"/>
  <c r="H1521" i="59"/>
  <c r="H1522" i="59"/>
  <c r="H1519" i="59"/>
  <c r="J1519" i="59" s="1"/>
  <c r="H1520" i="59"/>
  <c r="H1517" i="59"/>
  <c r="J1517" i="59" s="1"/>
  <c r="H1518" i="59"/>
  <c r="H1515" i="59"/>
  <c r="J1515" i="59" s="1"/>
  <c r="H1516" i="59"/>
  <c r="H1513" i="59"/>
  <c r="H1514" i="59"/>
  <c r="H1511" i="59"/>
  <c r="J1511" i="59" s="1"/>
  <c r="H1512" i="59"/>
  <c r="H1509" i="59"/>
  <c r="I1509" i="59" s="1"/>
  <c r="H1510" i="59"/>
  <c r="H1507" i="59"/>
  <c r="H1508" i="59"/>
  <c r="H1505" i="59"/>
  <c r="H1506" i="59"/>
  <c r="H1503" i="59"/>
  <c r="H1504" i="59"/>
  <c r="H1501" i="59"/>
  <c r="H1502" i="59"/>
  <c r="H1499" i="59"/>
  <c r="J1499" i="59" s="1"/>
  <c r="H1500" i="59"/>
  <c r="H1497" i="59"/>
  <c r="J1497" i="59" s="1"/>
  <c r="H1498" i="59"/>
  <c r="H1495" i="59"/>
  <c r="H1496" i="59"/>
  <c r="H1493" i="59"/>
  <c r="J1493" i="59" s="1"/>
  <c r="H1494" i="59"/>
  <c r="H1491" i="59"/>
  <c r="I1491" i="59" s="1"/>
  <c r="H1492" i="59"/>
  <c r="H1488" i="59"/>
  <c r="I1488" i="59" s="1"/>
  <c r="I1489" i="59" s="1"/>
  <c r="H1490" i="59"/>
  <c r="H1486" i="59"/>
  <c r="J1486" i="59" s="1"/>
  <c r="H1487" i="59"/>
  <c r="H1484" i="59"/>
  <c r="H1485" i="59"/>
  <c r="H1482" i="59"/>
  <c r="H1483" i="59"/>
  <c r="H1480" i="59"/>
  <c r="J1480" i="59" s="1"/>
  <c r="H1481" i="59"/>
  <c r="H1478" i="59"/>
  <c r="H1479" i="59"/>
  <c r="H1476" i="59"/>
  <c r="H1477" i="59"/>
  <c r="H1474" i="59"/>
  <c r="J1474" i="59" s="1"/>
  <c r="H1475" i="59"/>
  <c r="H1471" i="59"/>
  <c r="J1471" i="59" s="1"/>
  <c r="H1473" i="59"/>
  <c r="H1469" i="59"/>
  <c r="J1469" i="59" s="1"/>
  <c r="H1472" i="59"/>
  <c r="H1466" i="59"/>
  <c r="H1467" i="59"/>
  <c r="H1464" i="59"/>
  <c r="H1465" i="59"/>
  <c r="H1462" i="59"/>
  <c r="J1462" i="59" s="1"/>
  <c r="H1463" i="59"/>
  <c r="H1460" i="59"/>
  <c r="H1461" i="59"/>
  <c r="H1458" i="59"/>
  <c r="J1458" i="59" s="1"/>
  <c r="H1459" i="59"/>
  <c r="H1456" i="59"/>
  <c r="J1456" i="59" s="1"/>
  <c r="H1457" i="59"/>
  <c r="H1454" i="59"/>
  <c r="J1454" i="59" s="1"/>
  <c r="H1455" i="59"/>
  <c r="H1452" i="59"/>
  <c r="J1452" i="59" s="1"/>
  <c r="H1453" i="59"/>
  <c r="H1450" i="59"/>
  <c r="J1450" i="59" s="1"/>
  <c r="H1451" i="59"/>
  <c r="H1448" i="59"/>
  <c r="K1448" i="59" s="1"/>
  <c r="H1449" i="59"/>
  <c r="H1446" i="59"/>
  <c r="H1447" i="59"/>
  <c r="H1444" i="59"/>
  <c r="H1445" i="59"/>
  <c r="H1442" i="59"/>
  <c r="J1442" i="59" s="1"/>
  <c r="H1443" i="59"/>
  <c r="H1440" i="59"/>
  <c r="J1440" i="59" s="1"/>
  <c r="H1441" i="59"/>
  <c r="H1438" i="59"/>
  <c r="I1438" i="59" s="1"/>
  <c r="H1439" i="59"/>
  <c r="H1436" i="59"/>
  <c r="J1436" i="59" s="1"/>
  <c r="H1437" i="59"/>
  <c r="H1434" i="59"/>
  <c r="H1435" i="59"/>
  <c r="H1431" i="59"/>
  <c r="J1431" i="59" s="1"/>
  <c r="H1433" i="59"/>
  <c r="H1429" i="59"/>
  <c r="J1429" i="59" s="1"/>
  <c r="H1430" i="59"/>
  <c r="H1427" i="59"/>
  <c r="J1427" i="59" s="1"/>
  <c r="H1428" i="59"/>
  <c r="H1425" i="59"/>
  <c r="J1425" i="59" s="1"/>
  <c r="H1426" i="59"/>
  <c r="H1423" i="59"/>
  <c r="J1423" i="59" s="1"/>
  <c r="H1424" i="59"/>
  <c r="H1420" i="59"/>
  <c r="H1422" i="59"/>
  <c r="H1418" i="59"/>
  <c r="J1418" i="59" s="1"/>
  <c r="H1419" i="59"/>
  <c r="H1416" i="59"/>
  <c r="H1417" i="59"/>
  <c r="H1413" i="59"/>
  <c r="K1413" i="59" s="1"/>
  <c r="K1414" i="59" s="1"/>
  <c r="H1415" i="59"/>
  <c r="H1411" i="59"/>
  <c r="H1412" i="59"/>
  <c r="H1409" i="59"/>
  <c r="J1409" i="59" s="1"/>
  <c r="H1410" i="59"/>
  <c r="H1407" i="59"/>
  <c r="H1408" i="59"/>
  <c r="H1405" i="59"/>
  <c r="J1405" i="59" s="1"/>
  <c r="H1406" i="59"/>
  <c r="H1403" i="59"/>
  <c r="H1404" i="59"/>
  <c r="H1401" i="59"/>
  <c r="H1402" i="59"/>
  <c r="H1399" i="59"/>
  <c r="I1399" i="59" s="1"/>
  <c r="H1400" i="59"/>
  <c r="H1397" i="59"/>
  <c r="J1397" i="59" s="1"/>
  <c r="H1398" i="59"/>
  <c r="H1395" i="59"/>
  <c r="J1395" i="59" s="1"/>
  <c r="H1396" i="59"/>
  <c r="H1393" i="59"/>
  <c r="I1393" i="59" s="1"/>
  <c r="H1394" i="59"/>
  <c r="H1391" i="59"/>
  <c r="H1392" i="59"/>
  <c r="H1389" i="59"/>
  <c r="J1389" i="59" s="1"/>
  <c r="H1390" i="59"/>
  <c r="H1387" i="59"/>
  <c r="J1387" i="59" s="1"/>
  <c r="H1388" i="59"/>
  <c r="H1385" i="59"/>
  <c r="J1385" i="59" s="1"/>
  <c r="H1386" i="59"/>
  <c r="H1382" i="59"/>
  <c r="J1382" i="59" s="1"/>
  <c r="H1383" i="59"/>
  <c r="H1380" i="59"/>
  <c r="J1380" i="59" s="1"/>
  <c r="H1381" i="59"/>
  <c r="H1377" i="59"/>
  <c r="H1378" i="59"/>
  <c r="H1375" i="59"/>
  <c r="J1375" i="59" s="1"/>
  <c r="H1376" i="59"/>
  <c r="H1373" i="59"/>
  <c r="J1373" i="59" s="1"/>
  <c r="H1374" i="59"/>
  <c r="H1371" i="59"/>
  <c r="J1371" i="59" s="1"/>
  <c r="H1372" i="59"/>
  <c r="H1369" i="59"/>
  <c r="H1370" i="59"/>
  <c r="H1367" i="59"/>
  <c r="J1367" i="59" s="1"/>
  <c r="H1368" i="59"/>
  <c r="H1365" i="59"/>
  <c r="J1365" i="59" s="1"/>
  <c r="H1366" i="59"/>
  <c r="H1363" i="59"/>
  <c r="J1363" i="59" s="1"/>
  <c r="H1364" i="59"/>
  <c r="H1361" i="59"/>
  <c r="J1361" i="59" s="1"/>
  <c r="H1362" i="59"/>
  <c r="H1359" i="59"/>
  <c r="J1359" i="59" s="1"/>
  <c r="H1360" i="59"/>
  <c r="H1357" i="59"/>
  <c r="J1357" i="59" s="1"/>
  <c r="H1358" i="59"/>
  <c r="H1353" i="59"/>
  <c r="J1353" i="59" s="1"/>
  <c r="H1356" i="59"/>
  <c r="H1351" i="59"/>
  <c r="H1352" i="59"/>
  <c r="H1348" i="59"/>
  <c r="J1348" i="59" s="1"/>
  <c r="H1349" i="59"/>
  <c r="H1346" i="59"/>
  <c r="J1346" i="59" s="1"/>
  <c r="H1347" i="59"/>
  <c r="H1344" i="59"/>
  <c r="J1344" i="59" s="1"/>
  <c r="H1345" i="59"/>
  <c r="H1342" i="59"/>
  <c r="I1342" i="59" s="1"/>
  <c r="H1343" i="59"/>
  <c r="H1340" i="59"/>
  <c r="J1340" i="59" s="1"/>
  <c r="H1341" i="59"/>
  <c r="H1337" i="59"/>
  <c r="J1337" i="59" s="1"/>
  <c r="H1339" i="59"/>
  <c r="H1335" i="59"/>
  <c r="J1335" i="59" s="1"/>
  <c r="H1336" i="59"/>
  <c r="H1333" i="59"/>
  <c r="J1333" i="59" s="1"/>
  <c r="H1334" i="59"/>
  <c r="H1331" i="59"/>
  <c r="J1331" i="59" s="1"/>
  <c r="H1332" i="59"/>
  <c r="H1328" i="59"/>
  <c r="J1328" i="59" s="1"/>
  <c r="H1329" i="59"/>
  <c r="H1330" i="59"/>
  <c r="H1327" i="59"/>
  <c r="H1318" i="59"/>
  <c r="I1318" i="59" s="1"/>
  <c r="H1319" i="59"/>
  <c r="H1316" i="59"/>
  <c r="J1316" i="59" s="1"/>
  <c r="H1317" i="59"/>
  <c r="H1314" i="59"/>
  <c r="I1314" i="59" s="1"/>
  <c r="H1315" i="59"/>
  <c r="H1312" i="59"/>
  <c r="J1312" i="59" s="1"/>
  <c r="H1313" i="59"/>
  <c r="H1310" i="59"/>
  <c r="H1311" i="59"/>
  <c r="H1308" i="59"/>
  <c r="I1308" i="59" s="1"/>
  <c r="H1309" i="59"/>
  <c r="H1306" i="59"/>
  <c r="H1307" i="59"/>
  <c r="H1304" i="59"/>
  <c r="J1304" i="59" s="1"/>
  <c r="H1305" i="59"/>
  <c r="H1302" i="59"/>
  <c r="J1302" i="59" s="1"/>
  <c r="H1303" i="59"/>
  <c r="H1300" i="59"/>
  <c r="H1301" i="59"/>
  <c r="H1297" i="59"/>
  <c r="J1297" i="59" s="1"/>
  <c r="H1298" i="59"/>
  <c r="H1295" i="59"/>
  <c r="J1295" i="59" s="1"/>
  <c r="H1296" i="59"/>
  <c r="H1293" i="59"/>
  <c r="J1293" i="59" s="1"/>
  <c r="H1294" i="59"/>
  <c r="H1291" i="59"/>
  <c r="J1291" i="59" s="1"/>
  <c r="H1292" i="59"/>
  <c r="H1289" i="59"/>
  <c r="I1289" i="59" s="1"/>
  <c r="H1290" i="59"/>
  <c r="H1287" i="59"/>
  <c r="I1287" i="59" s="1"/>
  <c r="H1288" i="59"/>
  <c r="H1285" i="59"/>
  <c r="J1285" i="59" s="1"/>
  <c r="H1286" i="59"/>
  <c r="H1283" i="59"/>
  <c r="J1283" i="59" s="1"/>
  <c r="H1284" i="59"/>
  <c r="H1266" i="59"/>
  <c r="J1266" i="59" s="1"/>
  <c r="H1282" i="59"/>
  <c r="H1264" i="59"/>
  <c r="J1264" i="59" s="1"/>
  <c r="H1265" i="59"/>
  <c r="H1262" i="59"/>
  <c r="I1262" i="59" s="1"/>
  <c r="H1263" i="59"/>
  <c r="H1260" i="59"/>
  <c r="J1260" i="59" s="1"/>
  <c r="H1261" i="59"/>
  <c r="H1258" i="59"/>
  <c r="J1258" i="59" s="1"/>
  <c r="H1259" i="59"/>
  <c r="H1256" i="59"/>
  <c r="J1256" i="59" s="1"/>
  <c r="H1257" i="59"/>
  <c r="H1254" i="59"/>
  <c r="H1255" i="59"/>
  <c r="H1252" i="59"/>
  <c r="J1252" i="59" s="1"/>
  <c r="H1253" i="59"/>
  <c r="H1250" i="59"/>
  <c r="J1250" i="59" s="1"/>
  <c r="H1251" i="59"/>
  <c r="H1248" i="59"/>
  <c r="H1249" i="59"/>
  <c r="H1246" i="59"/>
  <c r="J1246" i="59" s="1"/>
  <c r="H1247" i="59"/>
  <c r="H1244" i="59"/>
  <c r="I1244" i="59" s="1"/>
  <c r="H1245" i="59"/>
  <c r="H1242" i="59"/>
  <c r="J1242" i="59" s="1"/>
  <c r="H1243" i="59"/>
  <c r="H1240" i="59"/>
  <c r="I1240" i="59" s="1"/>
  <c r="H1241" i="59"/>
  <c r="H1237" i="59"/>
  <c r="J1237" i="59" s="1"/>
  <c r="H1238" i="59"/>
  <c r="H1235" i="59"/>
  <c r="J1235" i="59" s="1"/>
  <c r="H1236" i="59"/>
  <c r="H1232" i="59"/>
  <c r="J1232" i="59" s="1"/>
  <c r="H1233" i="59"/>
  <c r="H1230" i="59"/>
  <c r="J1230" i="59" s="1"/>
  <c r="H1231" i="59"/>
  <c r="H1228" i="59"/>
  <c r="J1228" i="59" s="1"/>
  <c r="H1229" i="59"/>
  <c r="H1226" i="59"/>
  <c r="J1226" i="59" s="1"/>
  <c r="H1227" i="59"/>
  <c r="H1224" i="59"/>
  <c r="J1224" i="59" s="1"/>
  <c r="H1225" i="59"/>
  <c r="H1221" i="59"/>
  <c r="H1222" i="59"/>
  <c r="H1219" i="59"/>
  <c r="I1219" i="59" s="1"/>
  <c r="H1220" i="59"/>
  <c r="H1217" i="59"/>
  <c r="J1217" i="59" s="1"/>
  <c r="H1218" i="59"/>
  <c r="H1215" i="59"/>
  <c r="I1215" i="59" s="1"/>
  <c r="H1216" i="59"/>
  <c r="H1213" i="59"/>
  <c r="J1213" i="59" s="1"/>
  <c r="H1214" i="59"/>
  <c r="H1211" i="59"/>
  <c r="J1211" i="59" s="1"/>
  <c r="H1212" i="59"/>
  <c r="H1209" i="59"/>
  <c r="I1209" i="59" s="1"/>
  <c r="H1210" i="59"/>
  <c r="H1207" i="59"/>
  <c r="J1207" i="59" s="1"/>
  <c r="H1208" i="59"/>
  <c r="H1205" i="59"/>
  <c r="J1205" i="59" s="1"/>
  <c r="H1206" i="59"/>
  <c r="H1203" i="59"/>
  <c r="J1203" i="59" s="1"/>
  <c r="H1204" i="59"/>
  <c r="H1201" i="59"/>
  <c r="J1201" i="59" s="1"/>
  <c r="H1202" i="59"/>
  <c r="H1199" i="59"/>
  <c r="J1199" i="59" s="1"/>
  <c r="H1200" i="59"/>
  <c r="H1196" i="59"/>
  <c r="J1196" i="59" s="1"/>
  <c r="H1197" i="59"/>
  <c r="H1194" i="59"/>
  <c r="J1194" i="59" s="1"/>
  <c r="H1195" i="59"/>
  <c r="H1192" i="59"/>
  <c r="J1192" i="59" s="1"/>
  <c r="H1193" i="59"/>
  <c r="H1190" i="59"/>
  <c r="J1190" i="59" s="1"/>
  <c r="H1191" i="59"/>
  <c r="H1188" i="59"/>
  <c r="J1188" i="59" s="1"/>
  <c r="H1189" i="59"/>
  <c r="H1184" i="59"/>
  <c r="J1184" i="59" s="1"/>
  <c r="H1187" i="59"/>
  <c r="H1182" i="59"/>
  <c r="J1182" i="59" s="1"/>
  <c r="H1183" i="59"/>
  <c r="H1180" i="59"/>
  <c r="J1180" i="59" s="1"/>
  <c r="H1181" i="59"/>
  <c r="H1178" i="59"/>
  <c r="J1178" i="59" s="1"/>
  <c r="H1179" i="59"/>
  <c r="H1175" i="59"/>
  <c r="J1175" i="59" s="1"/>
  <c r="H1176" i="59"/>
  <c r="H1173" i="59"/>
  <c r="J1173" i="59" s="1"/>
  <c r="H1174" i="59"/>
  <c r="H1171" i="59"/>
  <c r="H1172" i="59"/>
  <c r="H1169" i="59"/>
  <c r="J1169" i="59" s="1"/>
  <c r="H1170" i="59"/>
  <c r="H1167" i="59"/>
  <c r="I1167" i="59" s="1"/>
  <c r="H1168" i="59"/>
  <c r="H1165" i="59"/>
  <c r="J1165" i="59" s="1"/>
  <c r="H1166" i="59"/>
  <c r="H1162" i="59"/>
  <c r="H1163" i="59"/>
  <c r="H1160" i="59"/>
  <c r="J1160" i="59" s="1"/>
  <c r="H1161" i="59"/>
  <c r="H1157" i="59"/>
  <c r="J1157" i="59" s="1"/>
  <c r="H1159" i="59"/>
  <c r="H1155" i="59"/>
  <c r="J1155" i="59" s="1"/>
  <c r="H1156" i="59"/>
  <c r="H1153" i="59"/>
  <c r="J1153" i="59" s="1"/>
  <c r="H1154" i="59"/>
  <c r="H1151" i="59"/>
  <c r="J1151" i="59" s="1"/>
  <c r="H1152" i="59"/>
  <c r="H1149" i="59"/>
  <c r="J1149" i="59" s="1"/>
  <c r="H1150" i="59"/>
  <c r="H1147" i="59"/>
  <c r="I1147" i="59" s="1"/>
  <c r="H1148" i="59"/>
  <c r="H1145" i="59"/>
  <c r="J1145" i="59" s="1"/>
  <c r="H1146" i="59"/>
  <c r="H1143" i="59"/>
  <c r="J1143" i="59" s="1"/>
  <c r="H1144" i="59"/>
  <c r="H1141" i="59"/>
  <c r="J1141" i="59" s="1"/>
  <c r="H1142" i="59"/>
  <c r="H1139" i="59"/>
  <c r="J1139" i="59" s="1"/>
  <c r="H1140" i="59"/>
  <c r="H1136" i="59"/>
  <c r="J1136" i="59" s="1"/>
  <c r="H1137" i="59"/>
  <c r="H1134" i="59"/>
  <c r="J1134" i="59" s="1"/>
  <c r="H1135" i="59"/>
  <c r="H1131" i="59"/>
  <c r="J1131" i="59" s="1"/>
  <c r="H1133" i="59"/>
  <c r="H1129" i="59"/>
  <c r="J1129" i="59" s="1"/>
  <c r="H1130" i="59"/>
  <c r="H1127" i="59"/>
  <c r="J1127" i="59" s="1"/>
  <c r="H1128" i="59"/>
  <c r="H1125" i="59"/>
  <c r="J1125" i="59" s="1"/>
  <c r="H1126" i="59"/>
  <c r="H1123" i="59"/>
  <c r="J1123" i="59" s="1"/>
  <c r="H1124" i="59"/>
  <c r="H1121" i="59"/>
  <c r="H1122" i="59"/>
  <c r="H1119" i="59"/>
  <c r="J1119" i="59" s="1"/>
  <c r="H1120" i="59"/>
  <c r="H1117" i="59"/>
  <c r="J1117" i="59" s="1"/>
  <c r="H1118" i="59"/>
  <c r="H1115" i="59"/>
  <c r="I1115" i="59" s="1"/>
  <c r="H1116" i="59"/>
  <c r="H1113" i="59"/>
  <c r="J1113" i="59" s="1"/>
  <c r="H1114" i="59"/>
  <c r="H1111" i="59"/>
  <c r="J1111" i="59" s="1"/>
  <c r="H1112" i="59"/>
  <c r="H1109" i="59"/>
  <c r="I1109" i="59" s="1"/>
  <c r="H1110" i="59"/>
  <c r="H1107" i="59"/>
  <c r="I1107" i="59" s="1"/>
  <c r="H1108" i="59"/>
  <c r="H1105" i="59"/>
  <c r="J1105" i="59" s="1"/>
  <c r="H1106" i="59"/>
  <c r="H1103" i="59"/>
  <c r="J1103" i="59" s="1"/>
  <c r="H1104" i="59"/>
  <c r="H1100" i="59"/>
  <c r="J1100" i="59" s="1"/>
  <c r="H1101" i="59"/>
  <c r="H1098" i="59"/>
  <c r="H1099" i="59"/>
  <c r="H1096" i="59"/>
  <c r="J1096" i="59" s="1"/>
  <c r="H1097" i="59"/>
  <c r="H1094" i="59"/>
  <c r="H1095" i="59"/>
  <c r="H1092" i="59"/>
  <c r="J1092" i="59" s="1"/>
  <c r="H1093" i="59"/>
  <c r="H1090" i="59"/>
  <c r="H1091" i="59"/>
  <c r="H1087" i="59"/>
  <c r="J1087" i="59" s="1"/>
  <c r="H1089" i="59"/>
  <c r="H1084" i="59"/>
  <c r="H1086" i="59"/>
  <c r="H1082" i="59"/>
  <c r="I1082" i="59" s="1"/>
  <c r="H1083" i="59"/>
  <c r="H1079" i="59"/>
  <c r="H1081" i="59"/>
  <c r="H1077" i="59"/>
  <c r="J1077" i="59" s="1"/>
  <c r="H1078" i="59"/>
  <c r="H1075" i="59"/>
  <c r="H1076" i="59"/>
  <c r="H1073" i="59"/>
  <c r="J1073" i="59" s="1"/>
  <c r="H1074" i="59"/>
  <c r="H1071" i="59"/>
  <c r="J1071" i="59" s="1"/>
  <c r="H1072" i="59"/>
  <c r="H1069" i="59"/>
  <c r="H1070" i="59"/>
  <c r="H1067" i="59"/>
  <c r="J1067" i="59" s="1"/>
  <c r="H1068" i="59"/>
  <c r="H1065" i="59"/>
  <c r="J1065" i="59" s="1"/>
  <c r="H1066" i="59"/>
  <c r="H1063" i="59"/>
  <c r="J1063" i="59" s="1"/>
  <c r="H1064" i="59"/>
  <c r="H1061" i="59"/>
  <c r="J1061" i="59" s="1"/>
  <c r="H1062" i="59"/>
  <c r="H1059" i="59"/>
  <c r="J1059" i="59" s="1"/>
  <c r="H1060" i="59"/>
  <c r="H1057" i="59"/>
  <c r="J1057" i="59" s="1"/>
  <c r="H1058" i="59"/>
  <c r="H1055" i="59"/>
  <c r="H1056" i="59"/>
  <c r="H1052" i="59"/>
  <c r="H1054" i="59"/>
  <c r="H1050" i="59"/>
  <c r="J1050" i="59" s="1"/>
  <c r="H1051" i="59"/>
  <c r="H1048" i="59"/>
  <c r="J1048" i="59" s="1"/>
  <c r="H1049" i="59"/>
  <c r="H1046" i="59"/>
  <c r="H1047" i="59"/>
  <c r="H1044" i="59"/>
  <c r="K1044" i="59" s="1"/>
  <c r="H1045" i="59"/>
  <c r="H1003" i="59"/>
  <c r="J1003" i="59" s="1"/>
  <c r="H1004" i="59"/>
  <c r="H1000" i="59"/>
  <c r="H1001" i="59"/>
  <c r="H998" i="59"/>
  <c r="K998" i="59" s="1"/>
  <c r="H999" i="59"/>
  <c r="H996" i="59"/>
  <c r="J996" i="59" s="1"/>
  <c r="H997" i="59"/>
  <c r="H994" i="59"/>
  <c r="H995" i="59"/>
  <c r="H992" i="59"/>
  <c r="I992" i="59" s="1"/>
  <c r="H993" i="59"/>
  <c r="H990" i="59"/>
  <c r="H991" i="59"/>
  <c r="H988" i="59"/>
  <c r="I988" i="59" s="1"/>
  <c r="H989" i="59"/>
  <c r="H986" i="59"/>
  <c r="H987" i="59"/>
  <c r="H984" i="59"/>
  <c r="J984" i="59" s="1"/>
  <c r="H985" i="59"/>
  <c r="K985" i="59" s="1"/>
  <c r="H982" i="59"/>
  <c r="J982" i="59" s="1"/>
  <c r="H983" i="59"/>
  <c r="H980" i="59"/>
  <c r="J980" i="59" s="1"/>
  <c r="H981" i="59"/>
  <c r="H978" i="59"/>
  <c r="H979" i="59"/>
  <c r="H976" i="59"/>
  <c r="I976" i="59" s="1"/>
  <c r="H977" i="59"/>
  <c r="H974" i="59"/>
  <c r="J974" i="59" s="1"/>
  <c r="H975" i="59"/>
  <c r="H972" i="59"/>
  <c r="H973" i="59"/>
  <c r="H970" i="59"/>
  <c r="K970" i="59" s="1"/>
  <c r="H971" i="59"/>
  <c r="H968" i="59"/>
  <c r="I968" i="59" s="1"/>
  <c r="H969" i="59"/>
  <c r="H966" i="59"/>
  <c r="I966" i="59" s="1"/>
  <c r="H967" i="59"/>
  <c r="H964" i="59"/>
  <c r="H965" i="59"/>
  <c r="H962" i="59"/>
  <c r="J962" i="59" s="1"/>
  <c r="H963" i="59"/>
  <c r="H960" i="59"/>
  <c r="H961" i="59"/>
  <c r="H957" i="59"/>
  <c r="J957" i="59" s="1"/>
  <c r="H959" i="59"/>
  <c r="K959" i="59" s="1"/>
  <c r="H955" i="59"/>
  <c r="H956" i="59"/>
  <c r="H953" i="59"/>
  <c r="J953" i="59" s="1"/>
  <c r="H954" i="59"/>
  <c r="H951" i="59"/>
  <c r="H952" i="59"/>
  <c r="H949" i="59"/>
  <c r="J949" i="59" s="1"/>
  <c r="H950" i="59"/>
  <c r="H947" i="59"/>
  <c r="H948" i="59"/>
  <c r="H945" i="59"/>
  <c r="H946" i="59"/>
  <c r="H942" i="59"/>
  <c r="J942" i="59" s="1"/>
  <c r="H943" i="59"/>
  <c r="H939" i="59"/>
  <c r="K939" i="59" s="1"/>
  <c r="H940" i="59"/>
  <c r="H937" i="59"/>
  <c r="J937" i="59" s="1"/>
  <c r="H938" i="59"/>
  <c r="H934" i="59"/>
  <c r="I934" i="59" s="1"/>
  <c r="H936" i="59"/>
  <c r="H935" i="59"/>
  <c r="H931" i="59"/>
  <c r="H932" i="59"/>
  <c r="H929" i="59"/>
  <c r="I929" i="59" s="1"/>
  <c r="H930" i="59"/>
  <c r="H927" i="59"/>
  <c r="J927" i="59" s="1"/>
  <c r="H928" i="59"/>
  <c r="H924" i="59"/>
  <c r="J924" i="59" s="1"/>
  <c r="H926" i="59"/>
  <c r="H922" i="59"/>
  <c r="J922" i="59" s="1"/>
  <c r="H923" i="59"/>
  <c r="H730" i="59"/>
  <c r="J730" i="59" s="1"/>
  <c r="H731" i="59"/>
  <c r="H728" i="59"/>
  <c r="I728" i="59" s="1"/>
  <c r="H729" i="59"/>
  <c r="H726" i="59"/>
  <c r="J726" i="59" s="1"/>
  <c r="H727" i="59"/>
  <c r="H724" i="59"/>
  <c r="H725" i="59"/>
  <c r="H722" i="59"/>
  <c r="H723" i="59"/>
  <c r="H720" i="59"/>
  <c r="J720" i="59" s="1"/>
  <c r="H721" i="59"/>
  <c r="H509" i="59"/>
  <c r="J509" i="59" s="1"/>
  <c r="H702" i="59"/>
  <c r="H508" i="59"/>
  <c r="J508" i="59" s="1"/>
  <c r="H507" i="59"/>
  <c r="H251" i="59"/>
  <c r="J251" i="59" s="1"/>
  <c r="H249" i="59"/>
  <c r="I249" i="59" s="1"/>
  <c r="H250" i="59"/>
  <c r="H248" i="59"/>
  <c r="J248" i="59" s="1"/>
  <c r="H247" i="59"/>
  <c r="H5" i="59"/>
  <c r="H6" i="59"/>
  <c r="J6" i="59" s="1"/>
  <c r="H36" i="59"/>
  <c r="I2958" i="59" l="1"/>
  <c r="K2958" i="59"/>
  <c r="L2958" i="59"/>
  <c r="J2958" i="59"/>
  <c r="I2956" i="59"/>
  <c r="J2956" i="59"/>
  <c r="K2956" i="59"/>
  <c r="L2956" i="59"/>
  <c r="J2954" i="59"/>
  <c r="L2954" i="59"/>
  <c r="I2954" i="59"/>
  <c r="K2954" i="59"/>
  <c r="I2952" i="59"/>
  <c r="K2952" i="59"/>
  <c r="J2952" i="59"/>
  <c r="L2952" i="59"/>
  <c r="I2950" i="59"/>
  <c r="I2951" i="59" s="1"/>
  <c r="L2950" i="59"/>
  <c r="L2951" i="59" s="1"/>
  <c r="J2950" i="59"/>
  <c r="K2950" i="59"/>
  <c r="K2951" i="59" s="1"/>
  <c r="K2948" i="59"/>
  <c r="I2948" i="59"/>
  <c r="L2948" i="59"/>
  <c r="J2948" i="59"/>
  <c r="K2944" i="59"/>
  <c r="K2945" i="59" s="1"/>
  <c r="K2946" i="59" s="1"/>
  <c r="K2947" i="59" s="1"/>
  <c r="J2944" i="59"/>
  <c r="L2944" i="59"/>
  <c r="L2945" i="59" s="1"/>
  <c r="I2946" i="59"/>
  <c r="I2947" i="59" s="1"/>
  <c r="J2946" i="59"/>
  <c r="L2946" i="59"/>
  <c r="L2947" i="59" s="1"/>
  <c r="J2943" i="59"/>
  <c r="I2943" i="59"/>
  <c r="L2943" i="59"/>
  <c r="K2943" i="59"/>
  <c r="J2941" i="59"/>
  <c r="I2941" i="59"/>
  <c r="K2941" i="59"/>
  <c r="L2941" i="59"/>
  <c r="J2938" i="59"/>
  <c r="J2939" i="59"/>
  <c r="I2939" i="59"/>
  <c r="L2939" i="59"/>
  <c r="K2939" i="59"/>
  <c r="J2937" i="59"/>
  <c r="L2937" i="59"/>
  <c r="I2937" i="59"/>
  <c r="K2937" i="59"/>
  <c r="I2935" i="59"/>
  <c r="I2936" i="59" s="1"/>
  <c r="L2935" i="59"/>
  <c r="L2936" i="59" s="1"/>
  <c r="K2935" i="59"/>
  <c r="K2936" i="59" s="1"/>
  <c r="J2935" i="59"/>
  <c r="I2933" i="59"/>
  <c r="K2933" i="59"/>
  <c r="L2933" i="59"/>
  <c r="J2933" i="59"/>
  <c r="K2930" i="59"/>
  <c r="L2930" i="59"/>
  <c r="I2930" i="59"/>
  <c r="J2930" i="59"/>
  <c r="L2928" i="59"/>
  <c r="K2928" i="59"/>
  <c r="J2928" i="59"/>
  <c r="I2928" i="59"/>
  <c r="J2926" i="59"/>
  <c r="L2926" i="59"/>
  <c r="L2927" i="59" s="1"/>
  <c r="K2926" i="59"/>
  <c r="K2927" i="59" s="1"/>
  <c r="I2926" i="59"/>
  <c r="I2927" i="59" s="1"/>
  <c r="I2924" i="59"/>
  <c r="J2924" i="59"/>
  <c r="K2924" i="59"/>
  <c r="L2924" i="59"/>
  <c r="I2922" i="59"/>
  <c r="K2922" i="59"/>
  <c r="J2922" i="59"/>
  <c r="L2922" i="59"/>
  <c r="I2920" i="59"/>
  <c r="K2920" i="59"/>
  <c r="L2920" i="59"/>
  <c r="J2920" i="59"/>
  <c r="K2917" i="59"/>
  <c r="I2917" i="59"/>
  <c r="J2918" i="59"/>
  <c r="K2918" i="59"/>
  <c r="L2918" i="59"/>
  <c r="I2918" i="59"/>
  <c r="K2916" i="59"/>
  <c r="J2916" i="59"/>
  <c r="I2916" i="59"/>
  <c r="L2916" i="59"/>
  <c r="I2914" i="59"/>
  <c r="K2914" i="59"/>
  <c r="J2914" i="59"/>
  <c r="L2914" i="59"/>
  <c r="I2912" i="59"/>
  <c r="L2912" i="59"/>
  <c r="J2912" i="59"/>
  <c r="K2912" i="59"/>
  <c r="J2910" i="59"/>
  <c r="I2910" i="59"/>
  <c r="K2910" i="59"/>
  <c r="L2910" i="59"/>
  <c r="J2908" i="59"/>
  <c r="K2908" i="59"/>
  <c r="L2908" i="59"/>
  <c r="I2908" i="59"/>
  <c r="I2906" i="59"/>
  <c r="I2907" i="59" s="1"/>
  <c r="K2906" i="59"/>
  <c r="K2907" i="59" s="1"/>
  <c r="L2906" i="59"/>
  <c r="L2907" i="59" s="1"/>
  <c r="J2906" i="59"/>
  <c r="J2904" i="59"/>
  <c r="L2904" i="59"/>
  <c r="I2904" i="59"/>
  <c r="K2904" i="59"/>
  <c r="I2902" i="59"/>
  <c r="K2902" i="59"/>
  <c r="L2902" i="59"/>
  <c r="J2902" i="59"/>
  <c r="I2900" i="59"/>
  <c r="K2900" i="59"/>
  <c r="J2900" i="59"/>
  <c r="L2900" i="59"/>
  <c r="I2898" i="59"/>
  <c r="K2898" i="59"/>
  <c r="J2898" i="59"/>
  <c r="L2898" i="59"/>
  <c r="I2896" i="59"/>
  <c r="K2896" i="59"/>
  <c r="J2896" i="59"/>
  <c r="L2896" i="59"/>
  <c r="K2894" i="59"/>
  <c r="I2894" i="59"/>
  <c r="J2894" i="59"/>
  <c r="L2894" i="59"/>
  <c r="I2892" i="59"/>
  <c r="I2893" i="59" s="1"/>
  <c r="L2892" i="59"/>
  <c r="L2893" i="59" s="1"/>
  <c r="K2892" i="59"/>
  <c r="K2893" i="59" s="1"/>
  <c r="J2892" i="59"/>
  <c r="L2890" i="59"/>
  <c r="K2890" i="59"/>
  <c r="J2890" i="59"/>
  <c r="I2890" i="59"/>
  <c r="K2889" i="59"/>
  <c r="J2888" i="59"/>
  <c r="L2888" i="59"/>
  <c r="K2888" i="59"/>
  <c r="I2888" i="59"/>
  <c r="I2886" i="59"/>
  <c r="I2887" i="59" s="1"/>
  <c r="L2886" i="59"/>
  <c r="L2887" i="59" s="1"/>
  <c r="K2886" i="59"/>
  <c r="K2887" i="59" s="1"/>
  <c r="J2886" i="59"/>
  <c r="I2884" i="59"/>
  <c r="K2884" i="59"/>
  <c r="J2884" i="59"/>
  <c r="L2884" i="59"/>
  <c r="J2882" i="59"/>
  <c r="L2882" i="59"/>
  <c r="I2882" i="59"/>
  <c r="K2882" i="59"/>
  <c r="I2880" i="59"/>
  <c r="L2880" i="59"/>
  <c r="J2880" i="59"/>
  <c r="K2880" i="59"/>
  <c r="K2878" i="59"/>
  <c r="J2878" i="59"/>
  <c r="L2878" i="59"/>
  <c r="I2878" i="59"/>
  <c r="J2876" i="59"/>
  <c r="I2816" i="59"/>
  <c r="J2863" i="59"/>
  <c r="I2871" i="59"/>
  <c r="I2872" i="59" s="1"/>
  <c r="I2873" i="59" s="1"/>
  <c r="J2810" i="59"/>
  <c r="K2810" i="59"/>
  <c r="K2811" i="59" s="1"/>
  <c r="K2812" i="59" s="1"/>
  <c r="K2813" i="59" s="1"/>
  <c r="K2814" i="59" s="1"/>
  <c r="K2815" i="59" s="1"/>
  <c r="K2816" i="59" s="1"/>
  <c r="K2817" i="59" s="1"/>
  <c r="K2818" i="59" s="1"/>
  <c r="K2819" i="59" s="1"/>
  <c r="K2820" i="59" s="1"/>
  <c r="K2821" i="59" s="1"/>
  <c r="K2822" i="59" s="1"/>
  <c r="K2823" i="59" s="1"/>
  <c r="K2824" i="59" s="1"/>
  <c r="K2825" i="59" s="1"/>
  <c r="K2826" i="59" s="1"/>
  <c r="K2827" i="59" s="1"/>
  <c r="K2828" i="59" s="1"/>
  <c r="K2829" i="59" s="1"/>
  <c r="K2830" i="59" s="1"/>
  <c r="I2711" i="59"/>
  <c r="I2712" i="59" s="1"/>
  <c r="I2713" i="59" s="1"/>
  <c r="I2714" i="59" s="1"/>
  <c r="I2747" i="59"/>
  <c r="I2748" i="59" s="1"/>
  <c r="I2749" i="59" s="1"/>
  <c r="J2693" i="59"/>
  <c r="J2738" i="59"/>
  <c r="I2098" i="59"/>
  <c r="I2099" i="59" s="1"/>
  <c r="I2731" i="59"/>
  <c r="I2758" i="59"/>
  <c r="I2759" i="59" s="1"/>
  <c r="I2760" i="59" s="1"/>
  <c r="I2652" i="59"/>
  <c r="I2653" i="59" s="1"/>
  <c r="I2654" i="59" s="1"/>
  <c r="I2655" i="59" s="1"/>
  <c r="I2836" i="59"/>
  <c r="I2837" i="59" s="1"/>
  <c r="I2838" i="59" s="1"/>
  <c r="I2808" i="59"/>
  <c r="I2809" i="59" s="1"/>
  <c r="I2678" i="59"/>
  <c r="I2699" i="59"/>
  <c r="J2715" i="59"/>
  <c r="L2699" i="59"/>
  <c r="L2700" i="59" s="1"/>
  <c r="L2701" i="59" s="1"/>
  <c r="L2702" i="59" s="1"/>
  <c r="L2703" i="59" s="1"/>
  <c r="L2704" i="59" s="1"/>
  <c r="L2705" i="59" s="1"/>
  <c r="L2706" i="59" s="1"/>
  <c r="L2707" i="59" s="1"/>
  <c r="L2708" i="59" s="1"/>
  <c r="L2709" i="59" s="1"/>
  <c r="L2710" i="59" s="1"/>
  <c r="L2711" i="59" s="1"/>
  <c r="L2712" i="59" s="1"/>
  <c r="L2713" i="59" s="1"/>
  <c r="L2714" i="59" s="1"/>
  <c r="L2715" i="59" s="1"/>
  <c r="L2716" i="59" s="1"/>
  <c r="L2717" i="59" s="1"/>
  <c r="L2718" i="59" s="1"/>
  <c r="L2719" i="59" s="1"/>
  <c r="L2720" i="59" s="1"/>
  <c r="L2721" i="59" s="1"/>
  <c r="L2722" i="59" s="1"/>
  <c r="L2723" i="59" s="1"/>
  <c r="L2724" i="59" s="1"/>
  <c r="L2725" i="59" s="1"/>
  <c r="L2726" i="59" s="1"/>
  <c r="L2727" i="59" s="1"/>
  <c r="L2728" i="59" s="1"/>
  <c r="L2729" i="59" s="1"/>
  <c r="L2730" i="59" s="1"/>
  <c r="L2731" i="59" s="1"/>
  <c r="L2732" i="59" s="1"/>
  <c r="L2733" i="59" s="1"/>
  <c r="L2734" i="59" s="1"/>
  <c r="L2735" i="59" s="1"/>
  <c r="L2736" i="59" s="1"/>
  <c r="L2737" i="59" s="1"/>
  <c r="L2738" i="59" s="1"/>
  <c r="L2739" i="59" s="1"/>
  <c r="L2740" i="59" s="1"/>
  <c r="L2741" i="59" s="1"/>
  <c r="L2742" i="59" s="1"/>
  <c r="L2743" i="59" s="1"/>
  <c r="L2744" i="59" s="1"/>
  <c r="L2745" i="59" s="1"/>
  <c r="L2746" i="59" s="1"/>
  <c r="L2747" i="59" s="1"/>
  <c r="L2748" i="59" s="1"/>
  <c r="L2749" i="59" s="1"/>
  <c r="L2750" i="59" s="1"/>
  <c r="L2751" i="59" s="1"/>
  <c r="L2752" i="59" s="1"/>
  <c r="L2753" i="59" s="1"/>
  <c r="L2754" i="59" s="1"/>
  <c r="L2755" i="59" s="1"/>
  <c r="L2756" i="59" s="1"/>
  <c r="L2757" i="59" s="1"/>
  <c r="L2758" i="59" s="1"/>
  <c r="L2759" i="59" s="1"/>
  <c r="L2760" i="59" s="1"/>
  <c r="L2761" i="59" s="1"/>
  <c r="L2762" i="59" s="1"/>
  <c r="L2763" i="59" s="1"/>
  <c r="K2699" i="59"/>
  <c r="K2700" i="59" s="1"/>
  <c r="K2701" i="59" s="1"/>
  <c r="K2702" i="59" s="1"/>
  <c r="K2703" i="59" s="1"/>
  <c r="K2704" i="59" s="1"/>
  <c r="K2705" i="59" s="1"/>
  <c r="K2706" i="59" s="1"/>
  <c r="K2707" i="59" s="1"/>
  <c r="K2708" i="59" s="1"/>
  <c r="K2709" i="59" s="1"/>
  <c r="K2710" i="59" s="1"/>
  <c r="K2727" i="59"/>
  <c r="K2728" i="59" s="1"/>
  <c r="K2729" i="59" s="1"/>
  <c r="K2730" i="59" s="1"/>
  <c r="K2731" i="59" s="1"/>
  <c r="K2732" i="59" s="1"/>
  <c r="K2733" i="59" s="1"/>
  <c r="K2734" i="59" s="1"/>
  <c r="K2735" i="59" s="1"/>
  <c r="K2736" i="59" s="1"/>
  <c r="K2737" i="59" s="1"/>
  <c r="K2738" i="59" s="1"/>
  <c r="K2739" i="59" s="1"/>
  <c r="K2740" i="59" s="1"/>
  <c r="K2741" i="59" s="1"/>
  <c r="K2742" i="59" s="1"/>
  <c r="K2743" i="59" s="1"/>
  <c r="K2744" i="59" s="1"/>
  <c r="K2745" i="59" s="1"/>
  <c r="K2746" i="59" s="1"/>
  <c r="I2727" i="59"/>
  <c r="I2728" i="59" s="1"/>
  <c r="I2729" i="59" s="1"/>
  <c r="I2730" i="59" s="1"/>
  <c r="I2787" i="59"/>
  <c r="I2788" i="59" s="1"/>
  <c r="J2861" i="59"/>
  <c r="I2770" i="59"/>
  <c r="I2789" i="59"/>
  <c r="I2790" i="59" s="1"/>
  <c r="I2791" i="59" s="1"/>
  <c r="K2861" i="59"/>
  <c r="K2862" i="59" s="1"/>
  <c r="K2863" i="59" s="1"/>
  <c r="K2864" i="59" s="1"/>
  <c r="K2865" i="59" s="1"/>
  <c r="K2866" i="59" s="1"/>
  <c r="K2867" i="59" s="1"/>
  <c r="K2868" i="59" s="1"/>
  <c r="K2869" i="59" s="1"/>
  <c r="K2870" i="59" s="1"/>
  <c r="K2871" i="59" s="1"/>
  <c r="K2872" i="59" s="1"/>
  <c r="K2873" i="59" s="1"/>
  <c r="J2776" i="59"/>
  <c r="J2768" i="59"/>
  <c r="J2709" i="59"/>
  <c r="J2725" i="59"/>
  <c r="J2838" i="59"/>
  <c r="J2847" i="59"/>
  <c r="J2638" i="59"/>
  <c r="J2656" i="59"/>
  <c r="I2745" i="59"/>
  <c r="I2746" i="59" s="1"/>
  <c r="J2785" i="59"/>
  <c r="J2804" i="59"/>
  <c r="J2812" i="59"/>
  <c r="J2830" i="59"/>
  <c r="J2857" i="59"/>
  <c r="J2873" i="59"/>
  <c r="J2762" i="59"/>
  <c r="J2796" i="59"/>
  <c r="K2393" i="59"/>
  <c r="K2394" i="59" s="1"/>
  <c r="K2395" i="59" s="1"/>
  <c r="K2396" i="59" s="1"/>
  <c r="K2397" i="59" s="1"/>
  <c r="K2398" i="59" s="1"/>
  <c r="K2399" i="59" s="1"/>
  <c r="K2400" i="59" s="1"/>
  <c r="K2401" i="59" s="1"/>
  <c r="K2402" i="59" s="1"/>
  <c r="K2403" i="59" s="1"/>
  <c r="K2404" i="59" s="1"/>
  <c r="J2640" i="59"/>
  <c r="J2711" i="59"/>
  <c r="K2747" i="59"/>
  <c r="K2748" i="59" s="1"/>
  <c r="K2749" i="59" s="1"/>
  <c r="K2750" i="59" s="1"/>
  <c r="K2751" i="59" s="1"/>
  <c r="K2752" i="59" s="1"/>
  <c r="K2753" i="59" s="1"/>
  <c r="K2754" i="59" s="1"/>
  <c r="K2755" i="59" s="1"/>
  <c r="K2756" i="59" s="1"/>
  <c r="K2757" i="59" s="1"/>
  <c r="K2758" i="59" s="1"/>
  <c r="K2759" i="59" s="1"/>
  <c r="K2760" i="59" s="1"/>
  <c r="K2787" i="59"/>
  <c r="K2788" i="59" s="1"/>
  <c r="K2789" i="59" s="1"/>
  <c r="K2790" i="59" s="1"/>
  <c r="K2791" i="59" s="1"/>
  <c r="K2792" i="59" s="1"/>
  <c r="K2793" i="59" s="1"/>
  <c r="K2794" i="59" s="1"/>
  <c r="K2795" i="59" s="1"/>
  <c r="K2796" i="59" s="1"/>
  <c r="K2797" i="59" s="1"/>
  <c r="K2798" i="59" s="1"/>
  <c r="K2799" i="59" s="1"/>
  <c r="J2840" i="59"/>
  <c r="I1621" i="59"/>
  <c r="I1622" i="59" s="1"/>
  <c r="I1623" i="59" s="1"/>
  <c r="L2393" i="59"/>
  <c r="L2394" i="59" s="1"/>
  <c r="L2395" i="59" s="1"/>
  <c r="L2396" i="59" s="1"/>
  <c r="L2397" i="59" s="1"/>
  <c r="L2398" i="59" s="1"/>
  <c r="L2399" i="59" s="1"/>
  <c r="L2400" i="59" s="1"/>
  <c r="L2401" i="59" s="1"/>
  <c r="L2402" i="59" s="1"/>
  <c r="L2403" i="59" s="1"/>
  <c r="L2404" i="59" s="1"/>
  <c r="L2405" i="59" s="1"/>
  <c r="L2406" i="59" s="1"/>
  <c r="L2407" i="59" s="1"/>
  <c r="L2408" i="59" s="1"/>
  <c r="L2409" i="59" s="1"/>
  <c r="L2410" i="59" s="1"/>
  <c r="L2411" i="59" s="1"/>
  <c r="L2412" i="59" s="1"/>
  <c r="L2413" i="59" s="1"/>
  <c r="L2414" i="59" s="1"/>
  <c r="L2415" i="59" s="1"/>
  <c r="L2416" i="59" s="1"/>
  <c r="L2417" i="59" s="1"/>
  <c r="L2418" i="59" s="1"/>
  <c r="L2419" i="59" s="1"/>
  <c r="L2420" i="59" s="1"/>
  <c r="L2421" i="59" s="1"/>
  <c r="L2422" i="59" s="1"/>
  <c r="L2423" i="59" s="1"/>
  <c r="L2424" i="59" s="1"/>
  <c r="L2425" i="59" s="1"/>
  <c r="L2426" i="59" s="1"/>
  <c r="L2427" i="59" s="1"/>
  <c r="L2428" i="59" s="1"/>
  <c r="L2429" i="59" s="1"/>
  <c r="L2430" i="59" s="1"/>
  <c r="L2431" i="59" s="1"/>
  <c r="L2432" i="59" s="1"/>
  <c r="L2433" i="59" s="1"/>
  <c r="L2434" i="59" s="1"/>
  <c r="L2435" i="59" s="1"/>
  <c r="L2436" i="59" s="1"/>
  <c r="L2437" i="59" s="1"/>
  <c r="L2438" i="59" s="1"/>
  <c r="L2439" i="59" s="1"/>
  <c r="L2440" i="59" s="1"/>
  <c r="L2441" i="59" s="1"/>
  <c r="L2442" i="59" s="1"/>
  <c r="L2443" i="59" s="1"/>
  <c r="L2444" i="59" s="1"/>
  <c r="L2445" i="59" s="1"/>
  <c r="L2446" i="59" s="1"/>
  <c r="L2447" i="59" s="1"/>
  <c r="L2448" i="59" s="1"/>
  <c r="L2449" i="59" s="1"/>
  <c r="L2450" i="59" s="1"/>
  <c r="L2451" i="59" s="1"/>
  <c r="L2452" i="59" s="1"/>
  <c r="L2453" i="59" s="1"/>
  <c r="L2454" i="59" s="1"/>
  <c r="L2455" i="59" s="1"/>
  <c r="L2456" i="59" s="1"/>
  <c r="L2457" i="59" s="1"/>
  <c r="L2458" i="59" s="1"/>
  <c r="L2459" i="59" s="1"/>
  <c r="L2460" i="59" s="1"/>
  <c r="L2461" i="59" s="1"/>
  <c r="L2462" i="59" s="1"/>
  <c r="L2463" i="59" s="1"/>
  <c r="L2464" i="59" s="1"/>
  <c r="L2465" i="59" s="1"/>
  <c r="L2466" i="59" s="1"/>
  <c r="L2467" i="59" s="1"/>
  <c r="L2468" i="59" s="1"/>
  <c r="L2469" i="59" s="1"/>
  <c r="L2470" i="59" s="1"/>
  <c r="L2471" i="59" s="1"/>
  <c r="L2472" i="59" s="1"/>
  <c r="L2473" i="59" s="1"/>
  <c r="L2474" i="59" s="1"/>
  <c r="L2475" i="59" s="1"/>
  <c r="L2476" i="59" s="1"/>
  <c r="L2477" i="59" s="1"/>
  <c r="L2478" i="59" s="1"/>
  <c r="L2479" i="59" s="1"/>
  <c r="L2480" i="59" s="1"/>
  <c r="L2481" i="59" s="1"/>
  <c r="L2482" i="59" s="1"/>
  <c r="L2483" i="59" s="1"/>
  <c r="L2484" i="59" s="1"/>
  <c r="L2485" i="59" s="1"/>
  <c r="L2486" i="59" s="1"/>
  <c r="L2487" i="59" s="1"/>
  <c r="L2488" i="59" s="1"/>
  <c r="L2489" i="59" s="1"/>
  <c r="L2490" i="59" s="1"/>
  <c r="L2491" i="59" s="1"/>
  <c r="L2492" i="59" s="1"/>
  <c r="L2493" i="59" s="1"/>
  <c r="L2494" i="59" s="1"/>
  <c r="L2495" i="59" s="1"/>
  <c r="L2496" i="59" s="1"/>
  <c r="L2497" i="59" s="1"/>
  <c r="I2598" i="59"/>
  <c r="I2599" i="59" s="1"/>
  <c r="I2600" i="59" s="1"/>
  <c r="I2601" i="59" s="1"/>
  <c r="I2779" i="59"/>
  <c r="I2780" i="59" s="1"/>
  <c r="I2781" i="59" s="1"/>
  <c r="J2806" i="59"/>
  <c r="L2764" i="59"/>
  <c r="L2765" i="59" s="1"/>
  <c r="L2766" i="59" s="1"/>
  <c r="L2767" i="59" s="1"/>
  <c r="L2768" i="59" s="1"/>
  <c r="L2769" i="59" s="1"/>
  <c r="L2770" i="59" s="1"/>
  <c r="L2771" i="59" s="1"/>
  <c r="L2772" i="59" s="1"/>
  <c r="L2773" i="59" s="1"/>
  <c r="L2774" i="59" s="1"/>
  <c r="L2775" i="59" s="1"/>
  <c r="L2776" i="59" s="1"/>
  <c r="L2777" i="59" s="1"/>
  <c r="L2778" i="59" s="1"/>
  <c r="L2779" i="59" s="1"/>
  <c r="L2780" i="59" s="1"/>
  <c r="L2781" i="59" s="1"/>
  <c r="L2782" i="59" s="1"/>
  <c r="L2783" i="59" s="1"/>
  <c r="L2784" i="59" s="1"/>
  <c r="L2785" i="59" s="1"/>
  <c r="L2786" i="59" s="1"/>
  <c r="L2787" i="59" s="1"/>
  <c r="L2788" i="59" s="1"/>
  <c r="L2789" i="59" s="1"/>
  <c r="L2790" i="59" s="1"/>
  <c r="L2791" i="59" s="1"/>
  <c r="L2792" i="59" s="1"/>
  <c r="L2793" i="59" s="1"/>
  <c r="L2794" i="59" s="1"/>
  <c r="L2795" i="59" s="1"/>
  <c r="L2796" i="59" s="1"/>
  <c r="L2797" i="59" s="1"/>
  <c r="L2798" i="59" s="1"/>
  <c r="L2799" i="59" s="1"/>
  <c r="L2800" i="59" s="1"/>
  <c r="L2801" i="59" s="1"/>
  <c r="L2802" i="59" s="1"/>
  <c r="L2803" i="59" s="1"/>
  <c r="L2804" i="59" s="1"/>
  <c r="L2805" i="59" s="1"/>
  <c r="L2806" i="59" s="1"/>
  <c r="L2807" i="59" s="1"/>
  <c r="L2808" i="59" s="1"/>
  <c r="L2809" i="59" s="1"/>
  <c r="L2810" i="59" s="1"/>
  <c r="L2811" i="59" s="1"/>
  <c r="L2812" i="59" s="1"/>
  <c r="L2813" i="59" s="1"/>
  <c r="L2814" i="59" s="1"/>
  <c r="L2815" i="59" s="1"/>
  <c r="L2816" i="59" s="1"/>
  <c r="L2817" i="59" s="1"/>
  <c r="L2818" i="59" s="1"/>
  <c r="L2819" i="59" s="1"/>
  <c r="L2820" i="59" s="1"/>
  <c r="L2821" i="59" s="1"/>
  <c r="L2822" i="59" s="1"/>
  <c r="L2823" i="59" s="1"/>
  <c r="L2824" i="59" s="1"/>
  <c r="L2825" i="59" s="1"/>
  <c r="L2826" i="59" s="1"/>
  <c r="L2827" i="59" s="1"/>
  <c r="L2828" i="59" s="1"/>
  <c r="L2829" i="59" s="1"/>
  <c r="L2830" i="59" s="1"/>
  <c r="L2831" i="59" s="1"/>
  <c r="L2832" i="59" s="1"/>
  <c r="L2833" i="59" s="1"/>
  <c r="L2834" i="59" s="1"/>
  <c r="L2835" i="59" s="1"/>
  <c r="L2836" i="59" s="1"/>
  <c r="L2837" i="59" s="1"/>
  <c r="L2838" i="59" s="1"/>
  <c r="L2839" i="59" s="1"/>
  <c r="L2840" i="59" s="1"/>
  <c r="L2841" i="59" s="1"/>
  <c r="L2842" i="59" s="1"/>
  <c r="L2843" i="59" s="1"/>
  <c r="L2844" i="59" s="1"/>
  <c r="L2845" i="59" s="1"/>
  <c r="L2846" i="59" s="1"/>
  <c r="L2847" i="59" s="1"/>
  <c r="L2848" i="59" s="1"/>
  <c r="L2849" i="59" s="1"/>
  <c r="L2850" i="59" s="1"/>
  <c r="L2851" i="59" s="1"/>
  <c r="L2852" i="59" s="1"/>
  <c r="L2853" i="59" s="1"/>
  <c r="L2854" i="59" s="1"/>
  <c r="L2855" i="59" s="1"/>
  <c r="L2856" i="59" s="1"/>
  <c r="L2857" i="59" s="1"/>
  <c r="L2858" i="59" s="1"/>
  <c r="L2859" i="59" s="1"/>
  <c r="L2860" i="59" s="1"/>
  <c r="L2861" i="59" s="1"/>
  <c r="L2862" i="59" s="1"/>
  <c r="L2863" i="59" s="1"/>
  <c r="L2864" i="59" s="1"/>
  <c r="L2865" i="59" s="1"/>
  <c r="L2866" i="59" s="1"/>
  <c r="L2867" i="59" s="1"/>
  <c r="L2868" i="59" s="1"/>
  <c r="L2869" i="59" s="1"/>
  <c r="L2870" i="59" s="1"/>
  <c r="L2871" i="59" s="1"/>
  <c r="L2872" i="59" s="1"/>
  <c r="L2873" i="59" s="1"/>
  <c r="L2874" i="59" s="1"/>
  <c r="L2875" i="59" s="1"/>
  <c r="L2876" i="59" s="1"/>
  <c r="L2877" i="59" s="1"/>
  <c r="J2798" i="59"/>
  <c r="J2834" i="59"/>
  <c r="I2842" i="59"/>
  <c r="I2843" i="59" s="1"/>
  <c r="I2844" i="59" s="1"/>
  <c r="I2845" i="59" s="1"/>
  <c r="J1822" i="59"/>
  <c r="J2713" i="59"/>
  <c r="J2721" i="59"/>
  <c r="I2764" i="59"/>
  <c r="I2765" i="59" s="1"/>
  <c r="I2766" i="59" s="1"/>
  <c r="J2781" i="59"/>
  <c r="J2824" i="59"/>
  <c r="K2842" i="59"/>
  <c r="K2843" i="59" s="1"/>
  <c r="K2844" i="59" s="1"/>
  <c r="K2845" i="59" s="1"/>
  <c r="K2846" i="59" s="1"/>
  <c r="K2847" i="59" s="1"/>
  <c r="K2848" i="59" s="1"/>
  <c r="K2849" i="59" s="1"/>
  <c r="K2850" i="59" s="1"/>
  <c r="K2851" i="59" s="1"/>
  <c r="K2852" i="59" s="1"/>
  <c r="K2853" i="59" s="1"/>
  <c r="K2854" i="59" s="1"/>
  <c r="K2855" i="59" s="1"/>
  <c r="K2856" i="59" s="1"/>
  <c r="K2857" i="59" s="1"/>
  <c r="K2858" i="59" s="1"/>
  <c r="K2859" i="59" s="1"/>
  <c r="K2860" i="59" s="1"/>
  <c r="I2874" i="59"/>
  <c r="I2875" i="59" s="1"/>
  <c r="I2876" i="59" s="1"/>
  <c r="I2877" i="59" s="1"/>
  <c r="K2874" i="59"/>
  <c r="K2875" i="59" s="1"/>
  <c r="K2876" i="59" s="1"/>
  <c r="K2877" i="59" s="1"/>
  <c r="J2874" i="59"/>
  <c r="J2872" i="59"/>
  <c r="J2870" i="59"/>
  <c r="I2868" i="59"/>
  <c r="I2869" i="59" s="1"/>
  <c r="I2870" i="59" s="1"/>
  <c r="J2868" i="59"/>
  <c r="J2866" i="59"/>
  <c r="I2866" i="59"/>
  <c r="I2867" i="59" s="1"/>
  <c r="I2864" i="59"/>
  <c r="I2865" i="59" s="1"/>
  <c r="J2864" i="59"/>
  <c r="I2862" i="59"/>
  <c r="J2862" i="59"/>
  <c r="J2860" i="59"/>
  <c r="J2858" i="59"/>
  <c r="I2856" i="59"/>
  <c r="I2857" i="59" s="1"/>
  <c r="I2858" i="59" s="1"/>
  <c r="I2859" i="59" s="1"/>
  <c r="I2860" i="59" s="1"/>
  <c r="J2856" i="59"/>
  <c r="J2854" i="59"/>
  <c r="I2852" i="59"/>
  <c r="I2853" i="59" s="1"/>
  <c r="I2854" i="59" s="1"/>
  <c r="I2855" i="59" s="1"/>
  <c r="J2852" i="59"/>
  <c r="J2850" i="59"/>
  <c r="I2848" i="59"/>
  <c r="I2849" i="59" s="1"/>
  <c r="I2850" i="59" s="1"/>
  <c r="I2851" i="59" s="1"/>
  <c r="J2848" i="59"/>
  <c r="I2846" i="59"/>
  <c r="I2847" i="59" s="1"/>
  <c r="J2846" i="59"/>
  <c r="J2844" i="59"/>
  <c r="J2843" i="59"/>
  <c r="I2839" i="59"/>
  <c r="I2840" i="59" s="1"/>
  <c r="I2841" i="59" s="1"/>
  <c r="J2839" i="59"/>
  <c r="J2837" i="59"/>
  <c r="J2835" i="59"/>
  <c r="J2833" i="59"/>
  <c r="I2833" i="59"/>
  <c r="I2834" i="59" s="1"/>
  <c r="I2835" i="59" s="1"/>
  <c r="K2833" i="59"/>
  <c r="K2834" i="59" s="1"/>
  <c r="K2835" i="59" s="1"/>
  <c r="K2836" i="59" s="1"/>
  <c r="K2837" i="59" s="1"/>
  <c r="K2838" i="59" s="1"/>
  <c r="K2839" i="59" s="1"/>
  <c r="K2840" i="59" s="1"/>
  <c r="K2841" i="59" s="1"/>
  <c r="J2829" i="59"/>
  <c r="J2827" i="59"/>
  <c r="I2825" i="59"/>
  <c r="I2826" i="59" s="1"/>
  <c r="I2827" i="59" s="1"/>
  <c r="I2828" i="59" s="1"/>
  <c r="I2829" i="59" s="1"/>
  <c r="I2830" i="59" s="1"/>
  <c r="J2825" i="59"/>
  <c r="J2823" i="59"/>
  <c r="J2821" i="59"/>
  <c r="J2818" i="59"/>
  <c r="J2819" i="59"/>
  <c r="I2819" i="59"/>
  <c r="I2820" i="59" s="1"/>
  <c r="I2821" i="59" s="1"/>
  <c r="I2822" i="59" s="1"/>
  <c r="I2823" i="59" s="1"/>
  <c r="I2824" i="59" s="1"/>
  <c r="I2817" i="59"/>
  <c r="J2817" i="59"/>
  <c r="J2815" i="59"/>
  <c r="J2813" i="59"/>
  <c r="J2811" i="59"/>
  <c r="I2811" i="59"/>
  <c r="I2812" i="59" s="1"/>
  <c r="I2813" i="59" s="1"/>
  <c r="I2814" i="59" s="1"/>
  <c r="I2815" i="59" s="1"/>
  <c r="J2809" i="59"/>
  <c r="J2807" i="59"/>
  <c r="I2807" i="59"/>
  <c r="J2805" i="59"/>
  <c r="I2805" i="59"/>
  <c r="I2806" i="59" s="1"/>
  <c r="I2803" i="59"/>
  <c r="I2804" i="59" s="1"/>
  <c r="J2803" i="59"/>
  <c r="I2800" i="59"/>
  <c r="I2801" i="59" s="1"/>
  <c r="I2802" i="59" s="1"/>
  <c r="K2800" i="59"/>
  <c r="K2801" i="59" s="1"/>
  <c r="K2802" i="59" s="1"/>
  <c r="K2803" i="59" s="1"/>
  <c r="K2804" i="59" s="1"/>
  <c r="K2805" i="59" s="1"/>
  <c r="K2806" i="59" s="1"/>
  <c r="K2807" i="59" s="1"/>
  <c r="K2808" i="59" s="1"/>
  <c r="K2809" i="59" s="1"/>
  <c r="J2801" i="59"/>
  <c r="J2799" i="59"/>
  <c r="I2797" i="59"/>
  <c r="I2798" i="59" s="1"/>
  <c r="I2799" i="59" s="1"/>
  <c r="J2797" i="59"/>
  <c r="I2795" i="59"/>
  <c r="I2796" i="59" s="1"/>
  <c r="J2795" i="59"/>
  <c r="I2792" i="59"/>
  <c r="I2793" i="59" s="1"/>
  <c r="I2794" i="59" s="1"/>
  <c r="J2792" i="59"/>
  <c r="J2790" i="59"/>
  <c r="J2788" i="59"/>
  <c r="I2786" i="59"/>
  <c r="J2786" i="59"/>
  <c r="J2784" i="59"/>
  <c r="I2782" i="59"/>
  <c r="I2783" i="59" s="1"/>
  <c r="I2784" i="59" s="1"/>
  <c r="J2782" i="59"/>
  <c r="J2780" i="59"/>
  <c r="J2778" i="59"/>
  <c r="I2778" i="59"/>
  <c r="J2775" i="59"/>
  <c r="K2773" i="59"/>
  <c r="K2774" i="59" s="1"/>
  <c r="K2775" i="59" s="1"/>
  <c r="K2776" i="59" s="1"/>
  <c r="K2777" i="59" s="1"/>
  <c r="K2778" i="59" s="1"/>
  <c r="K2779" i="59" s="1"/>
  <c r="K2780" i="59" s="1"/>
  <c r="K2781" i="59" s="1"/>
  <c r="K2782" i="59" s="1"/>
  <c r="K2783" i="59" s="1"/>
  <c r="K2784" i="59" s="1"/>
  <c r="K2785" i="59" s="1"/>
  <c r="K2786" i="59" s="1"/>
  <c r="I2773" i="59"/>
  <c r="I2774" i="59" s="1"/>
  <c r="I2775" i="59" s="1"/>
  <c r="J2773" i="59"/>
  <c r="I2771" i="59"/>
  <c r="I2772" i="59" s="1"/>
  <c r="J2771" i="59"/>
  <c r="J2769" i="59"/>
  <c r="J2767" i="59"/>
  <c r="I2767" i="59"/>
  <c r="I2768" i="59" s="1"/>
  <c r="I2769" i="59" s="1"/>
  <c r="J2765" i="59"/>
  <c r="J2763" i="59"/>
  <c r="J2761" i="59"/>
  <c r="K2761" i="59"/>
  <c r="K2762" i="59" s="1"/>
  <c r="K2763" i="59" s="1"/>
  <c r="K2764" i="59" s="1"/>
  <c r="K2765" i="59" s="1"/>
  <c r="K2766" i="59" s="1"/>
  <c r="K2767" i="59" s="1"/>
  <c r="K2768" i="59" s="1"/>
  <c r="K2769" i="59" s="1"/>
  <c r="K2770" i="59" s="1"/>
  <c r="K2771" i="59" s="1"/>
  <c r="K2772" i="59" s="1"/>
  <c r="I2761" i="59"/>
  <c r="I2762" i="59" s="1"/>
  <c r="I2763" i="59" s="1"/>
  <c r="J2759" i="59"/>
  <c r="I2757" i="59"/>
  <c r="J2757" i="59"/>
  <c r="J2755" i="59"/>
  <c r="I2753" i="59"/>
  <c r="I2754" i="59" s="1"/>
  <c r="I2755" i="59" s="1"/>
  <c r="I2756" i="59" s="1"/>
  <c r="J2753" i="59"/>
  <c r="J2750" i="59"/>
  <c r="I2750" i="59"/>
  <c r="I2751" i="59" s="1"/>
  <c r="I2752" i="59" s="1"/>
  <c r="J2748" i="59"/>
  <c r="J2746" i="59"/>
  <c r="I2744" i="59"/>
  <c r="J2744" i="59"/>
  <c r="J2741" i="59"/>
  <c r="I2739" i="59"/>
  <c r="I2740" i="59" s="1"/>
  <c r="I2741" i="59" s="1"/>
  <c r="I2742" i="59" s="1"/>
  <c r="J2739" i="59"/>
  <c r="J2737" i="59"/>
  <c r="J2734" i="59"/>
  <c r="J2732" i="59"/>
  <c r="I2732" i="59"/>
  <c r="I2733" i="59" s="1"/>
  <c r="I2734" i="59" s="1"/>
  <c r="I2735" i="59" s="1"/>
  <c r="I2736" i="59" s="1"/>
  <c r="I2737" i="59" s="1"/>
  <c r="J2730" i="59"/>
  <c r="J2726" i="59"/>
  <c r="I2724" i="59"/>
  <c r="I2725" i="59" s="1"/>
  <c r="I2726" i="59" s="1"/>
  <c r="J2724" i="59"/>
  <c r="I2722" i="59"/>
  <c r="I2723" i="59" s="1"/>
  <c r="J2722" i="59"/>
  <c r="J2720" i="59"/>
  <c r="J2718" i="59"/>
  <c r="I2718" i="59"/>
  <c r="I2719" i="59" s="1"/>
  <c r="I2720" i="59" s="1"/>
  <c r="I2721" i="59" s="1"/>
  <c r="I2716" i="59"/>
  <c r="I2717" i="59" s="1"/>
  <c r="J2716" i="59"/>
  <c r="J2714" i="59"/>
  <c r="J2712" i="59"/>
  <c r="K2712" i="59"/>
  <c r="K2713" i="59" s="1"/>
  <c r="K2714" i="59" s="1"/>
  <c r="K2715" i="59" s="1"/>
  <c r="K2716" i="59" s="1"/>
  <c r="K2717" i="59" s="1"/>
  <c r="K2718" i="59" s="1"/>
  <c r="K2719" i="59" s="1"/>
  <c r="K2720" i="59" s="1"/>
  <c r="K2721" i="59" s="1"/>
  <c r="K2722" i="59" s="1"/>
  <c r="K2723" i="59" s="1"/>
  <c r="K2724" i="59" s="1"/>
  <c r="K2725" i="59" s="1"/>
  <c r="K2726" i="59" s="1"/>
  <c r="J2710" i="59"/>
  <c r="J2708" i="59"/>
  <c r="I2706" i="59"/>
  <c r="I2707" i="59" s="1"/>
  <c r="I2708" i="59" s="1"/>
  <c r="I2709" i="59" s="1"/>
  <c r="I2710" i="59" s="1"/>
  <c r="J2706" i="59"/>
  <c r="I2704" i="59"/>
  <c r="I2705" i="59" s="1"/>
  <c r="J2704" i="59"/>
  <c r="J2702" i="59"/>
  <c r="I2702" i="59"/>
  <c r="I2703" i="59" s="1"/>
  <c r="I2700" i="59"/>
  <c r="I2701" i="59" s="1"/>
  <c r="J2700" i="59"/>
  <c r="I2698" i="59"/>
  <c r="J2698" i="59"/>
  <c r="J2696" i="59"/>
  <c r="I2694" i="59"/>
  <c r="I2695" i="59" s="1"/>
  <c r="I2696" i="59" s="1"/>
  <c r="I2697" i="59" s="1"/>
  <c r="J2694" i="59"/>
  <c r="I2304" i="59"/>
  <c r="I2305" i="59" s="1"/>
  <c r="I2562" i="59"/>
  <c r="I2563" i="59" s="1"/>
  <c r="I2564" i="59" s="1"/>
  <c r="I2565" i="59" s="1"/>
  <c r="I2566" i="59" s="1"/>
  <c r="I2567" i="59" s="1"/>
  <c r="J2642" i="59"/>
  <c r="L2568" i="59"/>
  <c r="L2569" i="59" s="1"/>
  <c r="L2570" i="59" s="1"/>
  <c r="L2571" i="59" s="1"/>
  <c r="L2572" i="59" s="1"/>
  <c r="L2573" i="59" s="1"/>
  <c r="L2574" i="59" s="1"/>
  <c r="L2575" i="59" s="1"/>
  <c r="L2576" i="59" s="1"/>
  <c r="L2577" i="59" s="1"/>
  <c r="L2578" i="59" s="1"/>
  <c r="L2579" i="59" s="1"/>
  <c r="L2580" i="59" s="1"/>
  <c r="L2581" i="59" s="1"/>
  <c r="L2582" i="59" s="1"/>
  <c r="L2583" i="59" s="1"/>
  <c r="L2584" i="59" s="1"/>
  <c r="L2585" i="59" s="1"/>
  <c r="L2586" i="59" s="1"/>
  <c r="L2587" i="59" s="1"/>
  <c r="L2588" i="59" s="1"/>
  <c r="L2589" i="59" s="1"/>
  <c r="L2590" i="59" s="1"/>
  <c r="L2591" i="59" s="1"/>
  <c r="L2592" i="59" s="1"/>
  <c r="L2593" i="59" s="1"/>
  <c r="L2594" i="59" s="1"/>
  <c r="L2595" i="59" s="1"/>
  <c r="L2596" i="59" s="1"/>
  <c r="L2597" i="59" s="1"/>
  <c r="L2598" i="59" s="1"/>
  <c r="L2599" i="59" s="1"/>
  <c r="L2600" i="59" s="1"/>
  <c r="L2601" i="59" s="1"/>
  <c r="L2602" i="59" s="1"/>
  <c r="L2603" i="59" s="1"/>
  <c r="L2604" i="59" s="1"/>
  <c r="L2605" i="59" s="1"/>
  <c r="L2606" i="59" s="1"/>
  <c r="L2607" i="59" s="1"/>
  <c r="L2608" i="59" s="1"/>
  <c r="L2609" i="59" s="1"/>
  <c r="L2610" i="59" s="1"/>
  <c r="L2611" i="59" s="1"/>
  <c r="L2612" i="59" s="1"/>
  <c r="L2613" i="59" s="1"/>
  <c r="L2614" i="59" s="1"/>
  <c r="L2615" i="59" s="1"/>
  <c r="L2616" i="59" s="1"/>
  <c r="L2617" i="59" s="1"/>
  <c r="L2618" i="59" s="1"/>
  <c r="L2619" i="59" s="1"/>
  <c r="L2620" i="59" s="1"/>
  <c r="L2621" i="59" s="1"/>
  <c r="L2622" i="59" s="1"/>
  <c r="L2623" i="59" s="1"/>
  <c r="L2624" i="59" s="1"/>
  <c r="L2625" i="59" s="1"/>
  <c r="L2626" i="59" s="1"/>
  <c r="L2627" i="59" s="1"/>
  <c r="L2628" i="59" s="1"/>
  <c r="L2629" i="59" s="1"/>
  <c r="K2650" i="59"/>
  <c r="K2651" i="59" s="1"/>
  <c r="K2652" i="59" s="1"/>
  <c r="K2653" i="59" s="1"/>
  <c r="K2654" i="59" s="1"/>
  <c r="K2655" i="59" s="1"/>
  <c r="K2656" i="59" s="1"/>
  <c r="K2657" i="59" s="1"/>
  <c r="K2658" i="59" s="1"/>
  <c r="K2659" i="59" s="1"/>
  <c r="K2660" i="59" s="1"/>
  <c r="K2661" i="59" s="1"/>
  <c r="K2662" i="59" s="1"/>
  <c r="K2663" i="59" s="1"/>
  <c r="K2664" i="59" s="1"/>
  <c r="J2650" i="59"/>
  <c r="J1870" i="59"/>
  <c r="I2594" i="59"/>
  <c r="I2595" i="59" s="1"/>
  <c r="I2596" i="59" s="1"/>
  <c r="I2597" i="59" s="1"/>
  <c r="J2409" i="59"/>
  <c r="J2193" i="59"/>
  <c r="J2562" i="59"/>
  <c r="I2692" i="59"/>
  <c r="J2692" i="59"/>
  <c r="I2160" i="59"/>
  <c r="K2622" i="59"/>
  <c r="K2623" i="59" s="1"/>
  <c r="K2624" i="59" s="1"/>
  <c r="K2625" i="59" s="1"/>
  <c r="K2626" i="59" s="1"/>
  <c r="K2627" i="59" s="1"/>
  <c r="K2628" i="59" s="1"/>
  <c r="K2629" i="59" s="1"/>
  <c r="K2630" i="59" s="1"/>
  <c r="K2631" i="59" s="1"/>
  <c r="K2632" i="59" s="1"/>
  <c r="K2633" i="59" s="1"/>
  <c r="K2634" i="59" s="1"/>
  <c r="K2635" i="59" s="1"/>
  <c r="K2636" i="59" s="1"/>
  <c r="J2622" i="59"/>
  <c r="I1615" i="59"/>
  <c r="I1616" i="59" s="1"/>
  <c r="I1617" i="59" s="1"/>
  <c r="I1618" i="59" s="1"/>
  <c r="J2393" i="59"/>
  <c r="L1720" i="59"/>
  <c r="L1721" i="59" s="1"/>
  <c r="L1722" i="59" s="1"/>
  <c r="L1723" i="59" s="1"/>
  <c r="L1724" i="59" s="1"/>
  <c r="L1725" i="59" s="1"/>
  <c r="L1726" i="59" s="1"/>
  <c r="L1727" i="59" s="1"/>
  <c r="L1728" i="59" s="1"/>
  <c r="L1729" i="59" s="1"/>
  <c r="L1730" i="59" s="1"/>
  <c r="L1731" i="59" s="1"/>
  <c r="L1732" i="59" s="1"/>
  <c r="L1733" i="59" s="1"/>
  <c r="L1734" i="59" s="1"/>
  <c r="L1735" i="59" s="1"/>
  <c r="L1736" i="59" s="1"/>
  <c r="L1737" i="59" s="1"/>
  <c r="L1738" i="59" s="1"/>
  <c r="L1739" i="59" s="1"/>
  <c r="L1740" i="59" s="1"/>
  <c r="L1741" i="59" s="1"/>
  <c r="L1742" i="59" s="1"/>
  <c r="L1743" i="59" s="1"/>
  <c r="L1744" i="59" s="1"/>
  <c r="L1745" i="59" s="1"/>
  <c r="L1746" i="59" s="1"/>
  <c r="L1747" i="59" s="1"/>
  <c r="L1748" i="59" s="1"/>
  <c r="L1749" i="59" s="1"/>
  <c r="L1750" i="59" s="1"/>
  <c r="L1751" i="59" s="1"/>
  <c r="L1752" i="59" s="1"/>
  <c r="L1753" i="59" s="1"/>
  <c r="L1754" i="59" s="1"/>
  <c r="L1755" i="59" s="1"/>
  <c r="L1756" i="59" s="1"/>
  <c r="L1757" i="59" s="1"/>
  <c r="L1758" i="59" s="1"/>
  <c r="L1759" i="59" s="1"/>
  <c r="L1760" i="59" s="1"/>
  <c r="L1761" i="59" s="1"/>
  <c r="L1762" i="59" s="1"/>
  <c r="L1763" i="59" s="1"/>
  <c r="L1764" i="59" s="1"/>
  <c r="L1765" i="59" s="1"/>
  <c r="L1766" i="59" s="1"/>
  <c r="L1767" i="59" s="1"/>
  <c r="L1768" i="59" s="1"/>
  <c r="L1769" i="59" s="1"/>
  <c r="L1770" i="59" s="1"/>
  <c r="L1771" i="59" s="1"/>
  <c r="L1772" i="59" s="1"/>
  <c r="L1773" i="59" s="1"/>
  <c r="L1774" i="59" s="1"/>
  <c r="L1775" i="59" s="1"/>
  <c r="L1776" i="59" s="1"/>
  <c r="L1777" i="59" s="1"/>
  <c r="L1778" i="59" s="1"/>
  <c r="L1779" i="59" s="1"/>
  <c r="J2615" i="59"/>
  <c r="I2255" i="59"/>
  <c r="I2256" i="59" s="1"/>
  <c r="I2257" i="59" s="1"/>
  <c r="I2258" i="59" s="1"/>
  <c r="I2259" i="59" s="1"/>
  <c r="J2407" i="59"/>
  <c r="I2615" i="59"/>
  <c r="I2616" i="59" s="1"/>
  <c r="I2617" i="59" s="1"/>
  <c r="J2630" i="59"/>
  <c r="J2660" i="59"/>
  <c r="L2630" i="59"/>
  <c r="L2631" i="59" s="1"/>
  <c r="L2632" i="59" s="1"/>
  <c r="L2633" i="59" s="1"/>
  <c r="L2634" i="59" s="1"/>
  <c r="L2635" i="59" s="1"/>
  <c r="L2636" i="59" s="1"/>
  <c r="L2637" i="59" s="1"/>
  <c r="L2638" i="59" s="1"/>
  <c r="L2639" i="59" s="1"/>
  <c r="L2640" i="59" s="1"/>
  <c r="L2641" i="59" s="1"/>
  <c r="L2642" i="59" s="1"/>
  <c r="L2643" i="59" s="1"/>
  <c r="L2644" i="59" s="1"/>
  <c r="L2645" i="59" s="1"/>
  <c r="L2646" i="59" s="1"/>
  <c r="L2647" i="59" s="1"/>
  <c r="L2648" i="59" s="1"/>
  <c r="L2649" i="59" s="1"/>
  <c r="L2650" i="59" s="1"/>
  <c r="L2651" i="59" s="1"/>
  <c r="L2652" i="59" s="1"/>
  <c r="L2653" i="59" s="1"/>
  <c r="L2654" i="59" s="1"/>
  <c r="L2655" i="59" s="1"/>
  <c r="L2656" i="59" s="1"/>
  <c r="L2657" i="59" s="1"/>
  <c r="L2658" i="59" s="1"/>
  <c r="L2659" i="59" s="1"/>
  <c r="L2660" i="59" s="1"/>
  <c r="L2661" i="59" s="1"/>
  <c r="L2662" i="59" s="1"/>
  <c r="L2663" i="59" s="1"/>
  <c r="L2664" i="59" s="1"/>
  <c r="L2665" i="59" s="1"/>
  <c r="L2666" i="59" s="1"/>
  <c r="L2667" i="59" s="1"/>
  <c r="L2668" i="59" s="1"/>
  <c r="L2669" i="59" s="1"/>
  <c r="L2670" i="59" s="1"/>
  <c r="L2671" i="59" s="1"/>
  <c r="L2672" i="59" s="1"/>
  <c r="L2673" i="59" s="1"/>
  <c r="L2674" i="59" s="1"/>
  <c r="L2675" i="59" s="1"/>
  <c r="L2676" i="59" s="1"/>
  <c r="L2677" i="59" s="1"/>
  <c r="L2678" i="59" s="1"/>
  <c r="L2679" i="59" s="1"/>
  <c r="L2680" i="59" s="1"/>
  <c r="L2681" i="59" s="1"/>
  <c r="L2682" i="59" s="1"/>
  <c r="L2683" i="59" s="1"/>
  <c r="L2684" i="59" s="1"/>
  <c r="L2685" i="59" s="1"/>
  <c r="L2686" i="59" s="1"/>
  <c r="L2687" i="59" s="1"/>
  <c r="L2688" i="59" s="1"/>
  <c r="L2689" i="59" s="1"/>
  <c r="L2690" i="59" s="1"/>
  <c r="L2691" i="59" s="1"/>
  <c r="L2692" i="59" s="1"/>
  <c r="L2693" i="59" s="1"/>
  <c r="L2694" i="59" s="1"/>
  <c r="L2695" i="59" s="1"/>
  <c r="L2696" i="59" s="1"/>
  <c r="L2697" i="59" s="1"/>
  <c r="L2698" i="59" s="1"/>
  <c r="J2670" i="59"/>
  <c r="J2610" i="59"/>
  <c r="J2628" i="59"/>
  <c r="I2670" i="59"/>
  <c r="I2671" i="59" s="1"/>
  <c r="I2672" i="59" s="1"/>
  <c r="I2673" i="59" s="1"/>
  <c r="J2686" i="59"/>
  <c r="J2138" i="59"/>
  <c r="I2574" i="59"/>
  <c r="I2575" i="59" s="1"/>
  <c r="I2576" i="59" s="1"/>
  <c r="I2577" i="59" s="1"/>
  <c r="J1653" i="59"/>
  <c r="I2442" i="59"/>
  <c r="I2443" i="59" s="1"/>
  <c r="I2444" i="59" s="1"/>
  <c r="I2445" i="59" s="1"/>
  <c r="J2526" i="59"/>
  <c r="J2648" i="59"/>
  <c r="J2617" i="59"/>
  <c r="J2674" i="59"/>
  <c r="J2689" i="59"/>
  <c r="J2687" i="59"/>
  <c r="I2687" i="59"/>
  <c r="I2688" i="59" s="1"/>
  <c r="I2689" i="59" s="1"/>
  <c r="I2690" i="59" s="1"/>
  <c r="I2685" i="59"/>
  <c r="I2686" i="59" s="1"/>
  <c r="J2685" i="59"/>
  <c r="J2683" i="59"/>
  <c r="K2681" i="59"/>
  <c r="K2682" i="59" s="1"/>
  <c r="K2683" i="59" s="1"/>
  <c r="K2684" i="59" s="1"/>
  <c r="K2685" i="59" s="1"/>
  <c r="K2686" i="59" s="1"/>
  <c r="K2687" i="59" s="1"/>
  <c r="K2688" i="59" s="1"/>
  <c r="K2689" i="59" s="1"/>
  <c r="K2690" i="59" s="1"/>
  <c r="K2691" i="59" s="1"/>
  <c r="K2692" i="59" s="1"/>
  <c r="K2693" i="59" s="1"/>
  <c r="K2694" i="59" s="1"/>
  <c r="K2695" i="59" s="1"/>
  <c r="K2696" i="59" s="1"/>
  <c r="K2697" i="59" s="1"/>
  <c r="K2698" i="59" s="1"/>
  <c r="I2681" i="59"/>
  <c r="I2682" i="59" s="1"/>
  <c r="I2683" i="59" s="1"/>
  <c r="I2684" i="59" s="1"/>
  <c r="J2681" i="59"/>
  <c r="I2679" i="59"/>
  <c r="I2680" i="59" s="1"/>
  <c r="J2679" i="59"/>
  <c r="J2677" i="59"/>
  <c r="J2675" i="59"/>
  <c r="I2675" i="59"/>
  <c r="I2676" i="59" s="1"/>
  <c r="I2677" i="59" s="1"/>
  <c r="J2673" i="59"/>
  <c r="J2671" i="59"/>
  <c r="J2669" i="59"/>
  <c r="J2667" i="59"/>
  <c r="J2665" i="59"/>
  <c r="I2665" i="59"/>
  <c r="I2666" i="59" s="1"/>
  <c r="I2667" i="59" s="1"/>
  <c r="I2668" i="59" s="1"/>
  <c r="I2669" i="59" s="1"/>
  <c r="K2665" i="59"/>
  <c r="K2666" i="59" s="1"/>
  <c r="K2667" i="59" s="1"/>
  <c r="K2668" i="59" s="1"/>
  <c r="K2669" i="59" s="1"/>
  <c r="K2670" i="59" s="1"/>
  <c r="K2671" i="59" s="1"/>
  <c r="K2672" i="59" s="1"/>
  <c r="K2673" i="59" s="1"/>
  <c r="K2674" i="59" s="1"/>
  <c r="K2675" i="59" s="1"/>
  <c r="K2676" i="59" s="1"/>
  <c r="K2677" i="59" s="1"/>
  <c r="K2678" i="59" s="1"/>
  <c r="K2679" i="59" s="1"/>
  <c r="K2680" i="59" s="1"/>
  <c r="J2663" i="59"/>
  <c r="I2661" i="59"/>
  <c r="I2662" i="59" s="1"/>
  <c r="I2663" i="59" s="1"/>
  <c r="I2664" i="59" s="1"/>
  <c r="J2661" i="59"/>
  <c r="J2658" i="59"/>
  <c r="J2659" i="59"/>
  <c r="I2657" i="59"/>
  <c r="I2658" i="59" s="1"/>
  <c r="I2659" i="59" s="1"/>
  <c r="J2657" i="59"/>
  <c r="J2655" i="59"/>
  <c r="J2653" i="59"/>
  <c r="I2651" i="59"/>
  <c r="J2651" i="59"/>
  <c r="J2649" i="59"/>
  <c r="J2647" i="59"/>
  <c r="J2645" i="59"/>
  <c r="I2645" i="59"/>
  <c r="I2646" i="59" s="1"/>
  <c r="I2647" i="59" s="1"/>
  <c r="I2648" i="59" s="1"/>
  <c r="I2649" i="59" s="1"/>
  <c r="J2643" i="59"/>
  <c r="I2643" i="59"/>
  <c r="I2644" i="59" s="1"/>
  <c r="I2641" i="59"/>
  <c r="J2641" i="59"/>
  <c r="J2639" i="59"/>
  <c r="I2639" i="59"/>
  <c r="K2637" i="59"/>
  <c r="K2638" i="59" s="1"/>
  <c r="K2639" i="59" s="1"/>
  <c r="K2640" i="59" s="1"/>
  <c r="K2641" i="59" s="1"/>
  <c r="K2642" i="59" s="1"/>
  <c r="K2643" i="59" s="1"/>
  <c r="K2644" i="59" s="1"/>
  <c r="K2645" i="59" s="1"/>
  <c r="K2646" i="59" s="1"/>
  <c r="K2647" i="59" s="1"/>
  <c r="K2648" i="59" s="1"/>
  <c r="K2649" i="59" s="1"/>
  <c r="I2637" i="59"/>
  <c r="J2637" i="59"/>
  <c r="J2635" i="59"/>
  <c r="J2633" i="59"/>
  <c r="I2633" i="59"/>
  <c r="I2634" i="59" s="1"/>
  <c r="I2635" i="59" s="1"/>
  <c r="I2636" i="59" s="1"/>
  <c r="I2631" i="59"/>
  <c r="I2632" i="59" s="1"/>
  <c r="J2631" i="59"/>
  <c r="J2629" i="59"/>
  <c r="I2627" i="59"/>
  <c r="I2628" i="59" s="1"/>
  <c r="I2629" i="59" s="1"/>
  <c r="J2627" i="59"/>
  <c r="I2625" i="59"/>
  <c r="I2626" i="59" s="1"/>
  <c r="J2625" i="59"/>
  <c r="I2623" i="59"/>
  <c r="I2624" i="59" s="1"/>
  <c r="J2623" i="59"/>
  <c r="J2620" i="59"/>
  <c r="I2620" i="59"/>
  <c r="I2618" i="59"/>
  <c r="I2619" i="59" s="1"/>
  <c r="J2618" i="59"/>
  <c r="J2616" i="59"/>
  <c r="K2616" i="59"/>
  <c r="K2617" i="59" s="1"/>
  <c r="K2618" i="59" s="1"/>
  <c r="K2619" i="59" s="1"/>
  <c r="K2620" i="59" s="1"/>
  <c r="K2621" i="59" s="1"/>
  <c r="J2611" i="59"/>
  <c r="I2611" i="59"/>
  <c r="I2612" i="59" s="1"/>
  <c r="J2609" i="59"/>
  <c r="J2030" i="59"/>
  <c r="J2050" i="59"/>
  <c r="K2030" i="59"/>
  <c r="K2031" i="59" s="1"/>
  <c r="K2032" i="59" s="1"/>
  <c r="K2033" i="59" s="1"/>
  <c r="K2034" i="59" s="1"/>
  <c r="K2035" i="59" s="1"/>
  <c r="K2036" i="59" s="1"/>
  <c r="K2037" i="59" s="1"/>
  <c r="K2038" i="59" s="1"/>
  <c r="K2039" i="59" s="1"/>
  <c r="K2040" i="59" s="1"/>
  <c r="K2041" i="59" s="1"/>
  <c r="K2042" i="59" s="1"/>
  <c r="K2043" i="59" s="1"/>
  <c r="K2044" i="59" s="1"/>
  <c r="J2154" i="59"/>
  <c r="J2278" i="59"/>
  <c r="J2528" i="59"/>
  <c r="I2217" i="59"/>
  <c r="I2218" i="59" s="1"/>
  <c r="I2219" i="59" s="1"/>
  <c r="I2220" i="59" s="1"/>
  <c r="J2602" i="59"/>
  <c r="I2530" i="59"/>
  <c r="I2531" i="59" s="1"/>
  <c r="J1929" i="59"/>
  <c r="J2594" i="59"/>
  <c r="J2373" i="59"/>
  <c r="J1900" i="59"/>
  <c r="I2233" i="59"/>
  <c r="I2234" i="59" s="1"/>
  <c r="I2235" i="59" s="1"/>
  <c r="I2236" i="59" s="1"/>
  <c r="I2237" i="59" s="1"/>
  <c r="I2238" i="59" s="1"/>
  <c r="I2239" i="59" s="1"/>
  <c r="I2556" i="59"/>
  <c r="I2557" i="59" s="1"/>
  <c r="I2558" i="59" s="1"/>
  <c r="J1992" i="59"/>
  <c r="I2592" i="59"/>
  <c r="I2593" i="59" s="1"/>
  <c r="J1734" i="59"/>
  <c r="I2522" i="59"/>
  <c r="I2523" i="59" s="1"/>
  <c r="I2524" i="59" s="1"/>
  <c r="I2525" i="59" s="1"/>
  <c r="I2607" i="59"/>
  <c r="I2608" i="59" s="1"/>
  <c r="I2609" i="59" s="1"/>
  <c r="J2607" i="59"/>
  <c r="J2605" i="59"/>
  <c r="I2603" i="59"/>
  <c r="I2604" i="59" s="1"/>
  <c r="I2605" i="59" s="1"/>
  <c r="I2606" i="59" s="1"/>
  <c r="J2603" i="59"/>
  <c r="J2601" i="59"/>
  <c r="J2599" i="59"/>
  <c r="J2597" i="59"/>
  <c r="J2595" i="59"/>
  <c r="K2595" i="59"/>
  <c r="K2596" i="59" s="1"/>
  <c r="K2597" i="59" s="1"/>
  <c r="K2598" i="59" s="1"/>
  <c r="K2599" i="59" s="1"/>
  <c r="K2600" i="59" s="1"/>
  <c r="K2601" i="59" s="1"/>
  <c r="K2602" i="59" s="1"/>
  <c r="K2603" i="59" s="1"/>
  <c r="K2604" i="59" s="1"/>
  <c r="K2605" i="59" s="1"/>
  <c r="K2606" i="59" s="1"/>
  <c r="K2607" i="59" s="1"/>
  <c r="K2608" i="59" s="1"/>
  <c r="K2609" i="59" s="1"/>
  <c r="K2610" i="59" s="1"/>
  <c r="K2611" i="59" s="1"/>
  <c r="K2612" i="59" s="1"/>
  <c r="K2613" i="59" s="1"/>
  <c r="J2428" i="59"/>
  <c r="J2568" i="59"/>
  <c r="J2538" i="59"/>
  <c r="K1998" i="59"/>
  <c r="K1999" i="59" s="1"/>
  <c r="K2000" i="59" s="1"/>
  <c r="K2001" i="59" s="1"/>
  <c r="K2002" i="59" s="1"/>
  <c r="K2003" i="59" s="1"/>
  <c r="K2004" i="59" s="1"/>
  <c r="K2005" i="59" s="1"/>
  <c r="K2006" i="59" s="1"/>
  <c r="K2007" i="59" s="1"/>
  <c r="K2008" i="59" s="1"/>
  <c r="K2009" i="59" s="1"/>
  <c r="K2010" i="59" s="1"/>
  <c r="K2011" i="59" s="1"/>
  <c r="K1545" i="59"/>
  <c r="K1546" i="59" s="1"/>
  <c r="K1547" i="59" s="1"/>
  <c r="K1548" i="59" s="1"/>
  <c r="K1549" i="59" s="1"/>
  <c r="K1550" i="59" s="1"/>
  <c r="K1551" i="59" s="1"/>
  <c r="K1552" i="59" s="1"/>
  <c r="K1553" i="59" s="1"/>
  <c r="K1554" i="59" s="1"/>
  <c r="K1555" i="59" s="1"/>
  <c r="K1556" i="59" s="1"/>
  <c r="K1557" i="59" s="1"/>
  <c r="K1558" i="59" s="1"/>
  <c r="K1559" i="59" s="1"/>
  <c r="K1560" i="59" s="1"/>
  <c r="K1561" i="59" s="1"/>
  <c r="K1562" i="59" s="1"/>
  <c r="K1563" i="59" s="1"/>
  <c r="I1998" i="59"/>
  <c r="I1999" i="59" s="1"/>
  <c r="I1793" i="59"/>
  <c r="I1794" i="59" s="1"/>
  <c r="I1795" i="59" s="1"/>
  <c r="I1796" i="59" s="1"/>
  <c r="I1797" i="59" s="1"/>
  <c r="J2058" i="59"/>
  <c r="J2040" i="59"/>
  <c r="I2357" i="59"/>
  <c r="I2358" i="59" s="1"/>
  <c r="I2359" i="59" s="1"/>
  <c r="I2532" i="59"/>
  <c r="I2533" i="59" s="1"/>
  <c r="I1608" i="59"/>
  <c r="I1609" i="59" s="1"/>
  <c r="I1610" i="59" s="1"/>
  <c r="J2578" i="59"/>
  <c r="I1870" i="59"/>
  <c r="I1871" i="59" s="1"/>
  <c r="I1872" i="59" s="1"/>
  <c r="I2140" i="59"/>
  <c r="I1736" i="59"/>
  <c r="I1737" i="59" s="1"/>
  <c r="J2414" i="59"/>
  <c r="I2446" i="59"/>
  <c r="I2447" i="59" s="1"/>
  <c r="I2448" i="59" s="1"/>
  <c r="I2449" i="59" s="1"/>
  <c r="I2450" i="59" s="1"/>
  <c r="I2451" i="59" s="1"/>
  <c r="I2452" i="59" s="1"/>
  <c r="I2453" i="59" s="1"/>
  <c r="J1860" i="59"/>
  <c r="J2485" i="59"/>
  <c r="I1684" i="59"/>
  <c r="I1685" i="59" s="1"/>
  <c r="I1686" i="59" s="1"/>
  <c r="I1687" i="59" s="1"/>
  <c r="I1688" i="59" s="1"/>
  <c r="J1781" i="59"/>
  <c r="K1822" i="59"/>
  <c r="K1823" i="59" s="1"/>
  <c r="K1824" i="59" s="1"/>
  <c r="K1825" i="59" s="1"/>
  <c r="K1826" i="59" s="1"/>
  <c r="K1827" i="59" s="1"/>
  <c r="K1828" i="59" s="1"/>
  <c r="K1829" i="59" s="1"/>
  <c r="K1830" i="59" s="1"/>
  <c r="K1831" i="59" s="1"/>
  <c r="K1832" i="59" s="1"/>
  <c r="K1833" i="59" s="1"/>
  <c r="J1927" i="59"/>
  <c r="J2424" i="59"/>
  <c r="L1841" i="59"/>
  <c r="L1842" i="59" s="1"/>
  <c r="L1843" i="59" s="1"/>
  <c r="L1844" i="59" s="1"/>
  <c r="L1845" i="59" s="1"/>
  <c r="L1846" i="59" s="1"/>
  <c r="L1847" i="59" s="1"/>
  <c r="L1848" i="59" s="1"/>
  <c r="L1849" i="59" s="1"/>
  <c r="L1850" i="59" s="1"/>
  <c r="L1851" i="59" s="1"/>
  <c r="L1852" i="59" s="1"/>
  <c r="L1853" i="59" s="1"/>
  <c r="L1854" i="59" s="1"/>
  <c r="L1855" i="59" s="1"/>
  <c r="L1856" i="59" s="1"/>
  <c r="L1857" i="59" s="1"/>
  <c r="L1858" i="59" s="1"/>
  <c r="L1859" i="59" s="1"/>
  <c r="L1860" i="59" s="1"/>
  <c r="L1861" i="59" s="1"/>
  <c r="L1862" i="59" s="1"/>
  <c r="L1863" i="59" s="1"/>
  <c r="L1864" i="59" s="1"/>
  <c r="L1865" i="59" s="1"/>
  <c r="L1866" i="59" s="1"/>
  <c r="L1867" i="59" s="1"/>
  <c r="L1868" i="59" s="1"/>
  <c r="L1869" i="59" s="1"/>
  <c r="L1870" i="59" s="1"/>
  <c r="L1871" i="59" s="1"/>
  <c r="L1872" i="59" s="1"/>
  <c r="L1873" i="59" s="1"/>
  <c r="L1874" i="59" s="1"/>
  <c r="L1875" i="59" s="1"/>
  <c r="L1876" i="59" s="1"/>
  <c r="L1877" i="59" s="1"/>
  <c r="L1878" i="59" s="1"/>
  <c r="L1879" i="59" s="1"/>
  <c r="L1880" i="59" s="1"/>
  <c r="L1881" i="59" s="1"/>
  <c r="L1882" i="59" s="1"/>
  <c r="L1883" i="59" s="1"/>
  <c r="L1884" i="59" s="1"/>
  <c r="L1885" i="59" s="1"/>
  <c r="L1886" i="59" s="1"/>
  <c r="L1887" i="59" s="1"/>
  <c r="L1888" i="59" s="1"/>
  <c r="L1889" i="59" s="1"/>
  <c r="L1890" i="59" s="1"/>
  <c r="L1891" i="59" s="1"/>
  <c r="L1892" i="59" s="1"/>
  <c r="L1893" i="59" s="1"/>
  <c r="L1894" i="59" s="1"/>
  <c r="L1895" i="59" s="1"/>
  <c r="L1896" i="59" s="1"/>
  <c r="L1897" i="59" s="1"/>
  <c r="L1898" i="59" s="1"/>
  <c r="L1899" i="59" s="1"/>
  <c r="L1900" i="59" s="1"/>
  <c r="L1901" i="59" s="1"/>
  <c r="L1902" i="59" s="1"/>
  <c r="L1903" i="59" s="1"/>
  <c r="L1904" i="59" s="1"/>
  <c r="L1905" i="59" s="1"/>
  <c r="L1906" i="59" s="1"/>
  <c r="L1907" i="59" s="1"/>
  <c r="L1908" i="59" s="1"/>
  <c r="L1909" i="59" s="1"/>
  <c r="L1910" i="59" s="1"/>
  <c r="L1911" i="59" s="1"/>
  <c r="L1912" i="59" s="1"/>
  <c r="L1913" i="59" s="1"/>
  <c r="L1914" i="59" s="1"/>
  <c r="J2148" i="59"/>
  <c r="J2416" i="59"/>
  <c r="K2446" i="59"/>
  <c r="K2447" i="59" s="1"/>
  <c r="K2448" i="59" s="1"/>
  <c r="K2449" i="59" s="1"/>
  <c r="K2450" i="59" s="1"/>
  <c r="K2451" i="59" s="1"/>
  <c r="K2452" i="59" s="1"/>
  <c r="K2453" i="59" s="1"/>
  <c r="K2454" i="59" s="1"/>
  <c r="K2455" i="59" s="1"/>
  <c r="K2456" i="59" s="1"/>
  <c r="K2457" i="59" s="1"/>
  <c r="K2458" i="59" s="1"/>
  <c r="K2459" i="59" s="1"/>
  <c r="K2460" i="59" s="1"/>
  <c r="K2461" i="59" s="1"/>
  <c r="K2462" i="59" s="1"/>
  <c r="K2463" i="59" s="1"/>
  <c r="K2464" i="59" s="1"/>
  <c r="K2465" i="59" s="1"/>
  <c r="K2466" i="59" s="1"/>
  <c r="K2467" i="59" s="1"/>
  <c r="J2530" i="59"/>
  <c r="J2590" i="59"/>
  <c r="I2407" i="59"/>
  <c r="J2465" i="59"/>
  <c r="J2499" i="59"/>
  <c r="J2554" i="59"/>
  <c r="J1579" i="59"/>
  <c r="K1851" i="59"/>
  <c r="K1852" i="59" s="1"/>
  <c r="K1853" i="59" s="1"/>
  <c r="K1854" i="59" s="1"/>
  <c r="K1855" i="59" s="1"/>
  <c r="K1856" i="59" s="1"/>
  <c r="K1857" i="59" s="1"/>
  <c r="K1858" i="59" s="1"/>
  <c r="K1859" i="59" s="1"/>
  <c r="K1860" i="59" s="1"/>
  <c r="K1861" i="59" s="1"/>
  <c r="K1862" i="59" s="1"/>
  <c r="K1863" i="59" s="1"/>
  <c r="K1864" i="59" s="1"/>
  <c r="K1865" i="59" s="1"/>
  <c r="K1866" i="59" s="1"/>
  <c r="K1867" i="59" s="1"/>
  <c r="K1868" i="59" s="1"/>
  <c r="K1869" i="59" s="1"/>
  <c r="J2481" i="59"/>
  <c r="J2505" i="59"/>
  <c r="J2518" i="59"/>
  <c r="J2558" i="59"/>
  <c r="J2566" i="59"/>
  <c r="K1579" i="59"/>
  <c r="K1580" i="59" s="1"/>
  <c r="K1581" i="59" s="1"/>
  <c r="K1582" i="59" s="1"/>
  <c r="K1583" i="59" s="1"/>
  <c r="K1584" i="59" s="1"/>
  <c r="K1585" i="59" s="1"/>
  <c r="K1586" i="59" s="1"/>
  <c r="K1587" i="59" s="1"/>
  <c r="K1588" i="59" s="1"/>
  <c r="K1589" i="59" s="1"/>
  <c r="K1590" i="59" s="1"/>
  <c r="K1591" i="59" s="1"/>
  <c r="K1592" i="59" s="1"/>
  <c r="K1593" i="59" s="1"/>
  <c r="K1594" i="59" s="1"/>
  <c r="K1595" i="59" s="1"/>
  <c r="K1596" i="59" s="1"/>
  <c r="K1597" i="59" s="1"/>
  <c r="J1834" i="59"/>
  <c r="I1851" i="59"/>
  <c r="I1852" i="59" s="1"/>
  <c r="I1853" i="59" s="1"/>
  <c r="I1854" i="59" s="1"/>
  <c r="J1907" i="59"/>
  <c r="K1962" i="59"/>
  <c r="K1963" i="59" s="1"/>
  <c r="K1964" i="59" s="1"/>
  <c r="K1965" i="59" s="1"/>
  <c r="K1966" i="59" s="1"/>
  <c r="K1967" i="59" s="1"/>
  <c r="K1968" i="59" s="1"/>
  <c r="K1969" i="59" s="1"/>
  <c r="K1970" i="59" s="1"/>
  <c r="K1971" i="59" s="1"/>
  <c r="K1972" i="59" s="1"/>
  <c r="K1973" i="59" s="1"/>
  <c r="K1974" i="59" s="1"/>
  <c r="K1975" i="59" s="1"/>
  <c r="K1976" i="59" s="1"/>
  <c r="K1977" i="59" s="1"/>
  <c r="K1978" i="59" s="1"/>
  <c r="J2411" i="59"/>
  <c r="J2461" i="59"/>
  <c r="J2534" i="59"/>
  <c r="L1603" i="59"/>
  <c r="L1604" i="59" s="1"/>
  <c r="L1605" i="59" s="1"/>
  <c r="L1606" i="59" s="1"/>
  <c r="L1607" i="59" s="1"/>
  <c r="L1608" i="59" s="1"/>
  <c r="L1609" i="59" s="1"/>
  <c r="L1610" i="59" s="1"/>
  <c r="L1611" i="59" s="1"/>
  <c r="L1612" i="59" s="1"/>
  <c r="L1613" i="59" s="1"/>
  <c r="L1614" i="59" s="1"/>
  <c r="L1615" i="59" s="1"/>
  <c r="L1616" i="59" s="1"/>
  <c r="L1617" i="59" s="1"/>
  <c r="L1618" i="59" s="1"/>
  <c r="L1619" i="59" s="1"/>
  <c r="L1620" i="59" s="1"/>
  <c r="L1621" i="59" s="1"/>
  <c r="L1622" i="59" s="1"/>
  <c r="L1623" i="59" s="1"/>
  <c r="L1624" i="59" s="1"/>
  <c r="L1625" i="59" s="1"/>
  <c r="L1626" i="59" s="1"/>
  <c r="L1627" i="59" s="1"/>
  <c r="L1628" i="59" s="1"/>
  <c r="L1629" i="59" s="1"/>
  <c r="L1630" i="59" s="1"/>
  <c r="L1631" i="59" s="1"/>
  <c r="L1632" i="59" s="1"/>
  <c r="L1633" i="59" s="1"/>
  <c r="L1634" i="59" s="1"/>
  <c r="L1635" i="59" s="1"/>
  <c r="L1636" i="59" s="1"/>
  <c r="L1637" i="59" s="1"/>
  <c r="L1638" i="59" s="1"/>
  <c r="L1639" i="59" s="1"/>
  <c r="L1640" i="59" s="1"/>
  <c r="L1641" i="59" s="1"/>
  <c r="L1642" i="59" s="1"/>
  <c r="L1643" i="59" s="1"/>
  <c r="L1644" i="59" s="1"/>
  <c r="L1645" i="59" s="1"/>
  <c r="L1646" i="59" s="1"/>
  <c r="L1647" i="59" s="1"/>
  <c r="L1648" i="59" s="1"/>
  <c r="L1649" i="59" s="1"/>
  <c r="L1650" i="59" s="1"/>
  <c r="L1651" i="59" s="1"/>
  <c r="L1652" i="59" s="1"/>
  <c r="L1653" i="59" s="1"/>
  <c r="L1654" i="59" s="1"/>
  <c r="L1655" i="59" s="1"/>
  <c r="L1656" i="59" s="1"/>
  <c r="L1657" i="59" s="1"/>
  <c r="L1658" i="59" s="1"/>
  <c r="L1659" i="59" s="1"/>
  <c r="L1660" i="59" s="1"/>
  <c r="L1781" i="59"/>
  <c r="L1782" i="59" s="1"/>
  <c r="L1783" i="59" s="1"/>
  <c r="L1784" i="59" s="1"/>
  <c r="L1785" i="59" s="1"/>
  <c r="L1786" i="59" s="1"/>
  <c r="L1787" i="59" s="1"/>
  <c r="L1788" i="59" s="1"/>
  <c r="L1789" i="59" s="1"/>
  <c r="L1790" i="59" s="1"/>
  <c r="L1791" i="59" s="1"/>
  <c r="L1792" i="59" s="1"/>
  <c r="L1793" i="59" s="1"/>
  <c r="L1794" i="59" s="1"/>
  <c r="L1795" i="59" s="1"/>
  <c r="L1796" i="59" s="1"/>
  <c r="L1797" i="59" s="1"/>
  <c r="L1798" i="59" s="1"/>
  <c r="L1799" i="59" s="1"/>
  <c r="L1800" i="59" s="1"/>
  <c r="L1801" i="59" s="1"/>
  <c r="L1802" i="59" s="1"/>
  <c r="L1803" i="59" s="1"/>
  <c r="L1804" i="59" s="1"/>
  <c r="L1805" i="59" s="1"/>
  <c r="L1806" i="59" s="1"/>
  <c r="L1807" i="59" s="1"/>
  <c r="L1808" i="59" s="1"/>
  <c r="L1809" i="59" s="1"/>
  <c r="L1810" i="59" s="1"/>
  <c r="L1811" i="59" s="1"/>
  <c r="L1812" i="59" s="1"/>
  <c r="L1813" i="59" s="1"/>
  <c r="L1814" i="59" s="1"/>
  <c r="L1815" i="59" s="1"/>
  <c r="L1816" i="59" s="1"/>
  <c r="L1817" i="59" s="1"/>
  <c r="L1818" i="59" s="1"/>
  <c r="L1819" i="59" s="1"/>
  <c r="L1820" i="59" s="1"/>
  <c r="L1821" i="59" s="1"/>
  <c r="L1822" i="59" s="1"/>
  <c r="L1823" i="59" s="1"/>
  <c r="L1824" i="59" s="1"/>
  <c r="L1825" i="59" s="1"/>
  <c r="L1826" i="59" s="1"/>
  <c r="L1827" i="59" s="1"/>
  <c r="L1828" i="59" s="1"/>
  <c r="L1829" i="59" s="1"/>
  <c r="L1830" i="59" s="1"/>
  <c r="L1831" i="59" s="1"/>
  <c r="L1832" i="59" s="1"/>
  <c r="L1833" i="59" s="1"/>
  <c r="L1834" i="59" s="1"/>
  <c r="L1835" i="59" s="1"/>
  <c r="L1836" i="59" s="1"/>
  <c r="L1837" i="59" s="1"/>
  <c r="L1838" i="59" s="1"/>
  <c r="L1839" i="59" s="1"/>
  <c r="L1840" i="59" s="1"/>
  <c r="K1834" i="59"/>
  <c r="K1835" i="59" s="1"/>
  <c r="K1836" i="59" s="1"/>
  <c r="K1837" i="59" s="1"/>
  <c r="K1838" i="59" s="1"/>
  <c r="K1839" i="59" s="1"/>
  <c r="K1840" i="59" s="1"/>
  <c r="K1841" i="59" s="1"/>
  <c r="K1842" i="59" s="1"/>
  <c r="K1843" i="59" s="1"/>
  <c r="K1844" i="59" s="1"/>
  <c r="K1845" i="59" s="1"/>
  <c r="K1846" i="59" s="1"/>
  <c r="K1847" i="59" s="1"/>
  <c r="K1848" i="59" s="1"/>
  <c r="K1849" i="59" s="1"/>
  <c r="K1850" i="59" s="1"/>
  <c r="J1962" i="59"/>
  <c r="I2036" i="59"/>
  <c r="I2037" i="59" s="1"/>
  <c r="I2038" i="59" s="1"/>
  <c r="I2039" i="59" s="1"/>
  <c r="J2593" i="59"/>
  <c r="J2591" i="59"/>
  <c r="J2589" i="59"/>
  <c r="K2582" i="59"/>
  <c r="K2583" i="59" s="1"/>
  <c r="K2584" i="59" s="1"/>
  <c r="K2585" i="59" s="1"/>
  <c r="K2586" i="59" s="1"/>
  <c r="K2587" i="59" s="1"/>
  <c r="K2588" i="59" s="1"/>
  <c r="K2589" i="59" s="1"/>
  <c r="K2590" i="59" s="1"/>
  <c r="K2591" i="59" s="1"/>
  <c r="K2592" i="59" s="1"/>
  <c r="K2593" i="59" s="1"/>
  <c r="J2582" i="59"/>
  <c r="J2587" i="59"/>
  <c r="I2584" i="59"/>
  <c r="I2585" i="59" s="1"/>
  <c r="I2586" i="59" s="1"/>
  <c r="I2587" i="59" s="1"/>
  <c r="I2588" i="59" s="1"/>
  <c r="I2589" i="59" s="1"/>
  <c r="I2590" i="59" s="1"/>
  <c r="I2591" i="59" s="1"/>
  <c r="J2584" i="59"/>
  <c r="J2581" i="59"/>
  <c r="I2579" i="59"/>
  <c r="I2580" i="59" s="1"/>
  <c r="I2581" i="59" s="1"/>
  <c r="J2579" i="59"/>
  <c r="J2577" i="59"/>
  <c r="J2575" i="59"/>
  <c r="J2573" i="59"/>
  <c r="I2571" i="59"/>
  <c r="I2572" i="59" s="1"/>
  <c r="I2573" i="59" s="1"/>
  <c r="J2571" i="59"/>
  <c r="J2569" i="59"/>
  <c r="I2569" i="59"/>
  <c r="I2570" i="59" s="1"/>
  <c r="J2567" i="59"/>
  <c r="J2565" i="59"/>
  <c r="J2563" i="59"/>
  <c r="K2563" i="59"/>
  <c r="K2564" i="59" s="1"/>
  <c r="K2565" i="59" s="1"/>
  <c r="K2566" i="59" s="1"/>
  <c r="K2567" i="59" s="1"/>
  <c r="K2568" i="59" s="1"/>
  <c r="K2569" i="59" s="1"/>
  <c r="K2570" i="59" s="1"/>
  <c r="K2571" i="59" s="1"/>
  <c r="K2572" i="59" s="1"/>
  <c r="K2573" i="59" s="1"/>
  <c r="K2574" i="59" s="1"/>
  <c r="K2575" i="59" s="1"/>
  <c r="K2576" i="59" s="1"/>
  <c r="K2577" i="59" s="1"/>
  <c r="K2578" i="59" s="1"/>
  <c r="K2579" i="59" s="1"/>
  <c r="K2580" i="59" s="1"/>
  <c r="K2581" i="59" s="1"/>
  <c r="J2561" i="59"/>
  <c r="J2559" i="59"/>
  <c r="I2559" i="59"/>
  <c r="I2560" i="59" s="1"/>
  <c r="I2561" i="59" s="1"/>
  <c r="J2557" i="59"/>
  <c r="J2555" i="59"/>
  <c r="I2553" i="59"/>
  <c r="I2554" i="59" s="1"/>
  <c r="I2555" i="59" s="1"/>
  <c r="J2553" i="59"/>
  <c r="J2551" i="59"/>
  <c r="I2551" i="59"/>
  <c r="I2552" i="59" s="1"/>
  <c r="J2549" i="59"/>
  <c r="J2547" i="59"/>
  <c r="I2545" i="59"/>
  <c r="I2546" i="59" s="1"/>
  <c r="I2547" i="59" s="1"/>
  <c r="I2548" i="59" s="1"/>
  <c r="I2549" i="59" s="1"/>
  <c r="I2550" i="59" s="1"/>
  <c r="K2545" i="59"/>
  <c r="K2546" i="59" s="1"/>
  <c r="K2547" i="59" s="1"/>
  <c r="K2548" i="59" s="1"/>
  <c r="K2549" i="59" s="1"/>
  <c r="K2550" i="59" s="1"/>
  <c r="K2551" i="59" s="1"/>
  <c r="K2552" i="59" s="1"/>
  <c r="K2553" i="59" s="1"/>
  <c r="K2554" i="59" s="1"/>
  <c r="K2555" i="59" s="1"/>
  <c r="K2556" i="59" s="1"/>
  <c r="K2557" i="59" s="1"/>
  <c r="K2558" i="59" s="1"/>
  <c r="K2559" i="59" s="1"/>
  <c r="K2560" i="59" s="1"/>
  <c r="K2561" i="59" s="1"/>
  <c r="J2545" i="59"/>
  <c r="J2543" i="59"/>
  <c r="J2542" i="59"/>
  <c r="I2541" i="59"/>
  <c r="I2542" i="59" s="1"/>
  <c r="I2543" i="59" s="1"/>
  <c r="I2544" i="59" s="1"/>
  <c r="J2541" i="59"/>
  <c r="J2539" i="59"/>
  <c r="I2539" i="59"/>
  <c r="I2540" i="59" s="1"/>
  <c r="J2537" i="59"/>
  <c r="J2535" i="59"/>
  <c r="I2535" i="59"/>
  <c r="I2536" i="59" s="1"/>
  <c r="I2537" i="59" s="1"/>
  <c r="J2533" i="59"/>
  <c r="K2531" i="59"/>
  <c r="K2532" i="59" s="1"/>
  <c r="K2533" i="59" s="1"/>
  <c r="K2534" i="59" s="1"/>
  <c r="K2535" i="59" s="1"/>
  <c r="K2536" i="59" s="1"/>
  <c r="K2537" i="59" s="1"/>
  <c r="K2538" i="59" s="1"/>
  <c r="K2539" i="59" s="1"/>
  <c r="K2540" i="59" s="1"/>
  <c r="K2541" i="59" s="1"/>
  <c r="K2542" i="59" s="1"/>
  <c r="K2543" i="59" s="1"/>
  <c r="K2544" i="59" s="1"/>
  <c r="J2531" i="59"/>
  <c r="I2529" i="59"/>
  <c r="J2529" i="59"/>
  <c r="J2527" i="59"/>
  <c r="I2527" i="59"/>
  <c r="J2525" i="59"/>
  <c r="J2523" i="59"/>
  <c r="J2521" i="59"/>
  <c r="J2519" i="59"/>
  <c r="I2519" i="59"/>
  <c r="I2520" i="59" s="1"/>
  <c r="I2521" i="59" s="1"/>
  <c r="I2517" i="59"/>
  <c r="I2518" i="59" s="1"/>
  <c r="K2517" i="59"/>
  <c r="K2518" i="59" s="1"/>
  <c r="K2519" i="59" s="1"/>
  <c r="K2520" i="59" s="1"/>
  <c r="K2521" i="59" s="1"/>
  <c r="K2522" i="59" s="1"/>
  <c r="K2523" i="59" s="1"/>
  <c r="K2524" i="59" s="1"/>
  <c r="K2525" i="59" s="1"/>
  <c r="K2526" i="59" s="1"/>
  <c r="K2527" i="59" s="1"/>
  <c r="K2528" i="59" s="1"/>
  <c r="K2529" i="59" s="1"/>
  <c r="J2517" i="59"/>
  <c r="J2514" i="59"/>
  <c r="J2512" i="59"/>
  <c r="J2509" i="59"/>
  <c r="I2510" i="59"/>
  <c r="I2511" i="59" s="1"/>
  <c r="I2512" i="59" s="1"/>
  <c r="I2513" i="59" s="1"/>
  <c r="I2514" i="59" s="1"/>
  <c r="I2515" i="59" s="1"/>
  <c r="I2516" i="59" s="1"/>
  <c r="J2510" i="59"/>
  <c r="J2507" i="59"/>
  <c r="I2506" i="59"/>
  <c r="I2507" i="59" s="1"/>
  <c r="I2508" i="59" s="1"/>
  <c r="J2506" i="59"/>
  <c r="J2504" i="59"/>
  <c r="J2501" i="59"/>
  <c r="J2502" i="59"/>
  <c r="J2500" i="59"/>
  <c r="I2500" i="59"/>
  <c r="I2501" i="59" s="1"/>
  <c r="I2502" i="59" s="1"/>
  <c r="I2503" i="59" s="1"/>
  <c r="I2504" i="59" s="1"/>
  <c r="I2498" i="59"/>
  <c r="I2499" i="59" s="1"/>
  <c r="K2498" i="59"/>
  <c r="K2499" i="59" s="1"/>
  <c r="K2500" i="59" s="1"/>
  <c r="K2501" i="59" s="1"/>
  <c r="K2502" i="59" s="1"/>
  <c r="K2503" i="59" s="1"/>
  <c r="K2504" i="59" s="1"/>
  <c r="K2505" i="59" s="1"/>
  <c r="K2506" i="59" s="1"/>
  <c r="K2507" i="59" s="1"/>
  <c r="K2508" i="59" s="1"/>
  <c r="K2509" i="59" s="1"/>
  <c r="K2510" i="59" s="1"/>
  <c r="K2511" i="59" s="1"/>
  <c r="K2512" i="59" s="1"/>
  <c r="K2513" i="59" s="1"/>
  <c r="K2514" i="59" s="1"/>
  <c r="K2515" i="59" s="1"/>
  <c r="K2516" i="59" s="1"/>
  <c r="J2498" i="59"/>
  <c r="L2498" i="59"/>
  <c r="L2499" i="59" s="1"/>
  <c r="L2500" i="59" s="1"/>
  <c r="L2501" i="59" s="1"/>
  <c r="L2502" i="59" s="1"/>
  <c r="L2503" i="59" s="1"/>
  <c r="L2504" i="59" s="1"/>
  <c r="L2505" i="59" s="1"/>
  <c r="L2506" i="59" s="1"/>
  <c r="L2507" i="59" s="1"/>
  <c r="L2508" i="59" s="1"/>
  <c r="L2509" i="59" s="1"/>
  <c r="L2510" i="59" s="1"/>
  <c r="L2511" i="59" s="1"/>
  <c r="L2512" i="59" s="1"/>
  <c r="L2513" i="59" s="1"/>
  <c r="L2514" i="59" s="1"/>
  <c r="L2515" i="59" s="1"/>
  <c r="L2516" i="59" s="1"/>
  <c r="L2517" i="59" s="1"/>
  <c r="L2518" i="59" s="1"/>
  <c r="L2519" i="59" s="1"/>
  <c r="L2520" i="59" s="1"/>
  <c r="L2521" i="59" s="1"/>
  <c r="L2522" i="59" s="1"/>
  <c r="L2523" i="59" s="1"/>
  <c r="L2524" i="59" s="1"/>
  <c r="L2525" i="59" s="1"/>
  <c r="L2526" i="59" s="1"/>
  <c r="L2527" i="59" s="1"/>
  <c r="L2528" i="59" s="1"/>
  <c r="L2529" i="59" s="1"/>
  <c r="L2530" i="59" s="1"/>
  <c r="L2531" i="59" s="1"/>
  <c r="L2532" i="59" s="1"/>
  <c r="L2533" i="59" s="1"/>
  <c r="L2534" i="59" s="1"/>
  <c r="L2535" i="59" s="1"/>
  <c r="L2536" i="59" s="1"/>
  <c r="L2537" i="59" s="1"/>
  <c r="L2538" i="59" s="1"/>
  <c r="L2539" i="59" s="1"/>
  <c r="L2540" i="59" s="1"/>
  <c r="L2541" i="59" s="1"/>
  <c r="L2542" i="59" s="1"/>
  <c r="L2543" i="59" s="1"/>
  <c r="L2544" i="59" s="1"/>
  <c r="L2545" i="59" s="1"/>
  <c r="L2546" i="59" s="1"/>
  <c r="L2547" i="59" s="1"/>
  <c r="L2548" i="59" s="1"/>
  <c r="L2549" i="59" s="1"/>
  <c r="L2550" i="59" s="1"/>
  <c r="L2551" i="59" s="1"/>
  <c r="L2552" i="59" s="1"/>
  <c r="L2553" i="59" s="1"/>
  <c r="L2554" i="59" s="1"/>
  <c r="L2555" i="59" s="1"/>
  <c r="L2556" i="59" s="1"/>
  <c r="L2557" i="59" s="1"/>
  <c r="L2558" i="59" s="1"/>
  <c r="L2559" i="59" s="1"/>
  <c r="L2560" i="59" s="1"/>
  <c r="L2561" i="59" s="1"/>
  <c r="L2562" i="59" s="1"/>
  <c r="L2563" i="59" s="1"/>
  <c r="L2564" i="59" s="1"/>
  <c r="L2565" i="59" s="1"/>
  <c r="L2566" i="59" s="1"/>
  <c r="L2567" i="59" s="1"/>
  <c r="J2496" i="59"/>
  <c r="I2496" i="59"/>
  <c r="I2497" i="59" s="1"/>
  <c r="I2494" i="59"/>
  <c r="I2495" i="59" s="1"/>
  <c r="J2494" i="59"/>
  <c r="J2492" i="59"/>
  <c r="J2490" i="59"/>
  <c r="J2488" i="59"/>
  <c r="I2488" i="59"/>
  <c r="I2489" i="59" s="1"/>
  <c r="I2490" i="59" s="1"/>
  <c r="I2491" i="59" s="1"/>
  <c r="I2492" i="59" s="1"/>
  <c r="I2493" i="59" s="1"/>
  <c r="I2486" i="59"/>
  <c r="I2487" i="59" s="1"/>
  <c r="J2486" i="59"/>
  <c r="J2484" i="59"/>
  <c r="I2482" i="59"/>
  <c r="I2483" i="59" s="1"/>
  <c r="I2484" i="59" s="1"/>
  <c r="J2482" i="59"/>
  <c r="K2482" i="59"/>
  <c r="K2483" i="59" s="1"/>
  <c r="K2484" i="59" s="1"/>
  <c r="K2485" i="59" s="1"/>
  <c r="K2486" i="59" s="1"/>
  <c r="K2487" i="59" s="1"/>
  <c r="K2488" i="59" s="1"/>
  <c r="K2489" i="59" s="1"/>
  <c r="K2490" i="59" s="1"/>
  <c r="K2491" i="59" s="1"/>
  <c r="K2492" i="59" s="1"/>
  <c r="K2493" i="59" s="1"/>
  <c r="K2494" i="59" s="1"/>
  <c r="K2495" i="59" s="1"/>
  <c r="K2496" i="59" s="1"/>
  <c r="K2497" i="59" s="1"/>
  <c r="J2480" i="59"/>
  <c r="I2478" i="59"/>
  <c r="I2479" i="59" s="1"/>
  <c r="I2480" i="59" s="1"/>
  <c r="I2481" i="59" s="1"/>
  <c r="J2478" i="59"/>
  <c r="J2476" i="59"/>
  <c r="I2476" i="59"/>
  <c r="I2477" i="59" s="1"/>
  <c r="J2474" i="59"/>
  <c r="J2472" i="59"/>
  <c r="I2472" i="59"/>
  <c r="I2473" i="59" s="1"/>
  <c r="I2474" i="59" s="1"/>
  <c r="I2475" i="59" s="1"/>
  <c r="I2470" i="59"/>
  <c r="I2471" i="59" s="1"/>
  <c r="J2470" i="59"/>
  <c r="J2468" i="59"/>
  <c r="I2468" i="59"/>
  <c r="I2469" i="59" s="1"/>
  <c r="K2468" i="59"/>
  <c r="K2469" i="59" s="1"/>
  <c r="K2470" i="59" s="1"/>
  <c r="K2471" i="59" s="1"/>
  <c r="K2472" i="59" s="1"/>
  <c r="K2473" i="59" s="1"/>
  <c r="K2474" i="59" s="1"/>
  <c r="K2475" i="59" s="1"/>
  <c r="K2476" i="59" s="1"/>
  <c r="K2477" i="59" s="1"/>
  <c r="K2478" i="59" s="1"/>
  <c r="K2479" i="59" s="1"/>
  <c r="K2480" i="59" s="1"/>
  <c r="K2481" i="59" s="1"/>
  <c r="I2466" i="59"/>
  <c r="I2467" i="59" s="1"/>
  <c r="J2466" i="59"/>
  <c r="J2463" i="59"/>
  <c r="J2464" i="59"/>
  <c r="I2462" i="59"/>
  <c r="I2463" i="59" s="1"/>
  <c r="I2464" i="59" s="1"/>
  <c r="J2462" i="59"/>
  <c r="J2460" i="59"/>
  <c r="J2458" i="59"/>
  <c r="J2456" i="59"/>
  <c r="I2456" i="59"/>
  <c r="I2457" i="59" s="1"/>
  <c r="I2458" i="59" s="1"/>
  <c r="I2459" i="59" s="1"/>
  <c r="I2460" i="59" s="1"/>
  <c r="I2461" i="59" s="1"/>
  <c r="I2454" i="59"/>
  <c r="I2455" i="59" s="1"/>
  <c r="J2454" i="59"/>
  <c r="J2452" i="59"/>
  <c r="J2449" i="59"/>
  <c r="J2450" i="59"/>
  <c r="J2448" i="59"/>
  <c r="J2445" i="59"/>
  <c r="J2443" i="59"/>
  <c r="I2441" i="59"/>
  <c r="J2441" i="59"/>
  <c r="J2439" i="59"/>
  <c r="I2437" i="59"/>
  <c r="I2438" i="59" s="1"/>
  <c r="I2439" i="59" s="1"/>
  <c r="I2440" i="59" s="1"/>
  <c r="J2437" i="59"/>
  <c r="J2435" i="59"/>
  <c r="I2435" i="59"/>
  <c r="I2436" i="59" s="1"/>
  <c r="J2432" i="59"/>
  <c r="J2433" i="59"/>
  <c r="J2431" i="59"/>
  <c r="I2429" i="59"/>
  <c r="I2430" i="59" s="1"/>
  <c r="I2431" i="59" s="1"/>
  <c r="I2432" i="59" s="1"/>
  <c r="I2433" i="59" s="1"/>
  <c r="I2434" i="59" s="1"/>
  <c r="J2429" i="59"/>
  <c r="J2426" i="59"/>
  <c r="J2427" i="59"/>
  <c r="I2425" i="59"/>
  <c r="I2426" i="59" s="1"/>
  <c r="I2427" i="59" s="1"/>
  <c r="J2425" i="59"/>
  <c r="J2423" i="59"/>
  <c r="I2421" i="59"/>
  <c r="I2422" i="59" s="1"/>
  <c r="I2423" i="59" s="1"/>
  <c r="I2424" i="59" s="1"/>
  <c r="J2421" i="59"/>
  <c r="J2419" i="59"/>
  <c r="J2417" i="59"/>
  <c r="I2414" i="59"/>
  <c r="I2415" i="59"/>
  <c r="I2416" i="59" s="1"/>
  <c r="I2417" i="59" s="1"/>
  <c r="I2418" i="59" s="1"/>
  <c r="I2419" i="59" s="1"/>
  <c r="I2420" i="59" s="1"/>
  <c r="J2415" i="59"/>
  <c r="K2415" i="59"/>
  <c r="K2416" i="59" s="1"/>
  <c r="K2417" i="59" s="1"/>
  <c r="K2418" i="59" s="1"/>
  <c r="K2419" i="59" s="1"/>
  <c r="K2420" i="59" s="1"/>
  <c r="K2421" i="59" s="1"/>
  <c r="K2422" i="59" s="1"/>
  <c r="K2423" i="59" s="1"/>
  <c r="K2424" i="59" s="1"/>
  <c r="K2425" i="59" s="1"/>
  <c r="K2426" i="59" s="1"/>
  <c r="K2427" i="59" s="1"/>
  <c r="K2428" i="59" s="1"/>
  <c r="K2429" i="59" s="1"/>
  <c r="K2430" i="59" s="1"/>
  <c r="K2431" i="59" s="1"/>
  <c r="K2432" i="59" s="1"/>
  <c r="K2433" i="59" s="1"/>
  <c r="K2434" i="59" s="1"/>
  <c r="K2435" i="59" s="1"/>
  <c r="K2436" i="59" s="1"/>
  <c r="K2437" i="59" s="1"/>
  <c r="K2438" i="59" s="1"/>
  <c r="K2439" i="59" s="1"/>
  <c r="K2440" i="59" s="1"/>
  <c r="K2441" i="59" s="1"/>
  <c r="K2442" i="59" s="1"/>
  <c r="K2443" i="59" s="1"/>
  <c r="K2444" i="59" s="1"/>
  <c r="K2445" i="59" s="1"/>
  <c r="I2413" i="59"/>
  <c r="J2413" i="59"/>
  <c r="J2410" i="59"/>
  <c r="I2410" i="59"/>
  <c r="I2408" i="59"/>
  <c r="K2408" i="59"/>
  <c r="K2409" i="59" s="1"/>
  <c r="K2410" i="59" s="1"/>
  <c r="K2411" i="59" s="1"/>
  <c r="K2412" i="59" s="1"/>
  <c r="K2413" i="59" s="1"/>
  <c r="J2408" i="59"/>
  <c r="K1945" i="59"/>
  <c r="K1946" i="59" s="1"/>
  <c r="K1947" i="59" s="1"/>
  <c r="K1948" i="59" s="1"/>
  <c r="K1949" i="59" s="1"/>
  <c r="K1950" i="59" s="1"/>
  <c r="K1951" i="59" s="1"/>
  <c r="K1952" i="59" s="1"/>
  <c r="K1953" i="59" s="1"/>
  <c r="K1954" i="59" s="1"/>
  <c r="K1955" i="59" s="1"/>
  <c r="K1956" i="59" s="1"/>
  <c r="K1957" i="59" s="1"/>
  <c r="K1958" i="59" s="1"/>
  <c r="K1959" i="59" s="1"/>
  <c r="K1960" i="59" s="1"/>
  <c r="K1961" i="59" s="1"/>
  <c r="I1945" i="59"/>
  <c r="I1946" i="59" s="1"/>
  <c r="I1947" i="59" s="1"/>
  <c r="J1957" i="59"/>
  <c r="J2076" i="59"/>
  <c r="I2094" i="59"/>
  <c r="I2095" i="59" s="1"/>
  <c r="I2096" i="59" s="1"/>
  <c r="I2097" i="59" s="1"/>
  <c r="J2094" i="59"/>
  <c r="J2288" i="59"/>
  <c r="I2288" i="59"/>
  <c r="I2289" i="59" s="1"/>
  <c r="I2290" i="59" s="1"/>
  <c r="J1714" i="59"/>
  <c r="I1423" i="59"/>
  <c r="I1424" i="59" s="1"/>
  <c r="I1425" i="59" s="1"/>
  <c r="I1426" i="59" s="1"/>
  <c r="K1603" i="59"/>
  <c r="K1604" i="59" s="1"/>
  <c r="K1605" i="59" s="1"/>
  <c r="K1606" i="59" s="1"/>
  <c r="K1607" i="59" s="1"/>
  <c r="I1619" i="59"/>
  <c r="I1620" i="59" s="1"/>
  <c r="J1632" i="59"/>
  <c r="J1650" i="59"/>
  <c r="I2201" i="59"/>
  <c r="I2202" i="59" s="1"/>
  <c r="I2203" i="59" s="1"/>
  <c r="J2201" i="59"/>
  <c r="I1808" i="59"/>
  <c r="I1809" i="59" s="1"/>
  <c r="I1810" i="59" s="1"/>
  <c r="J1808" i="59"/>
  <c r="J1855" i="59"/>
  <c r="I1855" i="59"/>
  <c r="I1856" i="59" s="1"/>
  <c r="I1857" i="59" s="1"/>
  <c r="I1858" i="59" s="1"/>
  <c r="I1859" i="59" s="1"/>
  <c r="J2064" i="59"/>
  <c r="I1798" i="59"/>
  <c r="J1798" i="59"/>
  <c r="I2164" i="59"/>
  <c r="I2165" i="59" s="1"/>
  <c r="J2164" i="59"/>
  <c r="J1610" i="59"/>
  <c r="J1681" i="59"/>
  <c r="K1681" i="59"/>
  <c r="K1682" i="59" s="1"/>
  <c r="K1683" i="59" s="1"/>
  <c r="J1712" i="59"/>
  <c r="I1730" i="59"/>
  <c r="I1731" i="59" s="1"/>
  <c r="J1749" i="59"/>
  <c r="J1778" i="59"/>
  <c r="J1814" i="59"/>
  <c r="J1839" i="59"/>
  <c r="J1874" i="59"/>
  <c r="K1915" i="59"/>
  <c r="K1916" i="59" s="1"/>
  <c r="K1917" i="59" s="1"/>
  <c r="K1918" i="59" s="1"/>
  <c r="K1919" i="59" s="1"/>
  <c r="K1920" i="59" s="1"/>
  <c r="K1921" i="59" s="1"/>
  <c r="K1922" i="59" s="1"/>
  <c r="K1923" i="59" s="1"/>
  <c r="K1924" i="59" s="1"/>
  <c r="K1925" i="59" s="1"/>
  <c r="K1926" i="59" s="1"/>
  <c r="K1927" i="59" s="1"/>
  <c r="K1928" i="59" s="1"/>
  <c r="L1915" i="59"/>
  <c r="L1916" i="59" s="1"/>
  <c r="L1917" i="59" s="1"/>
  <c r="L1918" i="59" s="1"/>
  <c r="L1919" i="59" s="1"/>
  <c r="L1920" i="59" s="1"/>
  <c r="L1921" i="59" s="1"/>
  <c r="L1922" i="59" s="1"/>
  <c r="L1923" i="59" s="1"/>
  <c r="L1924" i="59" s="1"/>
  <c r="L1925" i="59" s="1"/>
  <c r="L1926" i="59" s="1"/>
  <c r="L1927" i="59" s="1"/>
  <c r="L1928" i="59" s="1"/>
  <c r="L1929" i="59" s="1"/>
  <c r="L1930" i="59" s="1"/>
  <c r="L1931" i="59" s="1"/>
  <c r="L1932" i="59" s="1"/>
  <c r="L1933" i="59" s="1"/>
  <c r="L1934" i="59" s="1"/>
  <c r="L1935" i="59" s="1"/>
  <c r="L1936" i="59" s="1"/>
  <c r="L1937" i="59" s="1"/>
  <c r="L1938" i="59" s="1"/>
  <c r="L1939" i="59" s="1"/>
  <c r="L1940" i="59" s="1"/>
  <c r="L1941" i="59" s="1"/>
  <c r="L1942" i="59" s="1"/>
  <c r="L1943" i="59" s="1"/>
  <c r="L1944" i="59" s="1"/>
  <c r="L1945" i="59" s="1"/>
  <c r="L1946" i="59" s="1"/>
  <c r="L1947" i="59" s="1"/>
  <c r="L1948" i="59" s="1"/>
  <c r="L1949" i="59" s="1"/>
  <c r="L1950" i="59" s="1"/>
  <c r="L1951" i="59" s="1"/>
  <c r="L1952" i="59" s="1"/>
  <c r="L1953" i="59" s="1"/>
  <c r="L1954" i="59" s="1"/>
  <c r="L1955" i="59" s="1"/>
  <c r="L1956" i="59" s="1"/>
  <c r="L1957" i="59" s="1"/>
  <c r="L1958" i="59" s="1"/>
  <c r="L1959" i="59" s="1"/>
  <c r="L1960" i="59" s="1"/>
  <c r="L1961" i="59" s="1"/>
  <c r="L1962" i="59" s="1"/>
  <c r="L1963" i="59" s="1"/>
  <c r="L1964" i="59" s="1"/>
  <c r="L1965" i="59" s="1"/>
  <c r="L1966" i="59" s="1"/>
  <c r="L1967" i="59" s="1"/>
  <c r="L1968" i="59" s="1"/>
  <c r="L1969" i="59" s="1"/>
  <c r="L1970" i="59" s="1"/>
  <c r="L1971" i="59" s="1"/>
  <c r="L1972" i="59" s="1"/>
  <c r="L1973" i="59" s="1"/>
  <c r="L1974" i="59" s="1"/>
  <c r="L1975" i="59" s="1"/>
  <c r="L1976" i="59" s="1"/>
  <c r="L1977" i="59" s="1"/>
  <c r="L1978" i="59" s="1"/>
  <c r="J1915" i="59"/>
  <c r="I1915" i="59"/>
  <c r="J1935" i="59"/>
  <c r="J2084" i="59"/>
  <c r="J2235" i="59"/>
  <c r="J2241" i="59"/>
  <c r="J2247" i="59"/>
  <c r="I2273" i="59"/>
  <c r="I2274" i="59" s="1"/>
  <c r="K2273" i="59"/>
  <c r="K2274" i="59" s="1"/>
  <c r="K2275" i="59" s="1"/>
  <c r="K2276" i="59" s="1"/>
  <c r="K2277" i="59" s="1"/>
  <c r="K2278" i="59" s="1"/>
  <c r="K2279" i="59" s="1"/>
  <c r="K2280" i="59" s="1"/>
  <c r="K2281" i="59" s="1"/>
  <c r="K2282" i="59" s="1"/>
  <c r="K2283" i="59" s="1"/>
  <c r="K2284" i="59" s="1"/>
  <c r="J2273" i="59"/>
  <c r="I1902" i="59"/>
  <c r="I1903" i="59" s="1"/>
  <c r="I1904" i="59" s="1"/>
  <c r="J1902" i="59"/>
  <c r="K1902" i="59"/>
  <c r="K1903" i="59" s="1"/>
  <c r="K1904" i="59" s="1"/>
  <c r="K1905" i="59" s="1"/>
  <c r="K1906" i="59" s="1"/>
  <c r="K1907" i="59" s="1"/>
  <c r="K1908" i="59" s="1"/>
  <c r="K1909" i="59" s="1"/>
  <c r="K1910" i="59" s="1"/>
  <c r="K1911" i="59" s="1"/>
  <c r="K1912" i="59" s="1"/>
  <c r="K1913" i="59" s="1"/>
  <c r="K1914" i="59" s="1"/>
  <c r="I2009" i="59"/>
  <c r="I2010" i="59" s="1"/>
  <c r="I2011" i="59" s="1"/>
  <c r="J2009" i="59"/>
  <c r="J1438" i="59"/>
  <c r="J1509" i="59"/>
  <c r="K1608" i="59"/>
  <c r="K1609" i="59" s="1"/>
  <c r="K1610" i="59" s="1"/>
  <c r="K1611" i="59" s="1"/>
  <c r="K1612" i="59" s="1"/>
  <c r="K1613" i="59" s="1"/>
  <c r="K1614" i="59" s="1"/>
  <c r="K1615" i="59" s="1"/>
  <c r="K1616" i="59" s="1"/>
  <c r="K1617" i="59" s="1"/>
  <c r="K1618" i="59" s="1"/>
  <c r="K1619" i="59" s="1"/>
  <c r="K1620" i="59" s="1"/>
  <c r="K1621" i="59" s="1"/>
  <c r="K1622" i="59" s="1"/>
  <c r="K1623" i="59" s="1"/>
  <c r="J1625" i="59"/>
  <c r="J1639" i="59"/>
  <c r="J1726" i="59"/>
  <c r="J1757" i="59"/>
  <c r="I2000" i="59"/>
  <c r="I2001" i="59" s="1"/>
  <c r="I2002" i="59" s="1"/>
  <c r="J1702" i="59"/>
  <c r="J1767" i="59"/>
  <c r="J1847" i="59"/>
  <c r="I1951" i="59"/>
  <c r="I1952" i="59" s="1"/>
  <c r="J1951" i="59"/>
  <c r="J2315" i="59"/>
  <c r="I2315" i="59"/>
  <c r="I1497" i="59"/>
  <c r="I1498" i="59" s="1"/>
  <c r="I1499" i="59" s="1"/>
  <c r="I1500" i="59" s="1"/>
  <c r="I1501" i="59" s="1"/>
  <c r="K1509" i="59"/>
  <c r="K1510" i="59" s="1"/>
  <c r="K1511" i="59" s="1"/>
  <c r="K1512" i="59" s="1"/>
  <c r="K1513" i="59" s="1"/>
  <c r="K1514" i="59" s="1"/>
  <c r="K1515" i="59" s="1"/>
  <c r="K1516" i="59" s="1"/>
  <c r="K1517" i="59" s="1"/>
  <c r="K1518" i="59" s="1"/>
  <c r="K1519" i="59" s="1"/>
  <c r="K1520" i="59" s="1"/>
  <c r="K1521" i="59" s="1"/>
  <c r="K1522" i="59" s="1"/>
  <c r="K1523" i="59" s="1"/>
  <c r="J1571" i="59"/>
  <c r="J1617" i="59"/>
  <c r="J1671" i="59"/>
  <c r="J1706" i="59"/>
  <c r="I1720" i="59"/>
  <c r="I1721" i="59" s="1"/>
  <c r="I1722" i="59" s="1"/>
  <c r="I1723" i="59" s="1"/>
  <c r="I1724" i="59" s="1"/>
  <c r="K1738" i="59"/>
  <c r="K1739" i="59" s="1"/>
  <c r="K1740" i="59" s="1"/>
  <c r="K1741" i="59" s="1"/>
  <c r="K1742" i="59" s="1"/>
  <c r="K1743" i="59" s="1"/>
  <c r="K1744" i="59" s="1"/>
  <c r="K1745" i="59" s="1"/>
  <c r="K1746" i="59" s="1"/>
  <c r="K1747" i="59" s="1"/>
  <c r="K1748" i="59" s="1"/>
  <c r="K1749" i="59" s="1"/>
  <c r="K1750" i="59" s="1"/>
  <c r="K1751" i="59" s="1"/>
  <c r="K1752" i="59" s="1"/>
  <c r="K1753" i="59" s="1"/>
  <c r="K1754" i="59" s="1"/>
  <c r="K1755" i="59" s="1"/>
  <c r="J1738" i="59"/>
  <c r="J1747" i="59"/>
  <c r="J1806" i="59"/>
  <c r="J1853" i="59"/>
  <c r="I2019" i="59"/>
  <c r="I2020" i="59" s="1"/>
  <c r="J2156" i="59"/>
  <c r="J2227" i="59"/>
  <c r="I2275" i="59"/>
  <c r="I2276" i="59" s="1"/>
  <c r="I2277" i="59" s="1"/>
  <c r="J2275" i="59"/>
  <c r="J1845" i="59"/>
  <c r="I1845" i="59"/>
  <c r="I1846" i="59" s="1"/>
  <c r="I1847" i="59" s="1"/>
  <c r="J1985" i="59"/>
  <c r="J2245" i="59"/>
  <c r="J1596" i="59"/>
  <c r="I1653" i="59"/>
  <c r="I1654" i="59" s="1"/>
  <c r="I1655" i="59" s="1"/>
  <c r="I1656" i="59" s="1"/>
  <c r="J1663" i="59"/>
  <c r="J1674" i="59"/>
  <c r="J1690" i="59"/>
  <c r="I1706" i="59"/>
  <c r="I1707" i="59" s="1"/>
  <c r="I1708" i="59" s="1"/>
  <c r="J1724" i="59"/>
  <c r="J1911" i="59"/>
  <c r="J1931" i="59"/>
  <c r="J2013" i="59"/>
  <c r="K1684" i="59"/>
  <c r="K1685" i="59" s="1"/>
  <c r="K1686" i="59" s="1"/>
  <c r="K1687" i="59" s="1"/>
  <c r="K1688" i="59" s="1"/>
  <c r="K1689" i="59" s="1"/>
  <c r="K1690" i="59" s="1"/>
  <c r="K1691" i="59" s="1"/>
  <c r="K1692" i="59" s="1"/>
  <c r="K1693" i="59" s="1"/>
  <c r="K1694" i="59" s="1"/>
  <c r="K1695" i="59" s="1"/>
  <c r="K1696" i="59" s="1"/>
  <c r="K1697" i="59" s="1"/>
  <c r="K1698" i="59" s="1"/>
  <c r="K1699" i="59" s="1"/>
  <c r="K1700" i="59" s="1"/>
  <c r="K1701" i="59" s="1"/>
  <c r="K1702" i="59" s="1"/>
  <c r="K1703" i="59" s="1"/>
  <c r="K1704" i="59" s="1"/>
  <c r="K1705" i="59" s="1"/>
  <c r="J1732" i="59"/>
  <c r="I1740" i="59"/>
  <c r="I1741" i="59" s="1"/>
  <c r="I1742" i="59" s="1"/>
  <c r="I1743" i="59" s="1"/>
  <c r="I1781" i="59"/>
  <c r="I1782" i="59" s="1"/>
  <c r="I1783" i="59" s="1"/>
  <c r="J1786" i="59"/>
  <c r="J1810" i="59"/>
  <c r="I1820" i="59"/>
  <c r="J1841" i="59"/>
  <c r="J1849" i="59"/>
  <c r="J1857" i="59"/>
  <c r="K1929" i="59"/>
  <c r="K1930" i="59" s="1"/>
  <c r="K1931" i="59" s="1"/>
  <c r="K1932" i="59" s="1"/>
  <c r="K1933" i="59" s="1"/>
  <c r="K1934" i="59" s="1"/>
  <c r="K1935" i="59" s="1"/>
  <c r="K1936" i="59" s="1"/>
  <c r="K1937" i="59" s="1"/>
  <c r="K1938" i="59" s="1"/>
  <c r="K1939" i="59" s="1"/>
  <c r="K1940" i="59" s="1"/>
  <c r="K1941" i="59" s="1"/>
  <c r="K1942" i="59" s="1"/>
  <c r="K1943" i="59" s="1"/>
  <c r="K1944" i="59" s="1"/>
  <c r="J1947" i="59"/>
  <c r="I1974" i="59"/>
  <c r="I1975" i="59" s="1"/>
  <c r="I1976" i="59" s="1"/>
  <c r="I1977" i="59" s="1"/>
  <c r="J2025" i="59"/>
  <c r="J2082" i="59"/>
  <c r="I2268" i="59"/>
  <c r="I2269" i="59" s="1"/>
  <c r="I2270" i="59" s="1"/>
  <c r="J2268" i="59"/>
  <c r="J2327" i="59"/>
  <c r="J2359" i="59"/>
  <c r="J2395" i="59"/>
  <c r="I1937" i="59"/>
  <c r="I1938" i="59" s="1"/>
  <c r="I1939" i="59" s="1"/>
  <c r="I1940" i="59" s="1"/>
  <c r="J1937" i="59"/>
  <c r="J2034" i="59"/>
  <c r="J2086" i="59"/>
  <c r="J2100" i="59"/>
  <c r="I2114" i="59"/>
  <c r="J2114" i="59"/>
  <c r="K2300" i="59"/>
  <c r="K2301" i="59" s="1"/>
  <c r="K2302" i="59" s="1"/>
  <c r="K2303" i="59" s="1"/>
  <c r="K2304" i="59" s="1"/>
  <c r="K2305" i="59" s="1"/>
  <c r="K2306" i="59" s="1"/>
  <c r="K2307" i="59" s="1"/>
  <c r="K2308" i="59" s="1"/>
  <c r="K2309" i="59" s="1"/>
  <c r="K2310" i="59" s="1"/>
  <c r="I2300" i="59"/>
  <c r="I2301" i="59" s="1"/>
  <c r="I2302" i="59" s="1"/>
  <c r="J2300" i="59"/>
  <c r="J1953" i="59"/>
  <c r="I1953" i="59"/>
  <c r="I1954" i="59" s="1"/>
  <c r="J2007" i="59"/>
  <c r="J2015" i="59"/>
  <c r="I2021" i="59"/>
  <c r="I2022" i="59" s="1"/>
  <c r="I2023" i="59" s="1"/>
  <c r="I2024" i="59" s="1"/>
  <c r="I2127" i="59"/>
  <c r="I2128" i="59" s="1"/>
  <c r="I2129" i="59" s="1"/>
  <c r="K2127" i="59"/>
  <c r="K2128" i="59" s="1"/>
  <c r="K2129" i="59" s="1"/>
  <c r="K2130" i="59" s="1"/>
  <c r="K2131" i="59" s="1"/>
  <c r="K2132" i="59" s="1"/>
  <c r="K2133" i="59" s="1"/>
  <c r="K2134" i="59" s="1"/>
  <c r="K2135" i="59" s="1"/>
  <c r="K2136" i="59" s="1"/>
  <c r="K2137" i="59" s="1"/>
  <c r="K2138" i="59" s="1"/>
  <c r="K2139" i="59" s="1"/>
  <c r="K2140" i="59" s="1"/>
  <c r="I2136" i="59"/>
  <c r="I2137" i="59" s="1"/>
  <c r="J2136" i="59"/>
  <c r="J2158" i="59"/>
  <c r="I2166" i="59"/>
  <c r="I2167" i="59" s="1"/>
  <c r="I2168" i="59" s="1"/>
  <c r="I2169" i="59" s="1"/>
  <c r="I2170" i="59" s="1"/>
  <c r="J2294" i="59"/>
  <c r="J2350" i="59"/>
  <c r="J1976" i="59"/>
  <c r="J2195" i="59"/>
  <c r="J2335" i="59"/>
  <c r="I2335" i="59"/>
  <c r="I2336" i="59" s="1"/>
  <c r="I2337" i="59" s="1"/>
  <c r="I2338" i="59" s="1"/>
  <c r="J1939" i="59"/>
  <c r="I2296" i="59"/>
  <c r="I2297" i="59" s="1"/>
  <c r="I2298" i="59" s="1"/>
  <c r="I2299" i="59" s="1"/>
  <c r="J2296" i="59"/>
  <c r="I2346" i="59"/>
  <c r="I2347" i="59" s="1"/>
  <c r="I2348" i="59" s="1"/>
  <c r="J2346" i="59"/>
  <c r="J2353" i="59"/>
  <c r="J2092" i="59"/>
  <c r="J2106" i="59"/>
  <c r="J2125" i="59"/>
  <c r="I2193" i="59"/>
  <c r="I2194" i="59" s="1"/>
  <c r="I2195" i="59" s="1"/>
  <c r="I2196" i="59" s="1"/>
  <c r="I2197" i="59" s="1"/>
  <c r="J2233" i="59"/>
  <c r="J2310" i="59"/>
  <c r="I2333" i="59"/>
  <c r="I2334" i="59" s="1"/>
  <c r="J2399" i="59"/>
  <c r="J2398" i="59"/>
  <c r="J2396" i="59"/>
  <c r="I2394" i="59"/>
  <c r="I2395" i="59" s="1"/>
  <c r="I2396" i="59" s="1"/>
  <c r="I2397" i="59" s="1"/>
  <c r="I2398" i="59" s="1"/>
  <c r="J2394" i="59"/>
  <c r="J2376" i="59"/>
  <c r="J2374" i="59"/>
  <c r="I2374" i="59"/>
  <c r="I2375" i="59" s="1"/>
  <c r="I2376" i="59" s="1"/>
  <c r="J2372" i="59"/>
  <c r="J2370" i="59"/>
  <c r="I2367" i="59"/>
  <c r="I2368" i="59" s="1"/>
  <c r="I2369" i="59" s="1"/>
  <c r="I2370" i="59" s="1"/>
  <c r="I2371" i="59" s="1"/>
  <c r="I2372" i="59" s="1"/>
  <c r="J2368" i="59"/>
  <c r="J2366" i="59"/>
  <c r="J2364" i="59"/>
  <c r="I2364" i="59"/>
  <c r="I2365" i="59" s="1"/>
  <c r="I2366" i="59" s="1"/>
  <c r="J2361" i="59"/>
  <c r="J2362" i="59"/>
  <c r="K2360" i="59"/>
  <c r="K2361" i="59" s="1"/>
  <c r="K2362" i="59" s="1"/>
  <c r="K2363" i="59" s="1"/>
  <c r="K2364" i="59" s="1"/>
  <c r="K2365" i="59" s="1"/>
  <c r="K2366" i="59" s="1"/>
  <c r="K2367" i="59" s="1"/>
  <c r="K2368" i="59" s="1"/>
  <c r="K2369" i="59" s="1"/>
  <c r="K2370" i="59" s="1"/>
  <c r="K2371" i="59" s="1"/>
  <c r="K2372" i="59" s="1"/>
  <c r="K2373" i="59" s="1"/>
  <c r="K2374" i="59" s="1"/>
  <c r="K2375" i="59" s="1"/>
  <c r="K2376" i="59" s="1"/>
  <c r="K2377" i="59" s="1"/>
  <c r="I2360" i="59"/>
  <c r="I2361" i="59" s="1"/>
  <c r="I2362" i="59" s="1"/>
  <c r="I2363" i="59" s="1"/>
  <c r="J2360" i="59"/>
  <c r="J2358" i="59"/>
  <c r="J2356" i="59"/>
  <c r="J2354" i="59"/>
  <c r="I2354" i="59"/>
  <c r="I2355" i="59" s="1"/>
  <c r="I2356" i="59" s="1"/>
  <c r="J2352" i="59"/>
  <c r="J2349" i="59"/>
  <c r="I2349" i="59"/>
  <c r="I2350" i="59" s="1"/>
  <c r="I2351" i="59" s="1"/>
  <c r="I2352" i="59" s="1"/>
  <c r="I2353" i="59" s="1"/>
  <c r="J2347" i="59"/>
  <c r="J2345" i="59"/>
  <c r="I2342" i="59"/>
  <c r="I2343" i="59" s="1"/>
  <c r="I2344" i="59" s="1"/>
  <c r="I2345" i="59" s="1"/>
  <c r="K2342" i="59"/>
  <c r="K2343" i="59" s="1"/>
  <c r="K2344" i="59" s="1"/>
  <c r="K2345" i="59" s="1"/>
  <c r="K2346" i="59" s="1"/>
  <c r="K2347" i="59" s="1"/>
  <c r="K2348" i="59" s="1"/>
  <c r="K2349" i="59" s="1"/>
  <c r="K2350" i="59" s="1"/>
  <c r="K2351" i="59" s="1"/>
  <c r="K2352" i="59" s="1"/>
  <c r="K2353" i="59" s="1"/>
  <c r="K2354" i="59" s="1"/>
  <c r="K2355" i="59" s="1"/>
  <c r="K2356" i="59" s="1"/>
  <c r="K2357" i="59" s="1"/>
  <c r="K2358" i="59" s="1"/>
  <c r="K2359" i="59" s="1"/>
  <c r="J2342" i="59"/>
  <c r="I2339" i="59"/>
  <c r="I2340" i="59" s="1"/>
  <c r="I2341" i="59" s="1"/>
  <c r="J2340" i="59"/>
  <c r="J2338" i="59"/>
  <c r="J2336" i="59"/>
  <c r="J2334" i="59"/>
  <c r="J2332" i="59"/>
  <c r="J2329" i="59"/>
  <c r="I2329" i="59"/>
  <c r="I2330" i="59" s="1"/>
  <c r="I2331" i="59" s="1"/>
  <c r="I2332" i="59" s="1"/>
  <c r="J2330" i="59"/>
  <c r="J2328" i="59"/>
  <c r="J2326" i="59"/>
  <c r="L2322" i="59"/>
  <c r="L2323" i="59" s="1"/>
  <c r="L2324" i="59" s="1"/>
  <c r="L2325" i="59" s="1"/>
  <c r="L2326" i="59" s="1"/>
  <c r="L2327" i="59" s="1"/>
  <c r="L2328" i="59" s="1"/>
  <c r="L2329" i="59" s="1"/>
  <c r="L2330" i="59" s="1"/>
  <c r="L2331" i="59" s="1"/>
  <c r="L2332" i="59" s="1"/>
  <c r="L2333" i="59" s="1"/>
  <c r="L2334" i="59" s="1"/>
  <c r="L2335" i="59" s="1"/>
  <c r="L2336" i="59" s="1"/>
  <c r="L2337" i="59" s="1"/>
  <c r="L2338" i="59" s="1"/>
  <c r="L2339" i="59" s="1"/>
  <c r="L2340" i="59" s="1"/>
  <c r="L2341" i="59" s="1"/>
  <c r="L2342" i="59" s="1"/>
  <c r="L2343" i="59" s="1"/>
  <c r="L2344" i="59" s="1"/>
  <c r="L2345" i="59" s="1"/>
  <c r="L2346" i="59" s="1"/>
  <c r="L2347" i="59" s="1"/>
  <c r="L2348" i="59" s="1"/>
  <c r="L2349" i="59" s="1"/>
  <c r="L2350" i="59" s="1"/>
  <c r="L2351" i="59" s="1"/>
  <c r="L2352" i="59" s="1"/>
  <c r="L2353" i="59" s="1"/>
  <c r="L2354" i="59" s="1"/>
  <c r="L2355" i="59" s="1"/>
  <c r="L2356" i="59" s="1"/>
  <c r="L2357" i="59" s="1"/>
  <c r="L2358" i="59" s="1"/>
  <c r="L2359" i="59" s="1"/>
  <c r="L2360" i="59" s="1"/>
  <c r="L2361" i="59" s="1"/>
  <c r="L2362" i="59" s="1"/>
  <c r="L2363" i="59" s="1"/>
  <c r="L2364" i="59" s="1"/>
  <c r="L2365" i="59" s="1"/>
  <c r="L2366" i="59" s="1"/>
  <c r="L2367" i="59" s="1"/>
  <c r="L2368" i="59" s="1"/>
  <c r="L2369" i="59" s="1"/>
  <c r="L2370" i="59" s="1"/>
  <c r="L2371" i="59" s="1"/>
  <c r="L2372" i="59" s="1"/>
  <c r="L2373" i="59" s="1"/>
  <c r="L2374" i="59" s="1"/>
  <c r="L2375" i="59" s="1"/>
  <c r="L2376" i="59" s="1"/>
  <c r="L2377" i="59" s="1"/>
  <c r="L2378" i="59" s="1"/>
  <c r="L2379" i="59" s="1"/>
  <c r="L2380" i="59" s="1"/>
  <c r="L2381" i="59" s="1"/>
  <c r="L2382" i="59" s="1"/>
  <c r="L2383" i="59" s="1"/>
  <c r="L2384" i="59" s="1"/>
  <c r="I2322" i="59"/>
  <c r="I2323" i="59" s="1"/>
  <c r="I2324" i="59" s="1"/>
  <c r="I2325" i="59" s="1"/>
  <c r="I2326" i="59" s="1"/>
  <c r="I2327" i="59" s="1"/>
  <c r="I2328" i="59" s="1"/>
  <c r="J2322" i="59"/>
  <c r="K2324" i="59"/>
  <c r="K2325" i="59" s="1"/>
  <c r="K2326" i="59" s="1"/>
  <c r="K2327" i="59" s="1"/>
  <c r="K2328" i="59" s="1"/>
  <c r="K2329" i="59" s="1"/>
  <c r="K2330" i="59" s="1"/>
  <c r="K2331" i="59" s="1"/>
  <c r="K2332" i="59" s="1"/>
  <c r="K2333" i="59" s="1"/>
  <c r="K2334" i="59" s="1"/>
  <c r="K2335" i="59" s="1"/>
  <c r="K2336" i="59" s="1"/>
  <c r="K2337" i="59" s="1"/>
  <c r="K2338" i="59" s="1"/>
  <c r="K2339" i="59" s="1"/>
  <c r="K2340" i="59" s="1"/>
  <c r="K2341" i="59" s="1"/>
  <c r="J2324" i="59"/>
  <c r="J2319" i="59"/>
  <c r="J2321" i="59"/>
  <c r="I2317" i="59"/>
  <c r="I2318" i="59" s="1"/>
  <c r="I2319" i="59" s="1"/>
  <c r="I2320" i="59" s="1"/>
  <c r="I2321" i="59" s="1"/>
  <c r="J2318" i="59"/>
  <c r="I2316" i="59"/>
  <c r="J2316" i="59"/>
  <c r="J2320" i="59"/>
  <c r="J2313" i="59"/>
  <c r="J2314" i="59"/>
  <c r="K2311" i="59"/>
  <c r="K2312" i="59" s="1"/>
  <c r="K2313" i="59" s="1"/>
  <c r="K2314" i="59" s="1"/>
  <c r="K2315" i="59" s="1"/>
  <c r="K2316" i="59" s="1"/>
  <c r="K2317" i="59" s="1"/>
  <c r="K2318" i="59" s="1"/>
  <c r="K2319" i="59" s="1"/>
  <c r="K2320" i="59" s="1"/>
  <c r="K2321" i="59" s="1"/>
  <c r="J2311" i="59"/>
  <c r="I2311" i="59"/>
  <c r="I2312" i="59" s="1"/>
  <c r="I2313" i="59" s="1"/>
  <c r="I2314" i="59" s="1"/>
  <c r="J2309" i="59"/>
  <c r="J2306" i="59"/>
  <c r="I2307" i="59"/>
  <c r="I2308" i="59" s="1"/>
  <c r="I2309" i="59" s="1"/>
  <c r="I2310" i="59" s="1"/>
  <c r="J2307" i="59"/>
  <c r="J2305" i="59"/>
  <c r="I2303" i="59"/>
  <c r="J2303" i="59"/>
  <c r="J2301" i="59"/>
  <c r="J2299" i="59"/>
  <c r="J2297" i="59"/>
  <c r="J2295" i="59"/>
  <c r="I2293" i="59"/>
  <c r="I2294" i="59" s="1"/>
  <c r="I2295" i="59" s="1"/>
  <c r="J2293" i="59"/>
  <c r="I2291" i="59"/>
  <c r="I2292" i="59" s="1"/>
  <c r="J2291" i="59"/>
  <c r="J2289" i="59"/>
  <c r="J2287" i="59"/>
  <c r="J2285" i="59"/>
  <c r="K2285" i="59"/>
  <c r="K2286" i="59" s="1"/>
  <c r="K2287" i="59" s="1"/>
  <c r="K2288" i="59" s="1"/>
  <c r="K2289" i="59" s="1"/>
  <c r="K2290" i="59" s="1"/>
  <c r="K2291" i="59" s="1"/>
  <c r="K2292" i="59" s="1"/>
  <c r="K2293" i="59" s="1"/>
  <c r="K2294" i="59" s="1"/>
  <c r="K2295" i="59" s="1"/>
  <c r="K2296" i="59" s="1"/>
  <c r="K2297" i="59" s="1"/>
  <c r="K2298" i="59" s="1"/>
  <c r="K2299" i="59" s="1"/>
  <c r="I2285" i="59"/>
  <c r="I2286" i="59" s="1"/>
  <c r="I2287" i="59" s="1"/>
  <c r="J2283" i="59"/>
  <c r="I2283" i="59"/>
  <c r="I2284" i="59" s="1"/>
  <c r="I2280" i="59"/>
  <c r="I2281" i="59" s="1"/>
  <c r="I2282" i="59" s="1"/>
  <c r="J2280" i="59"/>
  <c r="J2281" i="59"/>
  <c r="I2279" i="59"/>
  <c r="J2279" i="59"/>
  <c r="J2277" i="59"/>
  <c r="J2274" i="59"/>
  <c r="L2271" i="59"/>
  <c r="L2272" i="59" s="1"/>
  <c r="L2273" i="59" s="1"/>
  <c r="L2274" i="59" s="1"/>
  <c r="L2275" i="59" s="1"/>
  <c r="L2276" i="59" s="1"/>
  <c r="L2277" i="59" s="1"/>
  <c r="L2278" i="59" s="1"/>
  <c r="L2279" i="59" s="1"/>
  <c r="L2280" i="59" s="1"/>
  <c r="L2281" i="59" s="1"/>
  <c r="L2282" i="59" s="1"/>
  <c r="L2283" i="59" s="1"/>
  <c r="L2284" i="59" s="1"/>
  <c r="L2285" i="59" s="1"/>
  <c r="L2286" i="59" s="1"/>
  <c r="L2287" i="59" s="1"/>
  <c r="L2288" i="59" s="1"/>
  <c r="L2289" i="59" s="1"/>
  <c r="L2290" i="59" s="1"/>
  <c r="L2291" i="59" s="1"/>
  <c r="L2292" i="59" s="1"/>
  <c r="L2293" i="59" s="1"/>
  <c r="L2294" i="59" s="1"/>
  <c r="L2295" i="59" s="1"/>
  <c r="L2296" i="59" s="1"/>
  <c r="L2297" i="59" s="1"/>
  <c r="L2298" i="59" s="1"/>
  <c r="L2299" i="59" s="1"/>
  <c r="L2300" i="59" s="1"/>
  <c r="L2301" i="59" s="1"/>
  <c r="L2302" i="59" s="1"/>
  <c r="L2303" i="59" s="1"/>
  <c r="L2304" i="59" s="1"/>
  <c r="L2305" i="59" s="1"/>
  <c r="L2306" i="59" s="1"/>
  <c r="L2307" i="59" s="1"/>
  <c r="L2308" i="59" s="1"/>
  <c r="L2309" i="59" s="1"/>
  <c r="L2310" i="59" s="1"/>
  <c r="L2311" i="59" s="1"/>
  <c r="L2312" i="59" s="1"/>
  <c r="L2313" i="59" s="1"/>
  <c r="L2314" i="59" s="1"/>
  <c r="L2315" i="59" s="1"/>
  <c r="L2316" i="59" s="1"/>
  <c r="L2317" i="59" s="1"/>
  <c r="L2318" i="59" s="1"/>
  <c r="L2319" i="59" s="1"/>
  <c r="L2320" i="59" s="1"/>
  <c r="L2321" i="59" s="1"/>
  <c r="J2271" i="59"/>
  <c r="I2271" i="59"/>
  <c r="I2272" i="59" s="1"/>
  <c r="J2272" i="59"/>
  <c r="J2270" i="59"/>
  <c r="I2266" i="59"/>
  <c r="I2267" i="59" s="1"/>
  <c r="J2266" i="59"/>
  <c r="J2267" i="59"/>
  <c r="J2265" i="59"/>
  <c r="J2263" i="59"/>
  <c r="I2261" i="59"/>
  <c r="I2262" i="59" s="1"/>
  <c r="I2263" i="59" s="1"/>
  <c r="I2264" i="59" s="1"/>
  <c r="I2265" i="59" s="1"/>
  <c r="J2261" i="59"/>
  <c r="K2261" i="59"/>
  <c r="K2262" i="59" s="1"/>
  <c r="K2263" i="59" s="1"/>
  <c r="K2264" i="59" s="1"/>
  <c r="K2265" i="59" s="1"/>
  <c r="K2266" i="59" s="1"/>
  <c r="K2267" i="59" s="1"/>
  <c r="K2268" i="59" s="1"/>
  <c r="K2269" i="59" s="1"/>
  <c r="K2270" i="59" s="1"/>
  <c r="K2271" i="59" s="1"/>
  <c r="K2272" i="59" s="1"/>
  <c r="J2258" i="59"/>
  <c r="J2256" i="59"/>
  <c r="J2254" i="59"/>
  <c r="I2252" i="59"/>
  <c r="I2253" i="59" s="1"/>
  <c r="I2254" i="59" s="1"/>
  <c r="J2252" i="59"/>
  <c r="J2250" i="59"/>
  <c r="J2248" i="59"/>
  <c r="J2246" i="59"/>
  <c r="I2246" i="59"/>
  <c r="I2247" i="59" s="1"/>
  <c r="I2248" i="59" s="1"/>
  <c r="I2249" i="59" s="1"/>
  <c r="I2250" i="59" s="1"/>
  <c r="I2251" i="59" s="1"/>
  <c r="J2244" i="59"/>
  <c r="J2242" i="59"/>
  <c r="J2240" i="59"/>
  <c r="I2240" i="59"/>
  <c r="I2241" i="59" s="1"/>
  <c r="I2242" i="59" s="1"/>
  <c r="I2243" i="59" s="1"/>
  <c r="I2244" i="59" s="1"/>
  <c r="I2245" i="59" s="1"/>
  <c r="J2237" i="59"/>
  <c r="J2238" i="59"/>
  <c r="J2236" i="59"/>
  <c r="K2234" i="59"/>
  <c r="K2235" i="59" s="1"/>
  <c r="K2236" i="59" s="1"/>
  <c r="K2237" i="59" s="1"/>
  <c r="K2238" i="59" s="1"/>
  <c r="K2239" i="59" s="1"/>
  <c r="K2240" i="59" s="1"/>
  <c r="K2241" i="59" s="1"/>
  <c r="K2242" i="59" s="1"/>
  <c r="K2243" i="59" s="1"/>
  <c r="K2244" i="59" s="1"/>
  <c r="K2245" i="59" s="1"/>
  <c r="K2246" i="59" s="1"/>
  <c r="K2247" i="59" s="1"/>
  <c r="K2248" i="59" s="1"/>
  <c r="K2249" i="59" s="1"/>
  <c r="K2250" i="59" s="1"/>
  <c r="K2251" i="59" s="1"/>
  <c r="K2252" i="59" s="1"/>
  <c r="K2253" i="59" s="1"/>
  <c r="K2254" i="59" s="1"/>
  <c r="K2255" i="59" s="1"/>
  <c r="K2256" i="59" s="1"/>
  <c r="K2257" i="59" s="1"/>
  <c r="K2258" i="59" s="1"/>
  <c r="K2259" i="59" s="1"/>
  <c r="J2234" i="59"/>
  <c r="J2232" i="59"/>
  <c r="J2230" i="59"/>
  <c r="I2228" i="59"/>
  <c r="I2229" i="59" s="1"/>
  <c r="I2230" i="59" s="1"/>
  <c r="I2231" i="59" s="1"/>
  <c r="I2232" i="59" s="1"/>
  <c r="J2228" i="59"/>
  <c r="J2226" i="59"/>
  <c r="I2224" i="59"/>
  <c r="I2225" i="59" s="1"/>
  <c r="I2226" i="59" s="1"/>
  <c r="I2227" i="59" s="1"/>
  <c r="J2224" i="59"/>
  <c r="I2221" i="59"/>
  <c r="I2222" i="59" s="1"/>
  <c r="I2223" i="59" s="1"/>
  <c r="J2222" i="59"/>
  <c r="J2219" i="59"/>
  <c r="J2220" i="59"/>
  <c r="J2218" i="59"/>
  <c r="K2216" i="59"/>
  <c r="K2217" i="59" s="1"/>
  <c r="K2218" i="59" s="1"/>
  <c r="K2219" i="59" s="1"/>
  <c r="K2220" i="59" s="1"/>
  <c r="K2221" i="59" s="1"/>
  <c r="K2222" i="59" s="1"/>
  <c r="K2223" i="59" s="1"/>
  <c r="K2224" i="59" s="1"/>
  <c r="K2225" i="59" s="1"/>
  <c r="K2226" i="59" s="1"/>
  <c r="K2227" i="59" s="1"/>
  <c r="K2228" i="59" s="1"/>
  <c r="K2229" i="59" s="1"/>
  <c r="K2230" i="59" s="1"/>
  <c r="K2231" i="59" s="1"/>
  <c r="K2232" i="59" s="1"/>
  <c r="J2216" i="59"/>
  <c r="I2216" i="59"/>
  <c r="J2214" i="59"/>
  <c r="J2212" i="59"/>
  <c r="I2212" i="59"/>
  <c r="I2213" i="59" s="1"/>
  <c r="I2214" i="59" s="1"/>
  <c r="I2215" i="59" s="1"/>
  <c r="J2210" i="59"/>
  <c r="J2207" i="59"/>
  <c r="J2205" i="59"/>
  <c r="J2208" i="59"/>
  <c r="J2204" i="59"/>
  <c r="I2204" i="59"/>
  <c r="I2205" i="59" s="1"/>
  <c r="I2206" i="59" s="1"/>
  <c r="I2207" i="59" s="1"/>
  <c r="I2208" i="59" s="1"/>
  <c r="I2209" i="59" s="1"/>
  <c r="I2210" i="59" s="1"/>
  <c r="I2211" i="59" s="1"/>
  <c r="J2202" i="59"/>
  <c r="J2200" i="59"/>
  <c r="I2198" i="59"/>
  <c r="I2199" i="59" s="1"/>
  <c r="I2200" i="59" s="1"/>
  <c r="J2198" i="59"/>
  <c r="J2196" i="59"/>
  <c r="K2194" i="59"/>
  <c r="K2195" i="59" s="1"/>
  <c r="K2196" i="59" s="1"/>
  <c r="K2197" i="59" s="1"/>
  <c r="K2198" i="59" s="1"/>
  <c r="K2199" i="59" s="1"/>
  <c r="K2200" i="59" s="1"/>
  <c r="K2201" i="59" s="1"/>
  <c r="K2202" i="59" s="1"/>
  <c r="K2203" i="59" s="1"/>
  <c r="K2204" i="59" s="1"/>
  <c r="K2205" i="59" s="1"/>
  <c r="K2206" i="59" s="1"/>
  <c r="K2207" i="59" s="1"/>
  <c r="K2208" i="59" s="1"/>
  <c r="K2209" i="59" s="1"/>
  <c r="K2210" i="59" s="1"/>
  <c r="K2211" i="59" s="1"/>
  <c r="K2212" i="59" s="1"/>
  <c r="K2213" i="59" s="1"/>
  <c r="K2214" i="59" s="1"/>
  <c r="K2215" i="59" s="1"/>
  <c r="J2194" i="59"/>
  <c r="J2192" i="59"/>
  <c r="J2190" i="59"/>
  <c r="J2188" i="59"/>
  <c r="I2188" i="59"/>
  <c r="I2189" i="59" s="1"/>
  <c r="I2190" i="59" s="1"/>
  <c r="I2191" i="59" s="1"/>
  <c r="I2192" i="59" s="1"/>
  <c r="I2185" i="59"/>
  <c r="I2186" i="59" s="1"/>
  <c r="I2187" i="59" s="1"/>
  <c r="J2186" i="59"/>
  <c r="J2184" i="59"/>
  <c r="J2181" i="59"/>
  <c r="J2182" i="59"/>
  <c r="I2180" i="59"/>
  <c r="I2181" i="59" s="1"/>
  <c r="I2182" i="59" s="1"/>
  <c r="I2183" i="59" s="1"/>
  <c r="I2184" i="59" s="1"/>
  <c r="J2180" i="59"/>
  <c r="J2178" i="59"/>
  <c r="J2176" i="59"/>
  <c r="I2174" i="59"/>
  <c r="I2175" i="59" s="1"/>
  <c r="I2176" i="59" s="1"/>
  <c r="I2177" i="59" s="1"/>
  <c r="I2178" i="59" s="1"/>
  <c r="I2179" i="59" s="1"/>
  <c r="J2174" i="59"/>
  <c r="L2174" i="59"/>
  <c r="L2175" i="59" s="1"/>
  <c r="L2176" i="59" s="1"/>
  <c r="L2177" i="59" s="1"/>
  <c r="L2178" i="59" s="1"/>
  <c r="L2179" i="59" s="1"/>
  <c r="L2180" i="59" s="1"/>
  <c r="L2181" i="59" s="1"/>
  <c r="L2182" i="59" s="1"/>
  <c r="L2183" i="59" s="1"/>
  <c r="L2184" i="59" s="1"/>
  <c r="L2185" i="59" s="1"/>
  <c r="L2186" i="59" s="1"/>
  <c r="L2187" i="59" s="1"/>
  <c r="L2188" i="59" s="1"/>
  <c r="L2189" i="59" s="1"/>
  <c r="L2190" i="59" s="1"/>
  <c r="L2191" i="59" s="1"/>
  <c r="L2192" i="59" s="1"/>
  <c r="L2193" i="59" s="1"/>
  <c r="L2194" i="59" s="1"/>
  <c r="L2195" i="59" s="1"/>
  <c r="L2196" i="59" s="1"/>
  <c r="L2197" i="59" s="1"/>
  <c r="L2198" i="59" s="1"/>
  <c r="L2199" i="59" s="1"/>
  <c r="L2200" i="59" s="1"/>
  <c r="L2201" i="59" s="1"/>
  <c r="L2202" i="59" s="1"/>
  <c r="L2203" i="59" s="1"/>
  <c r="L2204" i="59" s="1"/>
  <c r="L2205" i="59" s="1"/>
  <c r="L2206" i="59" s="1"/>
  <c r="L2207" i="59" s="1"/>
  <c r="L2208" i="59" s="1"/>
  <c r="L2209" i="59" s="1"/>
  <c r="L2210" i="59" s="1"/>
  <c r="L2211" i="59" s="1"/>
  <c r="L2212" i="59" s="1"/>
  <c r="L2213" i="59" s="1"/>
  <c r="L2214" i="59" s="1"/>
  <c r="L2215" i="59" s="1"/>
  <c r="L2216" i="59" s="1"/>
  <c r="L2217" i="59" s="1"/>
  <c r="L2218" i="59" s="1"/>
  <c r="L2219" i="59" s="1"/>
  <c r="L2220" i="59" s="1"/>
  <c r="L2221" i="59" s="1"/>
  <c r="L2222" i="59" s="1"/>
  <c r="L2223" i="59" s="1"/>
  <c r="L2224" i="59" s="1"/>
  <c r="L2225" i="59" s="1"/>
  <c r="L2226" i="59" s="1"/>
  <c r="L2227" i="59" s="1"/>
  <c r="L2228" i="59" s="1"/>
  <c r="L2229" i="59" s="1"/>
  <c r="L2230" i="59" s="1"/>
  <c r="L2231" i="59" s="1"/>
  <c r="L2232" i="59" s="1"/>
  <c r="L2233" i="59" s="1"/>
  <c r="L2234" i="59" s="1"/>
  <c r="L2235" i="59" s="1"/>
  <c r="L2236" i="59" s="1"/>
  <c r="L2237" i="59" s="1"/>
  <c r="L2238" i="59" s="1"/>
  <c r="L2239" i="59" s="1"/>
  <c r="L2240" i="59" s="1"/>
  <c r="L2241" i="59" s="1"/>
  <c r="L2242" i="59" s="1"/>
  <c r="L2243" i="59" s="1"/>
  <c r="L2244" i="59" s="1"/>
  <c r="L2245" i="59" s="1"/>
  <c r="L2246" i="59" s="1"/>
  <c r="L2247" i="59" s="1"/>
  <c r="L2248" i="59" s="1"/>
  <c r="L2249" i="59" s="1"/>
  <c r="L2250" i="59" s="1"/>
  <c r="L2251" i="59" s="1"/>
  <c r="L2252" i="59" s="1"/>
  <c r="L2253" i="59" s="1"/>
  <c r="L2254" i="59" s="1"/>
  <c r="L2255" i="59" s="1"/>
  <c r="L2256" i="59" s="1"/>
  <c r="L2257" i="59" s="1"/>
  <c r="L2258" i="59" s="1"/>
  <c r="L2259" i="59" s="1"/>
  <c r="L2260" i="59" s="1"/>
  <c r="L2261" i="59" s="1"/>
  <c r="L2262" i="59" s="1"/>
  <c r="L2263" i="59" s="1"/>
  <c r="L2264" i="59" s="1"/>
  <c r="L2265" i="59" s="1"/>
  <c r="L2266" i="59" s="1"/>
  <c r="L2267" i="59" s="1"/>
  <c r="L2268" i="59" s="1"/>
  <c r="L2269" i="59" s="1"/>
  <c r="L2270" i="59" s="1"/>
  <c r="J2171" i="59"/>
  <c r="I2171" i="59"/>
  <c r="I2172" i="59" s="1"/>
  <c r="I2173" i="59" s="1"/>
  <c r="K2171" i="59"/>
  <c r="K2172" i="59" s="1"/>
  <c r="K2173" i="59" s="1"/>
  <c r="K2174" i="59" s="1"/>
  <c r="K2175" i="59" s="1"/>
  <c r="K2176" i="59" s="1"/>
  <c r="K2177" i="59" s="1"/>
  <c r="K2178" i="59" s="1"/>
  <c r="K2179" i="59" s="1"/>
  <c r="K2180" i="59" s="1"/>
  <c r="K2181" i="59" s="1"/>
  <c r="K2182" i="59" s="1"/>
  <c r="K2183" i="59" s="1"/>
  <c r="K2184" i="59" s="1"/>
  <c r="K2185" i="59" s="1"/>
  <c r="K2186" i="59" s="1"/>
  <c r="K2187" i="59" s="1"/>
  <c r="K2188" i="59" s="1"/>
  <c r="K2189" i="59" s="1"/>
  <c r="K2190" i="59" s="1"/>
  <c r="K2191" i="59" s="1"/>
  <c r="K2192" i="59" s="1"/>
  <c r="J2169" i="59"/>
  <c r="J2167" i="59"/>
  <c r="J2165" i="59"/>
  <c r="J2163" i="59"/>
  <c r="I2161" i="59"/>
  <c r="I2162" i="59" s="1"/>
  <c r="I2163" i="59" s="1"/>
  <c r="J2161" i="59"/>
  <c r="J2159" i="59"/>
  <c r="K2157" i="59"/>
  <c r="K2158" i="59" s="1"/>
  <c r="K2159" i="59" s="1"/>
  <c r="K2160" i="59" s="1"/>
  <c r="K2161" i="59" s="1"/>
  <c r="K2162" i="59" s="1"/>
  <c r="K2163" i="59" s="1"/>
  <c r="K2164" i="59" s="1"/>
  <c r="K2165" i="59" s="1"/>
  <c r="K2166" i="59" s="1"/>
  <c r="K2167" i="59" s="1"/>
  <c r="K2168" i="59" s="1"/>
  <c r="K2169" i="59" s="1"/>
  <c r="K2170" i="59" s="1"/>
  <c r="J2157" i="59"/>
  <c r="I2157" i="59"/>
  <c r="I2158" i="59" s="1"/>
  <c r="I2159" i="59" s="1"/>
  <c r="I2155" i="59"/>
  <c r="I2156" i="59" s="1"/>
  <c r="J2155" i="59"/>
  <c r="I2153" i="59"/>
  <c r="J2153" i="59"/>
  <c r="J2151" i="59"/>
  <c r="J2149" i="59"/>
  <c r="I2149" i="59"/>
  <c r="I2150" i="59" s="1"/>
  <c r="I2151" i="59" s="1"/>
  <c r="I2152" i="59" s="1"/>
  <c r="J2147" i="59"/>
  <c r="J2145" i="59"/>
  <c r="J2143" i="59"/>
  <c r="I2143" i="59"/>
  <c r="I2144" i="59" s="1"/>
  <c r="I2145" i="59" s="1"/>
  <c r="I2146" i="59" s="1"/>
  <c r="I2147" i="59" s="1"/>
  <c r="I2141" i="59"/>
  <c r="I2142" i="59" s="1"/>
  <c r="J2141" i="59"/>
  <c r="K2141" i="59"/>
  <c r="K2142" i="59" s="1"/>
  <c r="K2143" i="59" s="1"/>
  <c r="K2144" i="59" s="1"/>
  <c r="K2145" i="59" s="1"/>
  <c r="K2146" i="59" s="1"/>
  <c r="K2147" i="59" s="1"/>
  <c r="K2148" i="59" s="1"/>
  <c r="K2149" i="59" s="1"/>
  <c r="K2150" i="59" s="1"/>
  <c r="K2151" i="59" s="1"/>
  <c r="K2152" i="59" s="1"/>
  <c r="K2153" i="59" s="1"/>
  <c r="K2154" i="59" s="1"/>
  <c r="K2155" i="59" s="1"/>
  <c r="K2156" i="59" s="1"/>
  <c r="I2139" i="59"/>
  <c r="J2139" i="59"/>
  <c r="J2137" i="59"/>
  <c r="J2135" i="59"/>
  <c r="J2132" i="59"/>
  <c r="I2130" i="59"/>
  <c r="I2131" i="59" s="1"/>
  <c r="I2132" i="59" s="1"/>
  <c r="I2133" i="59" s="1"/>
  <c r="I2134" i="59" s="1"/>
  <c r="I2135" i="59" s="1"/>
  <c r="J2130" i="59"/>
  <c r="J2128" i="59"/>
  <c r="I2126" i="59"/>
  <c r="J2126" i="59"/>
  <c r="J2123" i="59"/>
  <c r="J2120" i="59"/>
  <c r="I2120" i="59"/>
  <c r="I2121" i="59" s="1"/>
  <c r="I2122" i="59" s="1"/>
  <c r="I2123" i="59" s="1"/>
  <c r="J2121" i="59"/>
  <c r="J2119" i="59"/>
  <c r="I2117" i="59"/>
  <c r="I2118" i="59" s="1"/>
  <c r="I2119" i="59" s="1"/>
  <c r="J2117" i="59"/>
  <c r="K2115" i="59"/>
  <c r="K2116" i="59" s="1"/>
  <c r="K2117" i="59" s="1"/>
  <c r="K2118" i="59" s="1"/>
  <c r="K2119" i="59" s="1"/>
  <c r="K2120" i="59" s="1"/>
  <c r="K2121" i="59" s="1"/>
  <c r="K2122" i="59" s="1"/>
  <c r="K2123" i="59" s="1"/>
  <c r="K2124" i="59" s="1"/>
  <c r="K2125" i="59" s="1"/>
  <c r="K2126" i="59" s="1"/>
  <c r="I2115" i="59"/>
  <c r="I2116" i="59" s="1"/>
  <c r="J2115" i="59"/>
  <c r="L2115" i="59"/>
  <c r="L2116" i="59" s="1"/>
  <c r="L2117" i="59" s="1"/>
  <c r="L2118" i="59" s="1"/>
  <c r="L2119" i="59" s="1"/>
  <c r="L2120" i="59" s="1"/>
  <c r="L2121" i="59" s="1"/>
  <c r="L2122" i="59" s="1"/>
  <c r="L2123" i="59" s="1"/>
  <c r="L2124" i="59" s="1"/>
  <c r="L2125" i="59" s="1"/>
  <c r="L2126" i="59" s="1"/>
  <c r="L2127" i="59" s="1"/>
  <c r="L2128" i="59" s="1"/>
  <c r="L2129" i="59" s="1"/>
  <c r="L2130" i="59" s="1"/>
  <c r="L2131" i="59" s="1"/>
  <c r="L2132" i="59" s="1"/>
  <c r="L2133" i="59" s="1"/>
  <c r="L2134" i="59" s="1"/>
  <c r="L2135" i="59" s="1"/>
  <c r="L2136" i="59" s="1"/>
  <c r="L2137" i="59" s="1"/>
  <c r="L2138" i="59" s="1"/>
  <c r="L2139" i="59" s="1"/>
  <c r="L2140" i="59" s="1"/>
  <c r="L2141" i="59" s="1"/>
  <c r="L2142" i="59" s="1"/>
  <c r="L2143" i="59" s="1"/>
  <c r="L2144" i="59" s="1"/>
  <c r="L2145" i="59" s="1"/>
  <c r="L2146" i="59" s="1"/>
  <c r="L2147" i="59" s="1"/>
  <c r="L2148" i="59" s="1"/>
  <c r="L2149" i="59" s="1"/>
  <c r="L2150" i="59" s="1"/>
  <c r="L2151" i="59" s="1"/>
  <c r="L2152" i="59" s="1"/>
  <c r="L2153" i="59" s="1"/>
  <c r="L2154" i="59" s="1"/>
  <c r="L2155" i="59" s="1"/>
  <c r="L2156" i="59" s="1"/>
  <c r="L2157" i="59" s="1"/>
  <c r="L2158" i="59" s="1"/>
  <c r="L2159" i="59" s="1"/>
  <c r="L2160" i="59" s="1"/>
  <c r="L2161" i="59" s="1"/>
  <c r="L2162" i="59" s="1"/>
  <c r="L2163" i="59" s="1"/>
  <c r="L2164" i="59" s="1"/>
  <c r="L2165" i="59" s="1"/>
  <c r="L2166" i="59" s="1"/>
  <c r="L2167" i="59" s="1"/>
  <c r="L2168" i="59" s="1"/>
  <c r="L2169" i="59" s="1"/>
  <c r="L2170" i="59" s="1"/>
  <c r="L2171" i="59" s="1"/>
  <c r="L2172" i="59" s="1"/>
  <c r="L2173" i="59" s="1"/>
  <c r="I2113" i="59"/>
  <c r="J2113" i="59"/>
  <c r="J2110" i="59"/>
  <c r="I2110" i="59"/>
  <c r="I2111" i="59" s="1"/>
  <c r="I2112" i="59" s="1"/>
  <c r="J2111" i="59"/>
  <c r="J2109" i="59"/>
  <c r="J2107" i="59"/>
  <c r="I2107" i="59"/>
  <c r="I2108" i="59" s="1"/>
  <c r="I2109" i="59" s="1"/>
  <c r="I2105" i="59"/>
  <c r="I2106" i="59" s="1"/>
  <c r="K2105" i="59"/>
  <c r="K2106" i="59" s="1"/>
  <c r="K2107" i="59" s="1"/>
  <c r="K2108" i="59" s="1"/>
  <c r="K2109" i="59" s="1"/>
  <c r="K2110" i="59" s="1"/>
  <c r="K2111" i="59" s="1"/>
  <c r="K2112" i="59" s="1"/>
  <c r="K2113" i="59" s="1"/>
  <c r="K2114" i="59" s="1"/>
  <c r="J2105" i="59"/>
  <c r="I2103" i="59"/>
  <c r="I2104" i="59" s="1"/>
  <c r="J2103" i="59"/>
  <c r="I2100" i="59"/>
  <c r="I2101" i="59" s="1"/>
  <c r="I2102" i="59" s="1"/>
  <c r="J2101" i="59"/>
  <c r="J2099" i="59"/>
  <c r="J2097" i="59"/>
  <c r="J2095" i="59"/>
  <c r="J2093" i="59"/>
  <c r="J2090" i="59"/>
  <c r="I2090" i="59"/>
  <c r="I2091" i="59" s="1"/>
  <c r="I2092" i="59" s="1"/>
  <c r="I2093" i="59" s="1"/>
  <c r="K2090" i="59"/>
  <c r="K2091" i="59" s="1"/>
  <c r="K2092" i="59" s="1"/>
  <c r="K2093" i="59" s="1"/>
  <c r="K2094" i="59" s="1"/>
  <c r="K2095" i="59" s="1"/>
  <c r="K2096" i="59" s="1"/>
  <c r="K2097" i="59" s="1"/>
  <c r="K2098" i="59" s="1"/>
  <c r="K2099" i="59" s="1"/>
  <c r="K2100" i="59" s="1"/>
  <c r="K2101" i="59" s="1"/>
  <c r="K2102" i="59" s="1"/>
  <c r="K2103" i="59" s="1"/>
  <c r="K2104" i="59" s="1"/>
  <c r="J2091" i="59"/>
  <c r="J2089" i="59"/>
  <c r="J2087" i="59"/>
  <c r="I2085" i="59"/>
  <c r="I2086" i="59" s="1"/>
  <c r="I2087" i="59" s="1"/>
  <c r="I2088" i="59" s="1"/>
  <c r="I2089" i="59" s="1"/>
  <c r="J2085" i="59"/>
  <c r="J2083" i="59"/>
  <c r="I2083" i="59"/>
  <c r="I2084" i="59" s="1"/>
  <c r="J2081" i="59"/>
  <c r="J2079" i="59"/>
  <c r="J2077" i="59"/>
  <c r="I2077" i="59"/>
  <c r="I2078" i="59" s="1"/>
  <c r="I2079" i="59" s="1"/>
  <c r="I2080" i="59" s="1"/>
  <c r="I2081" i="59" s="1"/>
  <c r="I2075" i="59"/>
  <c r="I2076" i="59" s="1"/>
  <c r="J2075" i="59"/>
  <c r="J2073" i="59"/>
  <c r="K2071" i="59"/>
  <c r="K2072" i="59" s="1"/>
  <c r="K2073" i="59" s="1"/>
  <c r="K2074" i="59" s="1"/>
  <c r="K2075" i="59" s="1"/>
  <c r="K2076" i="59" s="1"/>
  <c r="K2077" i="59" s="1"/>
  <c r="K2078" i="59" s="1"/>
  <c r="K2079" i="59" s="1"/>
  <c r="K2080" i="59" s="1"/>
  <c r="K2081" i="59" s="1"/>
  <c r="K2082" i="59" s="1"/>
  <c r="K2083" i="59" s="1"/>
  <c r="K2084" i="59" s="1"/>
  <c r="K2085" i="59" s="1"/>
  <c r="K2086" i="59" s="1"/>
  <c r="K2087" i="59" s="1"/>
  <c r="K2088" i="59" s="1"/>
  <c r="K2089" i="59" s="1"/>
  <c r="I2071" i="59"/>
  <c r="I2072" i="59" s="1"/>
  <c r="I2073" i="59" s="1"/>
  <c r="I2074" i="59" s="1"/>
  <c r="J2071" i="59"/>
  <c r="I2069" i="59"/>
  <c r="I2070" i="59" s="1"/>
  <c r="J2069" i="59"/>
  <c r="J2067" i="59"/>
  <c r="I2067" i="59"/>
  <c r="I2068" i="59" s="1"/>
  <c r="I2065" i="59"/>
  <c r="I2066" i="59" s="1"/>
  <c r="J2065" i="59"/>
  <c r="J2063" i="59"/>
  <c r="I2063" i="59"/>
  <c r="I2064" i="59" s="1"/>
  <c r="J2061" i="59"/>
  <c r="I2059" i="59"/>
  <c r="I2060" i="59" s="1"/>
  <c r="I2061" i="59" s="1"/>
  <c r="I2062" i="59" s="1"/>
  <c r="J2059" i="59"/>
  <c r="K2059" i="59"/>
  <c r="K2060" i="59" s="1"/>
  <c r="K2061" i="59" s="1"/>
  <c r="K2062" i="59" s="1"/>
  <c r="K2063" i="59" s="1"/>
  <c r="K2064" i="59" s="1"/>
  <c r="K2065" i="59" s="1"/>
  <c r="K2066" i="59" s="1"/>
  <c r="K2067" i="59" s="1"/>
  <c r="K2068" i="59" s="1"/>
  <c r="K2069" i="59" s="1"/>
  <c r="K2070" i="59" s="1"/>
  <c r="I2056" i="59"/>
  <c r="I2057" i="59" s="1"/>
  <c r="J2056" i="59"/>
  <c r="L2057" i="59"/>
  <c r="L2058" i="59" s="1"/>
  <c r="L2059" i="59" s="1"/>
  <c r="L2060" i="59" s="1"/>
  <c r="L2061" i="59" s="1"/>
  <c r="L2062" i="59" s="1"/>
  <c r="L2063" i="59" s="1"/>
  <c r="L2064" i="59" s="1"/>
  <c r="L2065" i="59" s="1"/>
  <c r="L2066" i="59" s="1"/>
  <c r="L2067" i="59" s="1"/>
  <c r="L2068" i="59" s="1"/>
  <c r="L2069" i="59" s="1"/>
  <c r="L2070" i="59" s="1"/>
  <c r="L2071" i="59" s="1"/>
  <c r="L2072" i="59" s="1"/>
  <c r="L2073" i="59" s="1"/>
  <c r="L2074" i="59" s="1"/>
  <c r="L2075" i="59" s="1"/>
  <c r="L2076" i="59" s="1"/>
  <c r="L2077" i="59" s="1"/>
  <c r="L2078" i="59" s="1"/>
  <c r="L2079" i="59" s="1"/>
  <c r="L2080" i="59" s="1"/>
  <c r="L2081" i="59" s="1"/>
  <c r="L2082" i="59" s="1"/>
  <c r="L2083" i="59" s="1"/>
  <c r="L2084" i="59" s="1"/>
  <c r="L2085" i="59" s="1"/>
  <c r="L2086" i="59" s="1"/>
  <c r="L2087" i="59" s="1"/>
  <c r="L2088" i="59" s="1"/>
  <c r="L2089" i="59" s="1"/>
  <c r="L2090" i="59" s="1"/>
  <c r="L2091" i="59" s="1"/>
  <c r="L2092" i="59" s="1"/>
  <c r="L2093" i="59" s="1"/>
  <c r="L2094" i="59" s="1"/>
  <c r="L2095" i="59" s="1"/>
  <c r="L2096" i="59" s="1"/>
  <c r="L2097" i="59" s="1"/>
  <c r="L2098" i="59" s="1"/>
  <c r="L2099" i="59" s="1"/>
  <c r="L2100" i="59" s="1"/>
  <c r="L2101" i="59" s="1"/>
  <c r="L2102" i="59" s="1"/>
  <c r="L2103" i="59" s="1"/>
  <c r="L2104" i="59" s="1"/>
  <c r="L2105" i="59" s="1"/>
  <c r="L2106" i="59" s="1"/>
  <c r="L2107" i="59" s="1"/>
  <c r="L2108" i="59" s="1"/>
  <c r="L2109" i="59" s="1"/>
  <c r="L2110" i="59" s="1"/>
  <c r="L2111" i="59" s="1"/>
  <c r="L2112" i="59" s="1"/>
  <c r="L2113" i="59" s="1"/>
  <c r="L2114" i="59" s="1"/>
  <c r="J2057" i="59"/>
  <c r="J2055" i="59"/>
  <c r="J2053" i="59"/>
  <c r="I2053" i="59"/>
  <c r="I2054" i="59" s="1"/>
  <c r="I2055" i="59" s="1"/>
  <c r="I2051" i="59"/>
  <c r="I2052" i="59" s="1"/>
  <c r="J2051" i="59"/>
  <c r="J2049" i="59"/>
  <c r="J2046" i="59"/>
  <c r="J2047" i="59"/>
  <c r="I2045" i="59"/>
  <c r="I2046" i="59" s="1"/>
  <c r="I2047" i="59" s="1"/>
  <c r="I2048" i="59" s="1"/>
  <c r="I2049" i="59" s="1"/>
  <c r="K2045" i="59"/>
  <c r="K2046" i="59" s="1"/>
  <c r="K2047" i="59" s="1"/>
  <c r="K2048" i="59" s="1"/>
  <c r="K2049" i="59" s="1"/>
  <c r="K2050" i="59" s="1"/>
  <c r="K2051" i="59" s="1"/>
  <c r="K2052" i="59" s="1"/>
  <c r="K2053" i="59" s="1"/>
  <c r="K2054" i="59" s="1"/>
  <c r="K2055" i="59" s="1"/>
  <c r="K2056" i="59" s="1"/>
  <c r="K2057" i="59" s="1"/>
  <c r="K2058" i="59" s="1"/>
  <c r="J2045" i="59"/>
  <c r="I2043" i="59"/>
  <c r="I2044" i="59" s="1"/>
  <c r="J2043" i="59"/>
  <c r="I2041" i="59"/>
  <c r="I2042" i="59" s="1"/>
  <c r="J2041" i="59"/>
  <c r="J2039" i="59"/>
  <c r="J2037" i="59"/>
  <c r="I2035" i="59"/>
  <c r="J2035" i="59"/>
  <c r="J2033" i="59"/>
  <c r="I2031" i="59"/>
  <c r="I2032" i="59" s="1"/>
  <c r="I2033" i="59" s="1"/>
  <c r="I2034" i="59" s="1"/>
  <c r="J2031" i="59"/>
  <c r="J2029" i="59"/>
  <c r="I2026" i="59"/>
  <c r="I2027" i="59" s="1"/>
  <c r="I2028" i="59" s="1"/>
  <c r="I2029" i="59" s="1"/>
  <c r="J2026" i="59"/>
  <c r="J2024" i="59"/>
  <c r="J2022" i="59"/>
  <c r="J2020" i="59"/>
  <c r="J2018" i="59"/>
  <c r="J2016" i="59"/>
  <c r="J2014" i="59"/>
  <c r="I2014" i="59"/>
  <c r="I2015" i="59" s="1"/>
  <c r="I2016" i="59" s="1"/>
  <c r="I2017" i="59" s="1"/>
  <c r="I2018" i="59" s="1"/>
  <c r="K2012" i="59"/>
  <c r="K2013" i="59" s="1"/>
  <c r="K2014" i="59" s="1"/>
  <c r="K2015" i="59" s="1"/>
  <c r="K2016" i="59" s="1"/>
  <c r="K2017" i="59" s="1"/>
  <c r="K2018" i="59" s="1"/>
  <c r="K2019" i="59" s="1"/>
  <c r="K2020" i="59" s="1"/>
  <c r="K2021" i="59" s="1"/>
  <c r="K2022" i="59" s="1"/>
  <c r="K2023" i="59" s="1"/>
  <c r="K2024" i="59" s="1"/>
  <c r="K2025" i="59" s="1"/>
  <c r="K2026" i="59" s="1"/>
  <c r="K2027" i="59" s="1"/>
  <c r="K2028" i="59" s="1"/>
  <c r="K2029" i="59" s="1"/>
  <c r="I2012" i="59"/>
  <c r="I2013" i="59" s="1"/>
  <c r="J2012" i="59"/>
  <c r="J2010" i="59"/>
  <c r="J2008" i="59"/>
  <c r="J2005" i="59"/>
  <c r="I2005" i="59"/>
  <c r="I2006" i="59" s="1"/>
  <c r="I2007" i="59" s="1"/>
  <c r="I2008" i="59" s="1"/>
  <c r="I2003" i="59"/>
  <c r="I2004" i="59" s="1"/>
  <c r="J2003" i="59"/>
  <c r="J2000" i="59"/>
  <c r="J2001" i="59"/>
  <c r="J1999" i="59"/>
  <c r="J1997" i="59"/>
  <c r="J1995" i="59"/>
  <c r="J1993" i="59"/>
  <c r="I1993" i="59"/>
  <c r="I1994" i="59" s="1"/>
  <c r="I1995" i="59" s="1"/>
  <c r="I1996" i="59" s="1"/>
  <c r="I1997" i="59" s="1"/>
  <c r="J1991" i="59"/>
  <c r="I1989" i="59"/>
  <c r="I1990" i="59" s="1"/>
  <c r="I1991" i="59" s="1"/>
  <c r="J1989" i="59"/>
  <c r="J1986" i="59"/>
  <c r="I1983" i="59"/>
  <c r="I1984" i="59" s="1"/>
  <c r="I1985" i="59" s="1"/>
  <c r="I1986" i="59" s="1"/>
  <c r="I1987" i="59" s="1"/>
  <c r="J1983" i="59"/>
  <c r="J1984" i="59"/>
  <c r="J1982" i="59"/>
  <c r="J1979" i="59"/>
  <c r="K1979" i="59"/>
  <c r="K1980" i="59" s="1"/>
  <c r="K1981" i="59" s="1"/>
  <c r="K1982" i="59" s="1"/>
  <c r="K1983" i="59" s="1"/>
  <c r="K1984" i="59" s="1"/>
  <c r="K1985" i="59" s="1"/>
  <c r="K1986" i="59" s="1"/>
  <c r="K1987" i="59" s="1"/>
  <c r="K1988" i="59" s="1"/>
  <c r="K1989" i="59" s="1"/>
  <c r="K1990" i="59" s="1"/>
  <c r="K1991" i="59" s="1"/>
  <c r="K1992" i="59" s="1"/>
  <c r="K1993" i="59" s="1"/>
  <c r="K1994" i="59" s="1"/>
  <c r="K1995" i="59" s="1"/>
  <c r="K1996" i="59" s="1"/>
  <c r="K1997" i="59" s="1"/>
  <c r="L1979" i="59"/>
  <c r="L1980" i="59" s="1"/>
  <c r="L1981" i="59" s="1"/>
  <c r="L1982" i="59" s="1"/>
  <c r="L1983" i="59" s="1"/>
  <c r="L1984" i="59" s="1"/>
  <c r="L1985" i="59" s="1"/>
  <c r="L1986" i="59" s="1"/>
  <c r="L1987" i="59" s="1"/>
  <c r="L1988" i="59" s="1"/>
  <c r="L1989" i="59" s="1"/>
  <c r="L1990" i="59" s="1"/>
  <c r="L1991" i="59" s="1"/>
  <c r="L1992" i="59" s="1"/>
  <c r="L1993" i="59" s="1"/>
  <c r="L1994" i="59" s="1"/>
  <c r="L1995" i="59" s="1"/>
  <c r="L1996" i="59" s="1"/>
  <c r="L1997" i="59" s="1"/>
  <c r="L1998" i="59" s="1"/>
  <c r="L1999" i="59" s="1"/>
  <c r="L2000" i="59" s="1"/>
  <c r="L2001" i="59" s="1"/>
  <c r="L2002" i="59" s="1"/>
  <c r="L2003" i="59" s="1"/>
  <c r="L2004" i="59" s="1"/>
  <c r="L2005" i="59" s="1"/>
  <c r="L2006" i="59" s="1"/>
  <c r="L2007" i="59" s="1"/>
  <c r="L2008" i="59" s="1"/>
  <c r="L2009" i="59" s="1"/>
  <c r="L2010" i="59" s="1"/>
  <c r="L2011" i="59" s="1"/>
  <c r="L2012" i="59" s="1"/>
  <c r="L2013" i="59" s="1"/>
  <c r="L2014" i="59" s="1"/>
  <c r="L2015" i="59" s="1"/>
  <c r="L2016" i="59" s="1"/>
  <c r="L2017" i="59" s="1"/>
  <c r="L2018" i="59" s="1"/>
  <c r="L2019" i="59" s="1"/>
  <c r="L2020" i="59" s="1"/>
  <c r="L2021" i="59" s="1"/>
  <c r="L2022" i="59" s="1"/>
  <c r="L2023" i="59" s="1"/>
  <c r="L2024" i="59" s="1"/>
  <c r="L2025" i="59" s="1"/>
  <c r="L2026" i="59" s="1"/>
  <c r="L2027" i="59" s="1"/>
  <c r="L2028" i="59" s="1"/>
  <c r="L2029" i="59" s="1"/>
  <c r="L2030" i="59" s="1"/>
  <c r="L2031" i="59" s="1"/>
  <c r="L2032" i="59" s="1"/>
  <c r="L2033" i="59" s="1"/>
  <c r="L2034" i="59" s="1"/>
  <c r="L2035" i="59" s="1"/>
  <c r="L2036" i="59" s="1"/>
  <c r="L2037" i="59" s="1"/>
  <c r="L2038" i="59" s="1"/>
  <c r="L2039" i="59" s="1"/>
  <c r="L2040" i="59" s="1"/>
  <c r="L2041" i="59" s="1"/>
  <c r="L2042" i="59" s="1"/>
  <c r="L2043" i="59" s="1"/>
  <c r="L2044" i="59" s="1"/>
  <c r="L2045" i="59" s="1"/>
  <c r="L2046" i="59" s="1"/>
  <c r="L2047" i="59" s="1"/>
  <c r="L2048" i="59" s="1"/>
  <c r="L2049" i="59" s="1"/>
  <c r="L2050" i="59" s="1"/>
  <c r="L2051" i="59" s="1"/>
  <c r="L2052" i="59" s="1"/>
  <c r="L2053" i="59" s="1"/>
  <c r="L2054" i="59" s="1"/>
  <c r="L2055" i="59" s="1"/>
  <c r="J1980" i="59"/>
  <c r="I1980" i="59"/>
  <c r="I1981" i="59" s="1"/>
  <c r="I1982" i="59" s="1"/>
  <c r="J1977" i="59"/>
  <c r="J1975" i="59"/>
  <c r="J1973" i="59"/>
  <c r="J1971" i="59"/>
  <c r="J1969" i="59"/>
  <c r="I1966" i="59"/>
  <c r="I1967" i="59" s="1"/>
  <c r="I1968" i="59" s="1"/>
  <c r="I1969" i="59" s="1"/>
  <c r="I1970" i="59" s="1"/>
  <c r="I1971" i="59" s="1"/>
  <c r="I1972" i="59" s="1"/>
  <c r="I1973" i="59" s="1"/>
  <c r="J1967" i="59"/>
  <c r="J1965" i="59"/>
  <c r="J1963" i="59"/>
  <c r="I1963" i="59"/>
  <c r="I1964" i="59" s="1"/>
  <c r="I1965" i="59" s="1"/>
  <c r="J1961" i="59"/>
  <c r="J1958" i="59"/>
  <c r="I1955" i="59"/>
  <c r="I1956" i="59" s="1"/>
  <c r="I1957" i="59" s="1"/>
  <c r="I1958" i="59" s="1"/>
  <c r="I1959" i="59" s="1"/>
  <c r="I1960" i="59" s="1"/>
  <c r="I1961" i="59" s="1"/>
  <c r="J1955" i="59"/>
  <c r="J1956" i="59"/>
  <c r="J1954" i="59"/>
  <c r="J1952" i="59"/>
  <c r="J1950" i="59"/>
  <c r="J1948" i="59"/>
  <c r="I1948" i="59"/>
  <c r="I1949" i="59" s="1"/>
  <c r="I1950" i="59" s="1"/>
  <c r="J1945" i="59"/>
  <c r="J1946" i="59"/>
  <c r="J1943" i="59"/>
  <c r="J1944" i="59"/>
  <c r="I1941" i="59"/>
  <c r="I1942" i="59" s="1"/>
  <c r="I1943" i="59" s="1"/>
  <c r="I1944" i="59" s="1"/>
  <c r="J1942" i="59"/>
  <c r="J1940" i="59"/>
  <c r="J1938" i="59"/>
  <c r="J1936" i="59"/>
  <c r="I1936" i="59"/>
  <c r="J1934" i="59"/>
  <c r="J1932" i="59"/>
  <c r="I1932" i="59"/>
  <c r="I1933" i="59" s="1"/>
  <c r="I1934" i="59" s="1"/>
  <c r="I1935" i="59" s="1"/>
  <c r="I1930" i="59"/>
  <c r="I1931" i="59" s="1"/>
  <c r="J1930" i="59"/>
  <c r="J1928" i="59"/>
  <c r="I1928" i="59"/>
  <c r="J1926" i="59"/>
  <c r="J1924" i="59"/>
  <c r="I1924" i="59"/>
  <c r="I1925" i="59" s="1"/>
  <c r="I1926" i="59" s="1"/>
  <c r="J1922" i="59"/>
  <c r="J1920" i="59"/>
  <c r="I1920" i="59"/>
  <c r="I1921" i="59" s="1"/>
  <c r="I1922" i="59" s="1"/>
  <c r="I1923" i="59" s="1"/>
  <c r="J1918" i="59"/>
  <c r="J1916" i="59"/>
  <c r="I1916" i="59"/>
  <c r="I1917" i="59" s="1"/>
  <c r="I1918" i="59" s="1"/>
  <c r="I1919" i="59" s="1"/>
  <c r="J1913" i="59"/>
  <c r="I1914" i="59"/>
  <c r="J1914" i="59"/>
  <c r="J1912" i="59"/>
  <c r="J1910" i="59"/>
  <c r="I1908" i="59"/>
  <c r="I1909" i="59" s="1"/>
  <c r="I1910" i="59" s="1"/>
  <c r="I1911" i="59" s="1"/>
  <c r="I1912" i="59" s="1"/>
  <c r="J1908" i="59"/>
  <c r="I1905" i="59"/>
  <c r="J1905" i="59"/>
  <c r="J1903" i="59"/>
  <c r="J1901" i="59"/>
  <c r="I1901" i="59"/>
  <c r="J1899" i="59"/>
  <c r="I1897" i="59"/>
  <c r="I1898" i="59" s="1"/>
  <c r="I1899" i="59" s="1"/>
  <c r="J1897" i="59"/>
  <c r="J1895" i="59"/>
  <c r="J1893" i="59"/>
  <c r="I1891" i="59"/>
  <c r="I1892" i="59" s="1"/>
  <c r="I1893" i="59" s="1"/>
  <c r="I1894" i="59" s="1"/>
  <c r="I1895" i="59" s="1"/>
  <c r="I1896" i="59" s="1"/>
  <c r="J1891" i="59"/>
  <c r="I1888" i="59"/>
  <c r="I1889" i="59" s="1"/>
  <c r="I1890" i="59" s="1"/>
  <c r="J1889" i="59"/>
  <c r="J1887" i="59"/>
  <c r="J1884" i="59"/>
  <c r="K1884" i="59"/>
  <c r="K1885" i="59" s="1"/>
  <c r="K1886" i="59" s="1"/>
  <c r="K1887" i="59" s="1"/>
  <c r="K1888" i="59" s="1"/>
  <c r="K1889" i="59" s="1"/>
  <c r="K1890" i="59" s="1"/>
  <c r="K1891" i="59" s="1"/>
  <c r="K1892" i="59" s="1"/>
  <c r="K1893" i="59" s="1"/>
  <c r="K1894" i="59" s="1"/>
  <c r="K1895" i="59" s="1"/>
  <c r="K1896" i="59" s="1"/>
  <c r="K1897" i="59" s="1"/>
  <c r="K1898" i="59" s="1"/>
  <c r="K1899" i="59" s="1"/>
  <c r="K1900" i="59" s="1"/>
  <c r="K1901" i="59" s="1"/>
  <c r="J1885" i="59"/>
  <c r="I1885" i="59"/>
  <c r="I1886" i="59" s="1"/>
  <c r="I1887" i="59" s="1"/>
  <c r="J1883" i="59"/>
  <c r="J1881" i="59"/>
  <c r="I1881" i="59"/>
  <c r="I1882" i="59" s="1"/>
  <c r="I1883" i="59" s="1"/>
  <c r="J1878" i="59"/>
  <c r="J1879" i="59"/>
  <c r="J1877" i="59"/>
  <c r="I1877" i="59"/>
  <c r="I1878" i="59" s="1"/>
  <c r="I1879" i="59" s="1"/>
  <c r="I1880" i="59" s="1"/>
  <c r="I1875" i="59"/>
  <c r="I1876" i="59" s="1"/>
  <c r="J1875" i="59"/>
  <c r="I1873" i="59"/>
  <c r="I1874" i="59" s="1"/>
  <c r="J1873" i="59"/>
  <c r="K1871" i="59"/>
  <c r="K1872" i="59" s="1"/>
  <c r="K1873" i="59" s="1"/>
  <c r="K1874" i="59" s="1"/>
  <c r="K1875" i="59" s="1"/>
  <c r="K1876" i="59" s="1"/>
  <c r="K1877" i="59" s="1"/>
  <c r="K1878" i="59" s="1"/>
  <c r="K1879" i="59" s="1"/>
  <c r="K1880" i="59" s="1"/>
  <c r="K1881" i="59" s="1"/>
  <c r="K1882" i="59" s="1"/>
  <c r="K1883" i="59" s="1"/>
  <c r="J1871" i="59"/>
  <c r="J1869" i="59"/>
  <c r="I1867" i="59"/>
  <c r="I1868" i="59" s="1"/>
  <c r="I1869" i="59" s="1"/>
  <c r="J1867" i="59"/>
  <c r="J1864" i="59"/>
  <c r="J1865" i="59"/>
  <c r="J1863" i="59"/>
  <c r="I1863" i="59"/>
  <c r="I1864" i="59" s="1"/>
  <c r="I1865" i="59" s="1"/>
  <c r="I1866" i="59" s="1"/>
  <c r="J1859" i="59"/>
  <c r="J1856" i="59"/>
  <c r="J1854" i="59"/>
  <c r="J1852" i="59"/>
  <c r="J1850" i="59"/>
  <c r="J1848" i="59"/>
  <c r="I1848" i="59"/>
  <c r="I1849" i="59" s="1"/>
  <c r="I1850" i="59" s="1"/>
  <c r="J1846" i="59"/>
  <c r="J1844" i="59"/>
  <c r="I1842" i="59"/>
  <c r="I1843" i="59" s="1"/>
  <c r="I1844" i="59" s="1"/>
  <c r="J1842" i="59"/>
  <c r="J1840" i="59"/>
  <c r="I1838" i="59"/>
  <c r="I1839" i="59" s="1"/>
  <c r="I1840" i="59" s="1"/>
  <c r="J1838" i="59"/>
  <c r="J1835" i="59"/>
  <c r="I1835" i="59"/>
  <c r="I1836" i="59" s="1"/>
  <c r="I1837" i="59" s="1"/>
  <c r="J1833" i="59"/>
  <c r="J1831" i="59"/>
  <c r="I1831" i="59"/>
  <c r="I1832" i="59" s="1"/>
  <c r="I1833" i="59" s="1"/>
  <c r="J1829" i="59"/>
  <c r="I1829" i="59"/>
  <c r="I1830" i="59" s="1"/>
  <c r="J1827" i="59"/>
  <c r="J1824" i="59"/>
  <c r="J1825" i="59"/>
  <c r="J1823" i="59"/>
  <c r="I1823" i="59"/>
  <c r="I1824" i="59" s="1"/>
  <c r="I1825" i="59" s="1"/>
  <c r="I1826" i="59" s="1"/>
  <c r="I1827" i="59" s="1"/>
  <c r="I1828" i="59" s="1"/>
  <c r="J1821" i="59"/>
  <c r="I1821" i="59"/>
  <c r="J1819" i="59"/>
  <c r="I1819" i="59"/>
  <c r="I1816" i="59"/>
  <c r="I1817" i="59" s="1"/>
  <c r="I1818" i="59" s="1"/>
  <c r="J1817" i="59"/>
  <c r="J1815" i="59"/>
  <c r="J1813" i="59"/>
  <c r="I1811" i="59"/>
  <c r="I1812" i="59" s="1"/>
  <c r="I1813" i="59" s="1"/>
  <c r="I1814" i="59" s="1"/>
  <c r="I1815" i="59" s="1"/>
  <c r="K1811" i="59"/>
  <c r="K1812" i="59" s="1"/>
  <c r="K1813" i="59" s="1"/>
  <c r="K1814" i="59" s="1"/>
  <c r="K1815" i="59" s="1"/>
  <c r="K1816" i="59" s="1"/>
  <c r="K1817" i="59" s="1"/>
  <c r="K1818" i="59" s="1"/>
  <c r="K1819" i="59" s="1"/>
  <c r="K1820" i="59" s="1"/>
  <c r="K1821" i="59" s="1"/>
  <c r="J1811" i="59"/>
  <c r="J1809" i="59"/>
  <c r="J1807" i="59"/>
  <c r="I1807" i="59"/>
  <c r="J1805" i="59"/>
  <c r="I1805" i="59"/>
  <c r="I1806" i="59" s="1"/>
  <c r="J1803" i="59"/>
  <c r="J1802" i="59"/>
  <c r="I1801" i="59"/>
  <c r="I1802" i="59" s="1"/>
  <c r="I1803" i="59" s="1"/>
  <c r="I1804" i="59" s="1"/>
  <c r="J1801" i="59"/>
  <c r="J1799" i="59"/>
  <c r="I1799" i="59"/>
  <c r="I1800" i="59" s="1"/>
  <c r="K1799" i="59"/>
  <c r="K1800" i="59" s="1"/>
  <c r="K1801" i="59" s="1"/>
  <c r="K1802" i="59" s="1"/>
  <c r="K1803" i="59" s="1"/>
  <c r="K1804" i="59" s="1"/>
  <c r="K1805" i="59" s="1"/>
  <c r="K1806" i="59" s="1"/>
  <c r="K1807" i="59" s="1"/>
  <c r="K1808" i="59" s="1"/>
  <c r="K1809" i="59" s="1"/>
  <c r="K1810" i="59" s="1"/>
  <c r="J1797" i="59"/>
  <c r="J1795" i="59"/>
  <c r="J1792" i="59"/>
  <c r="J1790" i="59"/>
  <c r="J1787" i="59"/>
  <c r="I1787" i="59"/>
  <c r="I1788" i="59" s="1"/>
  <c r="I1789" i="59" s="1"/>
  <c r="I1790" i="59" s="1"/>
  <c r="I1791" i="59" s="1"/>
  <c r="I1792" i="59" s="1"/>
  <c r="J1784" i="59"/>
  <c r="I1785" i="59"/>
  <c r="I1786" i="59" s="1"/>
  <c r="J1785" i="59"/>
  <c r="J1783" i="59"/>
  <c r="K1782" i="59"/>
  <c r="K1783" i="59" s="1"/>
  <c r="K1784" i="59" s="1"/>
  <c r="K1785" i="59" s="1"/>
  <c r="K1786" i="59" s="1"/>
  <c r="K1787" i="59" s="1"/>
  <c r="K1788" i="59" s="1"/>
  <c r="K1789" i="59" s="1"/>
  <c r="K1790" i="59" s="1"/>
  <c r="K1791" i="59" s="1"/>
  <c r="K1792" i="59" s="1"/>
  <c r="K1793" i="59" s="1"/>
  <c r="K1794" i="59" s="1"/>
  <c r="K1795" i="59" s="1"/>
  <c r="K1796" i="59" s="1"/>
  <c r="K1797" i="59" s="1"/>
  <c r="K1798" i="59" s="1"/>
  <c r="J1782" i="59"/>
  <c r="J1777" i="59"/>
  <c r="I1775" i="59"/>
  <c r="I1776" i="59" s="1"/>
  <c r="I1777" i="59" s="1"/>
  <c r="I1778" i="59" s="1"/>
  <c r="J1775" i="59"/>
  <c r="J1773" i="59"/>
  <c r="J1771" i="59"/>
  <c r="I1771" i="59"/>
  <c r="I1772" i="59" s="1"/>
  <c r="I1773" i="59" s="1"/>
  <c r="I1774" i="59" s="1"/>
  <c r="K1771" i="59"/>
  <c r="K1772" i="59" s="1"/>
  <c r="K1773" i="59" s="1"/>
  <c r="K1774" i="59" s="1"/>
  <c r="K1775" i="59" s="1"/>
  <c r="K1776" i="59" s="1"/>
  <c r="K1777" i="59" s="1"/>
  <c r="K1778" i="59" s="1"/>
  <c r="K1779" i="59" s="1"/>
  <c r="J1765" i="59"/>
  <c r="I1765" i="59"/>
  <c r="I1766" i="59" s="1"/>
  <c r="I1767" i="59" s="1"/>
  <c r="J1766" i="59"/>
  <c r="J1764" i="59"/>
  <c r="J1761" i="59"/>
  <c r="I1761" i="59"/>
  <c r="I1762" i="59" s="1"/>
  <c r="I1763" i="59" s="1"/>
  <c r="I1764" i="59" s="1"/>
  <c r="J1762" i="59"/>
  <c r="J1760" i="59"/>
  <c r="I1760" i="59"/>
  <c r="J1758" i="59"/>
  <c r="K1756" i="59"/>
  <c r="K1757" i="59" s="1"/>
  <c r="K1758" i="59" s="1"/>
  <c r="K1759" i="59" s="1"/>
  <c r="K1760" i="59" s="1"/>
  <c r="K1761" i="59" s="1"/>
  <c r="K1762" i="59" s="1"/>
  <c r="K1763" i="59" s="1"/>
  <c r="K1764" i="59" s="1"/>
  <c r="K1765" i="59" s="1"/>
  <c r="K1766" i="59" s="1"/>
  <c r="K1767" i="59" s="1"/>
  <c r="K1768" i="59" s="1"/>
  <c r="I1756" i="59"/>
  <c r="I1757" i="59" s="1"/>
  <c r="I1758" i="59" s="1"/>
  <c r="I1759" i="59" s="1"/>
  <c r="J1756" i="59"/>
  <c r="I1753" i="59"/>
  <c r="I1754" i="59" s="1"/>
  <c r="I1755" i="59" s="1"/>
  <c r="J1754" i="59"/>
  <c r="J1753" i="59"/>
  <c r="J1752" i="59"/>
  <c r="J1750" i="59"/>
  <c r="I1750" i="59"/>
  <c r="I1751" i="59" s="1"/>
  <c r="I1752" i="59" s="1"/>
  <c r="J1748" i="59"/>
  <c r="J1746" i="59"/>
  <c r="I1744" i="59"/>
  <c r="I1745" i="59" s="1"/>
  <c r="I1746" i="59" s="1"/>
  <c r="I1747" i="59" s="1"/>
  <c r="I1748" i="59" s="1"/>
  <c r="J1744" i="59"/>
  <c r="J1741" i="59"/>
  <c r="I1739" i="59"/>
  <c r="J1739" i="59"/>
  <c r="J1737" i="59"/>
  <c r="J1735" i="59"/>
  <c r="I1735" i="59"/>
  <c r="I1733" i="59"/>
  <c r="J1733" i="59"/>
  <c r="J1731" i="59"/>
  <c r="J1729" i="59"/>
  <c r="J1727" i="59"/>
  <c r="K1725" i="59"/>
  <c r="K1726" i="59" s="1"/>
  <c r="K1727" i="59" s="1"/>
  <c r="K1728" i="59" s="1"/>
  <c r="K1729" i="59" s="1"/>
  <c r="K1730" i="59" s="1"/>
  <c r="K1731" i="59" s="1"/>
  <c r="K1732" i="59" s="1"/>
  <c r="K1733" i="59" s="1"/>
  <c r="K1734" i="59" s="1"/>
  <c r="K1735" i="59" s="1"/>
  <c r="K1736" i="59" s="1"/>
  <c r="K1737" i="59" s="1"/>
  <c r="I1725" i="59"/>
  <c r="I1726" i="59" s="1"/>
  <c r="I1727" i="59" s="1"/>
  <c r="I1728" i="59" s="1"/>
  <c r="I1729" i="59" s="1"/>
  <c r="J1725" i="59"/>
  <c r="J1722" i="59"/>
  <c r="J1723" i="59"/>
  <c r="J1721" i="59"/>
  <c r="J1719" i="59"/>
  <c r="J1717" i="59"/>
  <c r="I1715" i="59"/>
  <c r="I1716" i="59" s="1"/>
  <c r="I1717" i="59" s="1"/>
  <c r="I1718" i="59" s="1"/>
  <c r="I1719" i="59" s="1"/>
  <c r="J1715" i="59"/>
  <c r="J1713" i="59"/>
  <c r="I1713" i="59"/>
  <c r="I1714" i="59" s="1"/>
  <c r="J1710" i="59"/>
  <c r="J1711" i="59"/>
  <c r="I1709" i="59"/>
  <c r="I1710" i="59" s="1"/>
  <c r="I1711" i="59" s="1"/>
  <c r="I1712" i="59" s="1"/>
  <c r="J1709" i="59"/>
  <c r="K1707" i="59"/>
  <c r="K1708" i="59" s="1"/>
  <c r="K1709" i="59" s="1"/>
  <c r="K1710" i="59" s="1"/>
  <c r="K1711" i="59" s="1"/>
  <c r="K1712" i="59" s="1"/>
  <c r="K1713" i="59" s="1"/>
  <c r="K1714" i="59" s="1"/>
  <c r="K1715" i="59" s="1"/>
  <c r="K1716" i="59" s="1"/>
  <c r="K1717" i="59" s="1"/>
  <c r="K1718" i="59" s="1"/>
  <c r="K1719" i="59" s="1"/>
  <c r="K1720" i="59" s="1"/>
  <c r="K1721" i="59" s="1"/>
  <c r="K1722" i="59" s="1"/>
  <c r="K1723" i="59" s="1"/>
  <c r="K1724" i="59" s="1"/>
  <c r="J1707" i="59"/>
  <c r="J1705" i="59"/>
  <c r="J1703" i="59"/>
  <c r="J1701" i="59"/>
  <c r="I1701" i="59"/>
  <c r="I1702" i="59" s="1"/>
  <c r="I1703" i="59" s="1"/>
  <c r="I1704" i="59" s="1"/>
  <c r="I1705" i="59" s="1"/>
  <c r="J1699" i="59"/>
  <c r="J1697" i="59"/>
  <c r="I1697" i="59"/>
  <c r="I1698" i="59" s="1"/>
  <c r="I1699" i="59" s="1"/>
  <c r="I1700" i="59" s="1"/>
  <c r="J1695" i="59"/>
  <c r="J1694" i="59"/>
  <c r="I1693" i="59"/>
  <c r="I1694" i="59" s="1"/>
  <c r="I1695" i="59" s="1"/>
  <c r="I1696" i="59" s="1"/>
  <c r="J1693" i="59"/>
  <c r="J1691" i="59"/>
  <c r="J1689" i="59"/>
  <c r="I1689" i="59"/>
  <c r="I1690" i="59" s="1"/>
  <c r="I1691" i="59" s="1"/>
  <c r="I1692" i="59" s="1"/>
  <c r="J1686" i="59"/>
  <c r="J1687" i="59"/>
  <c r="J1685" i="59"/>
  <c r="I1681" i="59"/>
  <c r="I1682" i="59" s="1"/>
  <c r="J1682" i="59"/>
  <c r="J1675" i="59"/>
  <c r="I1673" i="59"/>
  <c r="I1674" i="59" s="1"/>
  <c r="I1675" i="59" s="1"/>
  <c r="J1673" i="59"/>
  <c r="J1670" i="59"/>
  <c r="I1668" i="59"/>
  <c r="I1669" i="59" s="1"/>
  <c r="I1670" i="59" s="1"/>
  <c r="I1671" i="59" s="1"/>
  <c r="J1668" i="59"/>
  <c r="K1668" i="59"/>
  <c r="K1669" i="59" s="1"/>
  <c r="K1670" i="59" s="1"/>
  <c r="K1671" i="59" s="1"/>
  <c r="K1672" i="59" s="1"/>
  <c r="K1673" i="59" s="1"/>
  <c r="K1674" i="59" s="1"/>
  <c r="K1675" i="59" s="1"/>
  <c r="K1676" i="59" s="1"/>
  <c r="K1677" i="59" s="1"/>
  <c r="I1666" i="59"/>
  <c r="I1667" i="59" s="1"/>
  <c r="J1666" i="59"/>
  <c r="J1664" i="59"/>
  <c r="I1661" i="59"/>
  <c r="I1662" i="59" s="1"/>
  <c r="I1663" i="59" s="1"/>
  <c r="I1664" i="59" s="1"/>
  <c r="I1665" i="59" s="1"/>
  <c r="J1661" i="59"/>
  <c r="L1661" i="59"/>
  <c r="L1662" i="59" s="1"/>
  <c r="L1663" i="59" s="1"/>
  <c r="L1664" i="59" s="1"/>
  <c r="L1665" i="59" s="1"/>
  <c r="L1666" i="59" s="1"/>
  <c r="L1667" i="59" s="1"/>
  <c r="L1668" i="59" s="1"/>
  <c r="L1669" i="59" s="1"/>
  <c r="L1670" i="59" s="1"/>
  <c r="L1671" i="59" s="1"/>
  <c r="L1672" i="59" s="1"/>
  <c r="L1673" i="59" s="1"/>
  <c r="L1674" i="59" s="1"/>
  <c r="L1675" i="59" s="1"/>
  <c r="L1676" i="59" s="1"/>
  <c r="L1677" i="59" s="1"/>
  <c r="L1678" i="59" s="1"/>
  <c r="L1679" i="59" s="1"/>
  <c r="L1680" i="59" s="1"/>
  <c r="L1681" i="59" s="1"/>
  <c r="L1682" i="59" s="1"/>
  <c r="L1683" i="59" s="1"/>
  <c r="L1684" i="59" s="1"/>
  <c r="L1685" i="59" s="1"/>
  <c r="L1686" i="59" s="1"/>
  <c r="L1687" i="59" s="1"/>
  <c r="L1688" i="59" s="1"/>
  <c r="L1689" i="59" s="1"/>
  <c r="L1690" i="59" s="1"/>
  <c r="L1691" i="59" s="1"/>
  <c r="L1692" i="59" s="1"/>
  <c r="L1693" i="59" s="1"/>
  <c r="L1694" i="59" s="1"/>
  <c r="L1695" i="59" s="1"/>
  <c r="L1696" i="59" s="1"/>
  <c r="L1697" i="59" s="1"/>
  <c r="L1698" i="59" s="1"/>
  <c r="L1699" i="59" s="1"/>
  <c r="L1700" i="59" s="1"/>
  <c r="L1701" i="59" s="1"/>
  <c r="L1702" i="59" s="1"/>
  <c r="L1703" i="59" s="1"/>
  <c r="L1704" i="59" s="1"/>
  <c r="L1705" i="59" s="1"/>
  <c r="L1706" i="59" s="1"/>
  <c r="L1707" i="59" s="1"/>
  <c r="L1708" i="59" s="1"/>
  <c r="L1709" i="59" s="1"/>
  <c r="L1710" i="59" s="1"/>
  <c r="L1711" i="59" s="1"/>
  <c r="L1712" i="59" s="1"/>
  <c r="L1713" i="59" s="1"/>
  <c r="L1714" i="59" s="1"/>
  <c r="L1715" i="59" s="1"/>
  <c r="L1716" i="59" s="1"/>
  <c r="L1717" i="59" s="1"/>
  <c r="L1718" i="59" s="1"/>
  <c r="L1719" i="59" s="1"/>
  <c r="J1659" i="59"/>
  <c r="J1657" i="59"/>
  <c r="I1657" i="59"/>
  <c r="I1658" i="59" s="1"/>
  <c r="I1659" i="59" s="1"/>
  <c r="I1660" i="59" s="1"/>
  <c r="K1655" i="59"/>
  <c r="K1656" i="59" s="1"/>
  <c r="K1657" i="59" s="1"/>
  <c r="K1658" i="59" s="1"/>
  <c r="K1659" i="59" s="1"/>
  <c r="K1660" i="59" s="1"/>
  <c r="K1661" i="59" s="1"/>
  <c r="K1662" i="59" s="1"/>
  <c r="K1663" i="59" s="1"/>
  <c r="K1664" i="59" s="1"/>
  <c r="K1665" i="59" s="1"/>
  <c r="K1666" i="59" s="1"/>
  <c r="K1667" i="59" s="1"/>
  <c r="J1655" i="59"/>
  <c r="I1651" i="59"/>
  <c r="J1651" i="59"/>
  <c r="J1649" i="59"/>
  <c r="I1647" i="59"/>
  <c r="I1648" i="59" s="1"/>
  <c r="I1649" i="59" s="1"/>
  <c r="J1647" i="59"/>
  <c r="I1644" i="59"/>
  <c r="I1645" i="59" s="1"/>
  <c r="I1646" i="59" s="1"/>
  <c r="J1644" i="59"/>
  <c r="J1642" i="59"/>
  <c r="J1640" i="59"/>
  <c r="I1640" i="59"/>
  <c r="I1641" i="59" s="1"/>
  <c r="I1642" i="59" s="1"/>
  <c r="I1643" i="59" s="1"/>
  <c r="K1638" i="59"/>
  <c r="K1639" i="59" s="1"/>
  <c r="K1640" i="59" s="1"/>
  <c r="K1641" i="59" s="1"/>
  <c r="K1642" i="59" s="1"/>
  <c r="K1643" i="59" s="1"/>
  <c r="K1644" i="59" s="1"/>
  <c r="K1645" i="59" s="1"/>
  <c r="K1646" i="59" s="1"/>
  <c r="K1647" i="59" s="1"/>
  <c r="K1648" i="59" s="1"/>
  <c r="K1649" i="59" s="1"/>
  <c r="K1650" i="59" s="1"/>
  <c r="K1651" i="59" s="1"/>
  <c r="I1638" i="59"/>
  <c r="I1639" i="59" s="1"/>
  <c r="J1638" i="59"/>
  <c r="J1635" i="59"/>
  <c r="I1635" i="59"/>
  <c r="I1636" i="59" s="1"/>
  <c r="I1637" i="59" s="1"/>
  <c r="I1633" i="59"/>
  <c r="I1634" i="59" s="1"/>
  <c r="J1633" i="59"/>
  <c r="I1630" i="59"/>
  <c r="I1631" i="59" s="1"/>
  <c r="I1632" i="59" s="1"/>
  <c r="J1630" i="59"/>
  <c r="J1628" i="59"/>
  <c r="I1628" i="59"/>
  <c r="I1629" i="59" s="1"/>
  <c r="J1626" i="59"/>
  <c r="J1624" i="59"/>
  <c r="I1624" i="59"/>
  <c r="I1625" i="59" s="1"/>
  <c r="I1626" i="59" s="1"/>
  <c r="I1627" i="59" s="1"/>
  <c r="K1624" i="59"/>
  <c r="K1625" i="59" s="1"/>
  <c r="K1626" i="59" s="1"/>
  <c r="K1627" i="59" s="1"/>
  <c r="K1628" i="59" s="1"/>
  <c r="K1629" i="59" s="1"/>
  <c r="K1630" i="59" s="1"/>
  <c r="K1631" i="59" s="1"/>
  <c r="K1632" i="59" s="1"/>
  <c r="K1633" i="59" s="1"/>
  <c r="K1634" i="59" s="1"/>
  <c r="K1635" i="59" s="1"/>
  <c r="K1636" i="59" s="1"/>
  <c r="K1637" i="59" s="1"/>
  <c r="J1622" i="59"/>
  <c r="J1620" i="59"/>
  <c r="J1618" i="59"/>
  <c r="J1616" i="59"/>
  <c r="J1614" i="59"/>
  <c r="I1611" i="59"/>
  <c r="I1612" i="59" s="1"/>
  <c r="I1613" i="59" s="1"/>
  <c r="I1614" i="59" s="1"/>
  <c r="J1611" i="59"/>
  <c r="J1609" i="59"/>
  <c r="I1427" i="59"/>
  <c r="I1428" i="59" s="1"/>
  <c r="I1429" i="59" s="1"/>
  <c r="J1466" i="59"/>
  <c r="J1476" i="59"/>
  <c r="J1484" i="59"/>
  <c r="J1577" i="59"/>
  <c r="J1588" i="59"/>
  <c r="J1594" i="59"/>
  <c r="J1420" i="59"/>
  <c r="J1503" i="59"/>
  <c r="J1507" i="59"/>
  <c r="J1533" i="59"/>
  <c r="J1537" i="59"/>
  <c r="I1539" i="59"/>
  <c r="I1540" i="59" s="1"/>
  <c r="I1541" i="59" s="1"/>
  <c r="J1545" i="59"/>
  <c r="J1553" i="59"/>
  <c r="J1559" i="59"/>
  <c r="J1573" i="59"/>
  <c r="J1501" i="59"/>
  <c r="J1557" i="59"/>
  <c r="J1444" i="59"/>
  <c r="J1448" i="59"/>
  <c r="J1464" i="59"/>
  <c r="J1543" i="59"/>
  <c r="I1448" i="59"/>
  <c r="I1449" i="59" s="1"/>
  <c r="I1450" i="59" s="1"/>
  <c r="I1451" i="59" s="1"/>
  <c r="J1513" i="59"/>
  <c r="I1557" i="59"/>
  <c r="I1558" i="59" s="1"/>
  <c r="I1559" i="59" s="1"/>
  <c r="J1523" i="59"/>
  <c r="J1525" i="59"/>
  <c r="J1569" i="59"/>
  <c r="J1603" i="59"/>
  <c r="I1597" i="59"/>
  <c r="J1597" i="59"/>
  <c r="J1595" i="59"/>
  <c r="I1593" i="59"/>
  <c r="I1594" i="59" s="1"/>
  <c r="I1595" i="59" s="1"/>
  <c r="J1593" i="59"/>
  <c r="J1591" i="59"/>
  <c r="I1589" i="59"/>
  <c r="I1590" i="59" s="1"/>
  <c r="I1591" i="59" s="1"/>
  <c r="I1592" i="59" s="1"/>
  <c r="J1589" i="59"/>
  <c r="J1587" i="59"/>
  <c r="I1585" i="59"/>
  <c r="I1586" i="59" s="1"/>
  <c r="I1587" i="59" s="1"/>
  <c r="I1588" i="59" s="1"/>
  <c r="J1585" i="59"/>
  <c r="J1583" i="59"/>
  <c r="J1580" i="59"/>
  <c r="I1580" i="59"/>
  <c r="I1581" i="59" s="1"/>
  <c r="I1582" i="59" s="1"/>
  <c r="I1583" i="59" s="1"/>
  <c r="I1584" i="59" s="1"/>
  <c r="I1578" i="59"/>
  <c r="J1578" i="59"/>
  <c r="I1575" i="59"/>
  <c r="I1576" i="59" s="1"/>
  <c r="I1577" i="59" s="1"/>
  <c r="J1575" i="59"/>
  <c r="J1576" i="59"/>
  <c r="I1574" i="59"/>
  <c r="J1574" i="59"/>
  <c r="J1572" i="59"/>
  <c r="I1572" i="59"/>
  <c r="J1570" i="59"/>
  <c r="J1568" i="59"/>
  <c r="J1566" i="59"/>
  <c r="I1564" i="59"/>
  <c r="I1565" i="59" s="1"/>
  <c r="I1566" i="59" s="1"/>
  <c r="I1567" i="59" s="1"/>
  <c r="I1568" i="59" s="1"/>
  <c r="I1569" i="59" s="1"/>
  <c r="I1570" i="59" s="1"/>
  <c r="K1564" i="59"/>
  <c r="K1565" i="59" s="1"/>
  <c r="K1566" i="59" s="1"/>
  <c r="K1567" i="59" s="1"/>
  <c r="K1568" i="59" s="1"/>
  <c r="K1569" i="59" s="1"/>
  <c r="K1570" i="59" s="1"/>
  <c r="K1571" i="59" s="1"/>
  <c r="K1572" i="59" s="1"/>
  <c r="K1573" i="59" s="1"/>
  <c r="K1574" i="59" s="1"/>
  <c r="K1575" i="59" s="1"/>
  <c r="K1576" i="59" s="1"/>
  <c r="K1577" i="59" s="1"/>
  <c r="K1578" i="59" s="1"/>
  <c r="J1564" i="59"/>
  <c r="J1561" i="59"/>
  <c r="J1562" i="59"/>
  <c r="I1560" i="59"/>
  <c r="I1561" i="59" s="1"/>
  <c r="I1562" i="59" s="1"/>
  <c r="I1563" i="59" s="1"/>
  <c r="J1560" i="59"/>
  <c r="J1558" i="59"/>
  <c r="J1556" i="59"/>
  <c r="J1554" i="59"/>
  <c r="I1554" i="59"/>
  <c r="I1555" i="59" s="1"/>
  <c r="I1556" i="59" s="1"/>
  <c r="J1552" i="59"/>
  <c r="I1552" i="59"/>
  <c r="I1553" i="59" s="1"/>
  <c r="J1550" i="59"/>
  <c r="J1548" i="59"/>
  <c r="I1546" i="59"/>
  <c r="I1547" i="59" s="1"/>
  <c r="I1548" i="59" s="1"/>
  <c r="I1549" i="59" s="1"/>
  <c r="I1550" i="59" s="1"/>
  <c r="I1551" i="59" s="1"/>
  <c r="J1546" i="59"/>
  <c r="J1544" i="59"/>
  <c r="I1542" i="59"/>
  <c r="I1543" i="59" s="1"/>
  <c r="I1544" i="59" s="1"/>
  <c r="J1542" i="59"/>
  <c r="L1542" i="59"/>
  <c r="L1543" i="59" s="1"/>
  <c r="L1544" i="59" s="1"/>
  <c r="L1545" i="59" s="1"/>
  <c r="L1546" i="59" s="1"/>
  <c r="L1547" i="59" s="1"/>
  <c r="L1548" i="59" s="1"/>
  <c r="L1549" i="59" s="1"/>
  <c r="L1550" i="59" s="1"/>
  <c r="L1551" i="59" s="1"/>
  <c r="L1552" i="59" s="1"/>
  <c r="L1553" i="59" s="1"/>
  <c r="L1554" i="59" s="1"/>
  <c r="L1555" i="59" s="1"/>
  <c r="L1556" i="59" s="1"/>
  <c r="L1557" i="59" s="1"/>
  <c r="L1558" i="59" s="1"/>
  <c r="L1559" i="59" s="1"/>
  <c r="L1560" i="59" s="1"/>
  <c r="L1561" i="59" s="1"/>
  <c r="L1562" i="59" s="1"/>
  <c r="L1563" i="59" s="1"/>
  <c r="L1564" i="59" s="1"/>
  <c r="L1565" i="59" s="1"/>
  <c r="L1566" i="59" s="1"/>
  <c r="L1567" i="59" s="1"/>
  <c r="L1568" i="59" s="1"/>
  <c r="L1569" i="59" s="1"/>
  <c r="L1570" i="59" s="1"/>
  <c r="L1571" i="59" s="1"/>
  <c r="L1572" i="59" s="1"/>
  <c r="L1573" i="59" s="1"/>
  <c r="L1574" i="59" s="1"/>
  <c r="L1575" i="59" s="1"/>
  <c r="L1576" i="59" s="1"/>
  <c r="L1577" i="59" s="1"/>
  <c r="L1578" i="59" s="1"/>
  <c r="L1579" i="59" s="1"/>
  <c r="L1580" i="59" s="1"/>
  <c r="L1581" i="59" s="1"/>
  <c r="L1582" i="59" s="1"/>
  <c r="L1583" i="59" s="1"/>
  <c r="L1584" i="59" s="1"/>
  <c r="L1585" i="59" s="1"/>
  <c r="L1586" i="59" s="1"/>
  <c r="L1587" i="59" s="1"/>
  <c r="L1588" i="59" s="1"/>
  <c r="L1589" i="59" s="1"/>
  <c r="L1590" i="59" s="1"/>
  <c r="L1591" i="59" s="1"/>
  <c r="L1592" i="59" s="1"/>
  <c r="L1593" i="59" s="1"/>
  <c r="L1594" i="59" s="1"/>
  <c r="L1595" i="59" s="1"/>
  <c r="L1596" i="59" s="1"/>
  <c r="L1597" i="59" s="1"/>
  <c r="L1598" i="59" s="1"/>
  <c r="L1599" i="59" s="1"/>
  <c r="L1600" i="59" s="1"/>
  <c r="L1601" i="59" s="1"/>
  <c r="L1602" i="59" s="1"/>
  <c r="J1540" i="59"/>
  <c r="J1538" i="59"/>
  <c r="J1536" i="59"/>
  <c r="J1534" i="59"/>
  <c r="I1534" i="59"/>
  <c r="I1535" i="59" s="1"/>
  <c r="I1536" i="59" s="1"/>
  <c r="I1537" i="59" s="1"/>
  <c r="I1538" i="59" s="1"/>
  <c r="J1532" i="59"/>
  <c r="J1529" i="59"/>
  <c r="I1529" i="59"/>
  <c r="I1530" i="59" s="1"/>
  <c r="I1531" i="59" s="1"/>
  <c r="I1532" i="59" s="1"/>
  <c r="I1533" i="59" s="1"/>
  <c r="J1530" i="59"/>
  <c r="J1527" i="59"/>
  <c r="J1528" i="59"/>
  <c r="J1526" i="59"/>
  <c r="I1524" i="59"/>
  <c r="I1525" i="59" s="1"/>
  <c r="I1526" i="59" s="1"/>
  <c r="I1527" i="59" s="1"/>
  <c r="I1528" i="59" s="1"/>
  <c r="J1524" i="59"/>
  <c r="K1524" i="59"/>
  <c r="K1525" i="59" s="1"/>
  <c r="K1526" i="59" s="1"/>
  <c r="K1527" i="59" s="1"/>
  <c r="K1528" i="59" s="1"/>
  <c r="K1529" i="59" s="1"/>
  <c r="K1530" i="59" s="1"/>
  <c r="K1531" i="59" s="1"/>
  <c r="K1532" i="59" s="1"/>
  <c r="K1533" i="59" s="1"/>
  <c r="K1534" i="59" s="1"/>
  <c r="K1535" i="59" s="1"/>
  <c r="K1536" i="59" s="1"/>
  <c r="K1537" i="59" s="1"/>
  <c r="K1538" i="59" s="1"/>
  <c r="K1539" i="59" s="1"/>
  <c r="K1540" i="59" s="1"/>
  <c r="K1541" i="59" s="1"/>
  <c r="K1542" i="59" s="1"/>
  <c r="K1543" i="59" s="1"/>
  <c r="K1544" i="59" s="1"/>
  <c r="J1521" i="59"/>
  <c r="J1522" i="59"/>
  <c r="I1520" i="59"/>
  <c r="I1521" i="59" s="1"/>
  <c r="I1522" i="59" s="1"/>
  <c r="I1523" i="59" s="1"/>
  <c r="J1520" i="59"/>
  <c r="I1518" i="59"/>
  <c r="I1519" i="59" s="1"/>
  <c r="J1518" i="59"/>
  <c r="I1516" i="59"/>
  <c r="I1517" i="59" s="1"/>
  <c r="J1516" i="59"/>
  <c r="J1514" i="59"/>
  <c r="I1514" i="59"/>
  <c r="I1515" i="59" s="1"/>
  <c r="J1512" i="59"/>
  <c r="I1510" i="59"/>
  <c r="I1511" i="59" s="1"/>
  <c r="I1512" i="59" s="1"/>
  <c r="I1513" i="59" s="1"/>
  <c r="J1510" i="59"/>
  <c r="J1508" i="59"/>
  <c r="J1505" i="59"/>
  <c r="J1506" i="59"/>
  <c r="I1506" i="59"/>
  <c r="I1507" i="59" s="1"/>
  <c r="I1508" i="59" s="1"/>
  <c r="I1504" i="59"/>
  <c r="I1505" i="59" s="1"/>
  <c r="J1504" i="59"/>
  <c r="I1502" i="59"/>
  <c r="I1503" i="59" s="1"/>
  <c r="J1502" i="59"/>
  <c r="J1500" i="59"/>
  <c r="J1498" i="59"/>
  <c r="J1495" i="59"/>
  <c r="J1496" i="59"/>
  <c r="J1494" i="59"/>
  <c r="K1491" i="59"/>
  <c r="K1492" i="59" s="1"/>
  <c r="K1493" i="59" s="1"/>
  <c r="K1494" i="59" s="1"/>
  <c r="K1495" i="59" s="1"/>
  <c r="K1496" i="59" s="1"/>
  <c r="K1497" i="59" s="1"/>
  <c r="K1498" i="59" s="1"/>
  <c r="K1499" i="59" s="1"/>
  <c r="K1500" i="59" s="1"/>
  <c r="K1501" i="59" s="1"/>
  <c r="K1502" i="59" s="1"/>
  <c r="K1503" i="59" s="1"/>
  <c r="K1504" i="59" s="1"/>
  <c r="K1505" i="59" s="1"/>
  <c r="K1506" i="59" s="1"/>
  <c r="K1507" i="59" s="1"/>
  <c r="K1508" i="59" s="1"/>
  <c r="J1491" i="59"/>
  <c r="I1492" i="59"/>
  <c r="I1493" i="59" s="1"/>
  <c r="I1494" i="59" s="1"/>
  <c r="I1495" i="59" s="1"/>
  <c r="I1496" i="59" s="1"/>
  <c r="J1492" i="59"/>
  <c r="J1488" i="59"/>
  <c r="J1490" i="59"/>
  <c r="I1490" i="59"/>
  <c r="J1487" i="59"/>
  <c r="J1485" i="59"/>
  <c r="I1485" i="59"/>
  <c r="I1486" i="59" s="1"/>
  <c r="I1487" i="59" s="1"/>
  <c r="J1482" i="59"/>
  <c r="J1483" i="59"/>
  <c r="I1481" i="59"/>
  <c r="I1482" i="59" s="1"/>
  <c r="I1483" i="59" s="1"/>
  <c r="I1484" i="59" s="1"/>
  <c r="J1481" i="59"/>
  <c r="J1478" i="59"/>
  <c r="J1479" i="59"/>
  <c r="I1477" i="59"/>
  <c r="I1478" i="59" s="1"/>
  <c r="I1479" i="59" s="1"/>
  <c r="I1480" i="59" s="1"/>
  <c r="J1477" i="59"/>
  <c r="J1475" i="59"/>
  <c r="J1473" i="59"/>
  <c r="I1472" i="59"/>
  <c r="I1473" i="59" s="1"/>
  <c r="I1474" i="59" s="1"/>
  <c r="I1475" i="59" s="1"/>
  <c r="I1476" i="59" s="1"/>
  <c r="J1472" i="59"/>
  <c r="K1472" i="59"/>
  <c r="K1473" i="59" s="1"/>
  <c r="K1474" i="59" s="1"/>
  <c r="K1475" i="59" s="1"/>
  <c r="K1476" i="59" s="1"/>
  <c r="K1477" i="59" s="1"/>
  <c r="K1478" i="59" s="1"/>
  <c r="K1479" i="59" s="1"/>
  <c r="K1480" i="59" s="1"/>
  <c r="K1481" i="59" s="1"/>
  <c r="K1482" i="59" s="1"/>
  <c r="K1483" i="59" s="1"/>
  <c r="K1484" i="59" s="1"/>
  <c r="K1485" i="59" s="1"/>
  <c r="K1486" i="59" s="1"/>
  <c r="K1487" i="59" s="1"/>
  <c r="K1488" i="59" s="1"/>
  <c r="K1489" i="59" s="1"/>
  <c r="K1490" i="59" s="1"/>
  <c r="I1467" i="59"/>
  <c r="I1468" i="59" s="1"/>
  <c r="I1469" i="59" s="1"/>
  <c r="I1470" i="59" s="1"/>
  <c r="I1471" i="59" s="1"/>
  <c r="J1467" i="59"/>
  <c r="J1465" i="59"/>
  <c r="J1463" i="59"/>
  <c r="I1460" i="59"/>
  <c r="I1461" i="59" s="1"/>
  <c r="I1462" i="59" s="1"/>
  <c r="I1463" i="59" s="1"/>
  <c r="I1464" i="59" s="1"/>
  <c r="I1465" i="59" s="1"/>
  <c r="I1466" i="59" s="1"/>
  <c r="J1460" i="59"/>
  <c r="J1461" i="59"/>
  <c r="J1459" i="59"/>
  <c r="I1457" i="59"/>
  <c r="I1458" i="59" s="1"/>
  <c r="I1459" i="59" s="1"/>
  <c r="L1457" i="59"/>
  <c r="L1458" i="59" s="1"/>
  <c r="L1459" i="59" s="1"/>
  <c r="L1460" i="59" s="1"/>
  <c r="L1461" i="59" s="1"/>
  <c r="L1462" i="59" s="1"/>
  <c r="L1463" i="59" s="1"/>
  <c r="L1464" i="59" s="1"/>
  <c r="L1465" i="59" s="1"/>
  <c r="L1466" i="59" s="1"/>
  <c r="L1467" i="59" s="1"/>
  <c r="L1468" i="59" s="1"/>
  <c r="L1469" i="59" s="1"/>
  <c r="L1470" i="59" s="1"/>
  <c r="L1471" i="59" s="1"/>
  <c r="L1472" i="59" s="1"/>
  <c r="L1473" i="59" s="1"/>
  <c r="L1474" i="59" s="1"/>
  <c r="L1475" i="59" s="1"/>
  <c r="L1476" i="59" s="1"/>
  <c r="L1477" i="59" s="1"/>
  <c r="L1478" i="59" s="1"/>
  <c r="L1479" i="59" s="1"/>
  <c r="L1480" i="59" s="1"/>
  <c r="L1481" i="59" s="1"/>
  <c r="L1482" i="59" s="1"/>
  <c r="L1483" i="59" s="1"/>
  <c r="L1484" i="59" s="1"/>
  <c r="L1485" i="59" s="1"/>
  <c r="L1486" i="59" s="1"/>
  <c r="L1487" i="59" s="1"/>
  <c r="L1488" i="59" s="1"/>
  <c r="L1489" i="59" s="1"/>
  <c r="L1490" i="59" s="1"/>
  <c r="L1491" i="59" s="1"/>
  <c r="L1492" i="59" s="1"/>
  <c r="L1493" i="59" s="1"/>
  <c r="L1494" i="59" s="1"/>
  <c r="L1495" i="59" s="1"/>
  <c r="L1496" i="59" s="1"/>
  <c r="L1497" i="59" s="1"/>
  <c r="L1498" i="59" s="1"/>
  <c r="L1499" i="59" s="1"/>
  <c r="L1500" i="59" s="1"/>
  <c r="L1501" i="59" s="1"/>
  <c r="L1502" i="59" s="1"/>
  <c r="L1503" i="59" s="1"/>
  <c r="L1504" i="59" s="1"/>
  <c r="L1505" i="59" s="1"/>
  <c r="L1506" i="59" s="1"/>
  <c r="L1507" i="59" s="1"/>
  <c r="L1508" i="59" s="1"/>
  <c r="L1509" i="59" s="1"/>
  <c r="L1510" i="59" s="1"/>
  <c r="L1511" i="59" s="1"/>
  <c r="L1512" i="59" s="1"/>
  <c r="L1513" i="59" s="1"/>
  <c r="L1514" i="59" s="1"/>
  <c r="L1515" i="59" s="1"/>
  <c r="L1516" i="59" s="1"/>
  <c r="L1517" i="59" s="1"/>
  <c r="L1518" i="59" s="1"/>
  <c r="L1519" i="59" s="1"/>
  <c r="L1520" i="59" s="1"/>
  <c r="L1521" i="59" s="1"/>
  <c r="L1522" i="59" s="1"/>
  <c r="L1523" i="59" s="1"/>
  <c r="L1524" i="59" s="1"/>
  <c r="L1525" i="59" s="1"/>
  <c r="L1526" i="59" s="1"/>
  <c r="L1527" i="59" s="1"/>
  <c r="L1528" i="59" s="1"/>
  <c r="L1529" i="59" s="1"/>
  <c r="L1530" i="59" s="1"/>
  <c r="L1531" i="59" s="1"/>
  <c r="L1532" i="59" s="1"/>
  <c r="L1533" i="59" s="1"/>
  <c r="L1534" i="59" s="1"/>
  <c r="L1535" i="59" s="1"/>
  <c r="L1536" i="59" s="1"/>
  <c r="L1537" i="59" s="1"/>
  <c r="L1538" i="59" s="1"/>
  <c r="L1539" i="59" s="1"/>
  <c r="L1540" i="59" s="1"/>
  <c r="L1541" i="59" s="1"/>
  <c r="J1457" i="59"/>
  <c r="J1455" i="59"/>
  <c r="I1452" i="59"/>
  <c r="I1453" i="59" s="1"/>
  <c r="I1454" i="59" s="1"/>
  <c r="I1455" i="59" s="1"/>
  <c r="I1456" i="59" s="1"/>
  <c r="J1453" i="59"/>
  <c r="J1451" i="59"/>
  <c r="J1449" i="59"/>
  <c r="K1449" i="59"/>
  <c r="K1450" i="59" s="1"/>
  <c r="K1451" i="59" s="1"/>
  <c r="K1452" i="59" s="1"/>
  <c r="K1453" i="59" s="1"/>
  <c r="K1454" i="59" s="1"/>
  <c r="K1455" i="59" s="1"/>
  <c r="K1456" i="59" s="1"/>
  <c r="K1457" i="59" s="1"/>
  <c r="K1458" i="59" s="1"/>
  <c r="K1459" i="59" s="1"/>
  <c r="K1460" i="59" s="1"/>
  <c r="K1461" i="59" s="1"/>
  <c r="K1462" i="59" s="1"/>
  <c r="K1463" i="59" s="1"/>
  <c r="K1464" i="59" s="1"/>
  <c r="K1465" i="59" s="1"/>
  <c r="K1466" i="59" s="1"/>
  <c r="K1467" i="59" s="1"/>
  <c r="K1468" i="59" s="1"/>
  <c r="K1469" i="59" s="1"/>
  <c r="K1470" i="59" s="1"/>
  <c r="K1471" i="59" s="1"/>
  <c r="J1446" i="59"/>
  <c r="J1447" i="59"/>
  <c r="J1445" i="59"/>
  <c r="I1445" i="59"/>
  <c r="I1446" i="59" s="1"/>
  <c r="I1447" i="59" s="1"/>
  <c r="J1443" i="59"/>
  <c r="J1441" i="59"/>
  <c r="I1441" i="59"/>
  <c r="I1442" i="59" s="1"/>
  <c r="I1443" i="59" s="1"/>
  <c r="I1444" i="59" s="1"/>
  <c r="I1439" i="59"/>
  <c r="I1440" i="59" s="1"/>
  <c r="J1439" i="59"/>
  <c r="J1437" i="59"/>
  <c r="J1434" i="59"/>
  <c r="J1435" i="59"/>
  <c r="K1433" i="59"/>
  <c r="K1434" i="59" s="1"/>
  <c r="K1435" i="59" s="1"/>
  <c r="K1436" i="59" s="1"/>
  <c r="K1437" i="59" s="1"/>
  <c r="K1438" i="59" s="1"/>
  <c r="K1439" i="59" s="1"/>
  <c r="K1440" i="59" s="1"/>
  <c r="K1441" i="59" s="1"/>
  <c r="K1442" i="59" s="1"/>
  <c r="K1443" i="59" s="1"/>
  <c r="K1444" i="59" s="1"/>
  <c r="K1445" i="59" s="1"/>
  <c r="K1446" i="59" s="1"/>
  <c r="K1447" i="59" s="1"/>
  <c r="I1433" i="59"/>
  <c r="I1434" i="59" s="1"/>
  <c r="I1435" i="59" s="1"/>
  <c r="I1436" i="59" s="1"/>
  <c r="I1437" i="59" s="1"/>
  <c r="J1433" i="59"/>
  <c r="J1430" i="59"/>
  <c r="I1430" i="59"/>
  <c r="I1431" i="59" s="1"/>
  <c r="J1428" i="59"/>
  <c r="J1426" i="59"/>
  <c r="J1424" i="59"/>
  <c r="J1422" i="59"/>
  <c r="I1419" i="59"/>
  <c r="I1420" i="59" s="1"/>
  <c r="I1421" i="59" s="1"/>
  <c r="I1422" i="59" s="1"/>
  <c r="J1419" i="59"/>
  <c r="J1416" i="59"/>
  <c r="J1417" i="59"/>
  <c r="I1413" i="59"/>
  <c r="I1414" i="59" s="1"/>
  <c r="I1415" i="59" s="1"/>
  <c r="I1416" i="59" s="1"/>
  <c r="I1417" i="59" s="1"/>
  <c r="I1418" i="59" s="1"/>
  <c r="J1413" i="59"/>
  <c r="J1415" i="59"/>
  <c r="K1415" i="59"/>
  <c r="K1416" i="59" s="1"/>
  <c r="K1417" i="59" s="1"/>
  <c r="K1418" i="59" s="1"/>
  <c r="K1419" i="59" s="1"/>
  <c r="K1420" i="59" s="1"/>
  <c r="K1421" i="59" s="1"/>
  <c r="K1422" i="59" s="1"/>
  <c r="K1423" i="59" s="1"/>
  <c r="K1424" i="59" s="1"/>
  <c r="K1425" i="59" s="1"/>
  <c r="K1426" i="59" s="1"/>
  <c r="K1427" i="59" s="1"/>
  <c r="K1428" i="59" s="1"/>
  <c r="K1429" i="59" s="1"/>
  <c r="K1430" i="59" s="1"/>
  <c r="K1431" i="59" s="1"/>
  <c r="J1411" i="59"/>
  <c r="I1411" i="59"/>
  <c r="I1412" i="59" s="1"/>
  <c r="J1412" i="59"/>
  <c r="J1410" i="59"/>
  <c r="J1407" i="59"/>
  <c r="I1408" i="59"/>
  <c r="I1409" i="59" s="1"/>
  <c r="I1410" i="59" s="1"/>
  <c r="J1408" i="59"/>
  <c r="J1406" i="59"/>
  <c r="J1403" i="59"/>
  <c r="I1403" i="59"/>
  <c r="I1404" i="59" s="1"/>
  <c r="I1405" i="59" s="1"/>
  <c r="I1406" i="59" s="1"/>
  <c r="I1407" i="59" s="1"/>
  <c r="J1404" i="59"/>
  <c r="J1401" i="59"/>
  <c r="J1402" i="59"/>
  <c r="J1399" i="59"/>
  <c r="I1400" i="59"/>
  <c r="I1401" i="59" s="1"/>
  <c r="I1402" i="59" s="1"/>
  <c r="J1400" i="59"/>
  <c r="J1393" i="59"/>
  <c r="J1398" i="59"/>
  <c r="J1396" i="59"/>
  <c r="K1394" i="59"/>
  <c r="K1395" i="59" s="1"/>
  <c r="K1396" i="59" s="1"/>
  <c r="K1397" i="59" s="1"/>
  <c r="K1398" i="59" s="1"/>
  <c r="K1399" i="59" s="1"/>
  <c r="K1400" i="59" s="1"/>
  <c r="K1401" i="59" s="1"/>
  <c r="K1402" i="59" s="1"/>
  <c r="K1403" i="59" s="1"/>
  <c r="K1404" i="59" s="1"/>
  <c r="K1405" i="59" s="1"/>
  <c r="K1406" i="59" s="1"/>
  <c r="K1407" i="59" s="1"/>
  <c r="K1408" i="59" s="1"/>
  <c r="K1409" i="59" s="1"/>
  <c r="K1410" i="59" s="1"/>
  <c r="K1411" i="59" s="1"/>
  <c r="K1412" i="59" s="1"/>
  <c r="I1394" i="59"/>
  <c r="I1395" i="59" s="1"/>
  <c r="I1396" i="59" s="1"/>
  <c r="I1397" i="59" s="1"/>
  <c r="I1398" i="59" s="1"/>
  <c r="J1394" i="59"/>
  <c r="J1391" i="59"/>
  <c r="J1392" i="59"/>
  <c r="J1390" i="59"/>
  <c r="I1388" i="59"/>
  <c r="I1389" i="59" s="1"/>
  <c r="I1390" i="59" s="1"/>
  <c r="I1391" i="59" s="1"/>
  <c r="I1392" i="59" s="1"/>
  <c r="J1388" i="59"/>
  <c r="J1386" i="59"/>
  <c r="I1383" i="59"/>
  <c r="I1384" i="59" s="1"/>
  <c r="I1385" i="59" s="1"/>
  <c r="I1386" i="59" s="1"/>
  <c r="I1387" i="59" s="1"/>
  <c r="J1383" i="59"/>
  <c r="J1381" i="59"/>
  <c r="J1377" i="59"/>
  <c r="I1378" i="59"/>
  <c r="I1379" i="59" s="1"/>
  <c r="I1380" i="59" s="1"/>
  <c r="I1381" i="59" s="1"/>
  <c r="I1382" i="59" s="1"/>
  <c r="J1378" i="59"/>
  <c r="J1376" i="59"/>
  <c r="J1369" i="59"/>
  <c r="J1374" i="59"/>
  <c r="K1374" i="59"/>
  <c r="K1375" i="59" s="1"/>
  <c r="K1376" i="59" s="1"/>
  <c r="K1377" i="59" s="1"/>
  <c r="K1378" i="59" s="1"/>
  <c r="K1379" i="59" s="1"/>
  <c r="K1380" i="59" s="1"/>
  <c r="K1381" i="59" s="1"/>
  <c r="K1382" i="59" s="1"/>
  <c r="K1383" i="59" s="1"/>
  <c r="K1384" i="59" s="1"/>
  <c r="K1385" i="59" s="1"/>
  <c r="K1386" i="59" s="1"/>
  <c r="K1387" i="59" s="1"/>
  <c r="K1388" i="59" s="1"/>
  <c r="K1389" i="59" s="1"/>
  <c r="K1390" i="59" s="1"/>
  <c r="K1391" i="59" s="1"/>
  <c r="K1392" i="59" s="1"/>
  <c r="K1393" i="59" s="1"/>
  <c r="L1374" i="59"/>
  <c r="L1375" i="59" s="1"/>
  <c r="L1376" i="59" s="1"/>
  <c r="L1377" i="59" s="1"/>
  <c r="L1378" i="59" s="1"/>
  <c r="L1379" i="59" s="1"/>
  <c r="L1380" i="59" s="1"/>
  <c r="L1381" i="59" s="1"/>
  <c r="L1382" i="59" s="1"/>
  <c r="L1383" i="59" s="1"/>
  <c r="L1384" i="59" s="1"/>
  <c r="L1385" i="59" s="1"/>
  <c r="L1386" i="59" s="1"/>
  <c r="L1387" i="59" s="1"/>
  <c r="L1388" i="59" s="1"/>
  <c r="L1389" i="59" s="1"/>
  <c r="L1390" i="59" s="1"/>
  <c r="L1391" i="59" s="1"/>
  <c r="L1392" i="59" s="1"/>
  <c r="L1393" i="59" s="1"/>
  <c r="L1394" i="59" s="1"/>
  <c r="L1395" i="59" s="1"/>
  <c r="L1396" i="59" s="1"/>
  <c r="L1397" i="59" s="1"/>
  <c r="L1398" i="59" s="1"/>
  <c r="L1399" i="59" s="1"/>
  <c r="L1400" i="59" s="1"/>
  <c r="L1401" i="59" s="1"/>
  <c r="L1402" i="59" s="1"/>
  <c r="L1403" i="59" s="1"/>
  <c r="L1404" i="59" s="1"/>
  <c r="L1405" i="59" s="1"/>
  <c r="L1406" i="59" s="1"/>
  <c r="L1407" i="59" s="1"/>
  <c r="L1408" i="59" s="1"/>
  <c r="L1409" i="59" s="1"/>
  <c r="L1410" i="59" s="1"/>
  <c r="L1411" i="59" s="1"/>
  <c r="L1412" i="59" s="1"/>
  <c r="L1413" i="59" s="1"/>
  <c r="L1414" i="59" s="1"/>
  <c r="L1415" i="59" s="1"/>
  <c r="L1416" i="59" s="1"/>
  <c r="L1417" i="59" s="1"/>
  <c r="L1418" i="59" s="1"/>
  <c r="L1419" i="59" s="1"/>
  <c r="L1420" i="59" s="1"/>
  <c r="L1421" i="59" s="1"/>
  <c r="L1422" i="59" s="1"/>
  <c r="L1423" i="59" s="1"/>
  <c r="L1424" i="59" s="1"/>
  <c r="L1425" i="59" s="1"/>
  <c r="L1426" i="59" s="1"/>
  <c r="L1427" i="59" s="1"/>
  <c r="L1428" i="59" s="1"/>
  <c r="L1429" i="59" s="1"/>
  <c r="L1430" i="59" s="1"/>
  <c r="L1431" i="59" s="1"/>
  <c r="L1432" i="59" s="1"/>
  <c r="L1433" i="59" s="1"/>
  <c r="L1434" i="59" s="1"/>
  <c r="L1435" i="59" s="1"/>
  <c r="L1436" i="59" s="1"/>
  <c r="L1437" i="59" s="1"/>
  <c r="L1438" i="59" s="1"/>
  <c r="L1439" i="59" s="1"/>
  <c r="L1440" i="59" s="1"/>
  <c r="L1441" i="59" s="1"/>
  <c r="L1442" i="59" s="1"/>
  <c r="L1443" i="59" s="1"/>
  <c r="L1444" i="59" s="1"/>
  <c r="L1445" i="59" s="1"/>
  <c r="L1446" i="59" s="1"/>
  <c r="L1447" i="59" s="1"/>
  <c r="L1448" i="59" s="1"/>
  <c r="L1449" i="59" s="1"/>
  <c r="L1450" i="59" s="1"/>
  <c r="L1451" i="59" s="1"/>
  <c r="L1452" i="59" s="1"/>
  <c r="L1453" i="59" s="1"/>
  <c r="L1454" i="59" s="1"/>
  <c r="L1455" i="59" s="1"/>
  <c r="L1456" i="59" s="1"/>
  <c r="I1374" i="59"/>
  <c r="I1375" i="59" s="1"/>
  <c r="I1376" i="59" s="1"/>
  <c r="I1377" i="59" s="1"/>
  <c r="J1372" i="59"/>
  <c r="J1370" i="59"/>
  <c r="I1370" i="59"/>
  <c r="I1371" i="59" s="1"/>
  <c r="I1372" i="59" s="1"/>
  <c r="I1373" i="59" s="1"/>
  <c r="J1368" i="59"/>
  <c r="J1366" i="59"/>
  <c r="I1366" i="59"/>
  <c r="I1367" i="59" s="1"/>
  <c r="I1368" i="59" s="1"/>
  <c r="I1369" i="59" s="1"/>
  <c r="J1364" i="59"/>
  <c r="I1362" i="59"/>
  <c r="I1363" i="59" s="1"/>
  <c r="I1364" i="59" s="1"/>
  <c r="I1365" i="59" s="1"/>
  <c r="J1362" i="59"/>
  <c r="J1360" i="59"/>
  <c r="I1360" i="59"/>
  <c r="I1361" i="59" s="1"/>
  <c r="J1358" i="59"/>
  <c r="K1356" i="59"/>
  <c r="K1357" i="59" s="1"/>
  <c r="K1358" i="59" s="1"/>
  <c r="K1359" i="59" s="1"/>
  <c r="K1360" i="59" s="1"/>
  <c r="K1361" i="59" s="1"/>
  <c r="K1362" i="59" s="1"/>
  <c r="K1363" i="59" s="1"/>
  <c r="K1364" i="59" s="1"/>
  <c r="K1365" i="59" s="1"/>
  <c r="K1366" i="59" s="1"/>
  <c r="K1367" i="59" s="1"/>
  <c r="K1368" i="59" s="1"/>
  <c r="K1369" i="59" s="1"/>
  <c r="K1370" i="59" s="1"/>
  <c r="K1371" i="59" s="1"/>
  <c r="K1372" i="59" s="1"/>
  <c r="K1373" i="59" s="1"/>
  <c r="I1356" i="59"/>
  <c r="I1357" i="59" s="1"/>
  <c r="I1358" i="59" s="1"/>
  <c r="I1359" i="59" s="1"/>
  <c r="J1356" i="59"/>
  <c r="J1351" i="59"/>
  <c r="I1352" i="59"/>
  <c r="I1353" i="59" s="1"/>
  <c r="I1354" i="59" s="1"/>
  <c r="J1352" i="59"/>
  <c r="I1346" i="59"/>
  <c r="I1347" i="59" s="1"/>
  <c r="I1348" i="59" s="1"/>
  <c r="I1349" i="59" s="1"/>
  <c r="I1350" i="59" s="1"/>
  <c r="I1351" i="59" s="1"/>
  <c r="J1349" i="59"/>
  <c r="J1347" i="59"/>
  <c r="J1342" i="59"/>
  <c r="J1345" i="59"/>
  <c r="I1343" i="59"/>
  <c r="I1344" i="59" s="1"/>
  <c r="I1345" i="59" s="1"/>
  <c r="J1343" i="59"/>
  <c r="J1341" i="59"/>
  <c r="J1339" i="59"/>
  <c r="J1336" i="59"/>
  <c r="K1336" i="59"/>
  <c r="K1337" i="59" s="1"/>
  <c r="K1338" i="59" s="1"/>
  <c r="K1339" i="59" s="1"/>
  <c r="K1340" i="59" s="1"/>
  <c r="K1341" i="59" s="1"/>
  <c r="K1342" i="59" s="1"/>
  <c r="K1343" i="59" s="1"/>
  <c r="K1344" i="59" s="1"/>
  <c r="K1345" i="59" s="1"/>
  <c r="K1346" i="59" s="1"/>
  <c r="K1347" i="59" s="1"/>
  <c r="K1348" i="59" s="1"/>
  <c r="K1349" i="59" s="1"/>
  <c r="K1350" i="59" s="1"/>
  <c r="K1351" i="59" s="1"/>
  <c r="K1352" i="59" s="1"/>
  <c r="K1353" i="59" s="1"/>
  <c r="K1354" i="59" s="1"/>
  <c r="K1355" i="59" s="1"/>
  <c r="I1336" i="59"/>
  <c r="I1337" i="59" s="1"/>
  <c r="I1338" i="59" s="1"/>
  <c r="I1339" i="59" s="1"/>
  <c r="I1340" i="59" s="1"/>
  <c r="I1341" i="59" s="1"/>
  <c r="J1318" i="59"/>
  <c r="I1334" i="59"/>
  <c r="I1335" i="59" s="1"/>
  <c r="J1334" i="59"/>
  <c r="J1332" i="59"/>
  <c r="J1330" i="59"/>
  <c r="I1330" i="59"/>
  <c r="I1331" i="59" s="1"/>
  <c r="I1332" i="59" s="1"/>
  <c r="I1333" i="59" s="1"/>
  <c r="J1329" i="59"/>
  <c r="K1327" i="59"/>
  <c r="K1328" i="59" s="1"/>
  <c r="K1329" i="59" s="1"/>
  <c r="K1330" i="59" s="1"/>
  <c r="K1331" i="59" s="1"/>
  <c r="K1332" i="59" s="1"/>
  <c r="K1333" i="59" s="1"/>
  <c r="K1334" i="59" s="1"/>
  <c r="K1335" i="59" s="1"/>
  <c r="J1327" i="59"/>
  <c r="I1327" i="59"/>
  <c r="I1328" i="59" s="1"/>
  <c r="I1329" i="59" s="1"/>
  <c r="L1318" i="59"/>
  <c r="L1319" i="59" s="1"/>
  <c r="L1320" i="59" s="1"/>
  <c r="L1321" i="59" s="1"/>
  <c r="L1322" i="59" s="1"/>
  <c r="L1323" i="59" s="1"/>
  <c r="L1324" i="59" s="1"/>
  <c r="L1325" i="59" s="1"/>
  <c r="L1326" i="59" s="1"/>
  <c r="L1327" i="59" s="1"/>
  <c r="L1328" i="59" s="1"/>
  <c r="L1329" i="59" s="1"/>
  <c r="L1330" i="59" s="1"/>
  <c r="L1331" i="59" s="1"/>
  <c r="L1332" i="59" s="1"/>
  <c r="L1333" i="59" s="1"/>
  <c r="L1334" i="59" s="1"/>
  <c r="L1335" i="59" s="1"/>
  <c r="L1336" i="59" s="1"/>
  <c r="L1337" i="59" s="1"/>
  <c r="L1338" i="59" s="1"/>
  <c r="L1339" i="59" s="1"/>
  <c r="L1340" i="59" s="1"/>
  <c r="L1341" i="59" s="1"/>
  <c r="L1342" i="59" s="1"/>
  <c r="L1343" i="59" s="1"/>
  <c r="L1344" i="59" s="1"/>
  <c r="L1345" i="59" s="1"/>
  <c r="L1346" i="59" s="1"/>
  <c r="L1347" i="59" s="1"/>
  <c r="L1348" i="59" s="1"/>
  <c r="L1349" i="59" s="1"/>
  <c r="L1350" i="59" s="1"/>
  <c r="L1351" i="59" s="1"/>
  <c r="L1352" i="59" s="1"/>
  <c r="L1353" i="59" s="1"/>
  <c r="L1354" i="59" s="1"/>
  <c r="L1355" i="59" s="1"/>
  <c r="L1356" i="59" s="1"/>
  <c r="L1357" i="59" s="1"/>
  <c r="L1358" i="59" s="1"/>
  <c r="L1359" i="59" s="1"/>
  <c r="L1360" i="59" s="1"/>
  <c r="L1361" i="59" s="1"/>
  <c r="L1362" i="59" s="1"/>
  <c r="L1363" i="59" s="1"/>
  <c r="L1364" i="59" s="1"/>
  <c r="L1365" i="59" s="1"/>
  <c r="L1366" i="59" s="1"/>
  <c r="L1367" i="59" s="1"/>
  <c r="L1368" i="59" s="1"/>
  <c r="L1369" i="59" s="1"/>
  <c r="L1370" i="59" s="1"/>
  <c r="L1371" i="59" s="1"/>
  <c r="L1372" i="59" s="1"/>
  <c r="L1373" i="59" s="1"/>
  <c r="J1319" i="59"/>
  <c r="I1319" i="59"/>
  <c r="J1314" i="59"/>
  <c r="J1317" i="59"/>
  <c r="J1315" i="59"/>
  <c r="I1315" i="59"/>
  <c r="I1316" i="59" s="1"/>
  <c r="I1317" i="59" s="1"/>
  <c r="J1313" i="59"/>
  <c r="J1308" i="59"/>
  <c r="J1310" i="59"/>
  <c r="J1311" i="59"/>
  <c r="I1297" i="59"/>
  <c r="I1298" i="59" s="1"/>
  <c r="J1309" i="59"/>
  <c r="I1309" i="59"/>
  <c r="I1310" i="59" s="1"/>
  <c r="I1311" i="59" s="1"/>
  <c r="I1312" i="59" s="1"/>
  <c r="I1313" i="59" s="1"/>
  <c r="J1306" i="59"/>
  <c r="J1307" i="59"/>
  <c r="I1305" i="59"/>
  <c r="I1306" i="59" s="1"/>
  <c r="I1307" i="59" s="1"/>
  <c r="J1305" i="59"/>
  <c r="J1303" i="59"/>
  <c r="J1300" i="59"/>
  <c r="I1300" i="59"/>
  <c r="I1301" i="59" s="1"/>
  <c r="I1302" i="59" s="1"/>
  <c r="I1303" i="59" s="1"/>
  <c r="I1304" i="59" s="1"/>
  <c r="J1301" i="59"/>
  <c r="J1298" i="59"/>
  <c r="J1287" i="59"/>
  <c r="J1296" i="59"/>
  <c r="I1294" i="59"/>
  <c r="I1295" i="59" s="1"/>
  <c r="I1296" i="59" s="1"/>
  <c r="J1294" i="59"/>
  <c r="J1292" i="59"/>
  <c r="J1289" i="59"/>
  <c r="J1290" i="59"/>
  <c r="I1290" i="59"/>
  <c r="I1291" i="59" s="1"/>
  <c r="I1292" i="59" s="1"/>
  <c r="I1293" i="59" s="1"/>
  <c r="J1288" i="59"/>
  <c r="I1288" i="59"/>
  <c r="J1286" i="59"/>
  <c r="J1284" i="59"/>
  <c r="J1262" i="59"/>
  <c r="I1282" i="59"/>
  <c r="I1283" i="59" s="1"/>
  <c r="I1284" i="59" s="1"/>
  <c r="I1285" i="59" s="1"/>
  <c r="I1286" i="59" s="1"/>
  <c r="K1282" i="59"/>
  <c r="K1283" i="59" s="1"/>
  <c r="K1284" i="59" s="1"/>
  <c r="K1285" i="59" s="1"/>
  <c r="K1286" i="59" s="1"/>
  <c r="K1287" i="59" s="1"/>
  <c r="K1288" i="59" s="1"/>
  <c r="K1289" i="59" s="1"/>
  <c r="K1290" i="59" s="1"/>
  <c r="K1291" i="59" s="1"/>
  <c r="K1292" i="59" s="1"/>
  <c r="K1293" i="59" s="1"/>
  <c r="K1294" i="59" s="1"/>
  <c r="K1295" i="59" s="1"/>
  <c r="K1296" i="59" s="1"/>
  <c r="K1297" i="59" s="1"/>
  <c r="K1298" i="59" s="1"/>
  <c r="K1299" i="59" s="1"/>
  <c r="K1300" i="59" s="1"/>
  <c r="K1301" i="59" s="1"/>
  <c r="K1302" i="59" s="1"/>
  <c r="K1303" i="59" s="1"/>
  <c r="K1304" i="59" s="1"/>
  <c r="K1305" i="59" s="1"/>
  <c r="K1306" i="59" s="1"/>
  <c r="K1307" i="59" s="1"/>
  <c r="K1308" i="59" s="1"/>
  <c r="K1309" i="59" s="1"/>
  <c r="K1310" i="59" s="1"/>
  <c r="K1311" i="59" s="1"/>
  <c r="K1312" i="59" s="1"/>
  <c r="K1313" i="59" s="1"/>
  <c r="K1314" i="59" s="1"/>
  <c r="K1315" i="59" s="1"/>
  <c r="K1316" i="59" s="1"/>
  <c r="K1317" i="59" s="1"/>
  <c r="K1318" i="59" s="1"/>
  <c r="K1319" i="59" s="1"/>
  <c r="J1282" i="59"/>
  <c r="J1265" i="59"/>
  <c r="J1263" i="59"/>
  <c r="I1263" i="59"/>
  <c r="I1264" i="59" s="1"/>
  <c r="I1265" i="59" s="1"/>
  <c r="I1266" i="59" s="1"/>
  <c r="I1267" i="59" s="1"/>
  <c r="I1268" i="59" s="1"/>
  <c r="K1263" i="59"/>
  <c r="K1264" i="59" s="1"/>
  <c r="K1265" i="59" s="1"/>
  <c r="K1266" i="59" s="1"/>
  <c r="K1267" i="59" s="1"/>
  <c r="K1268" i="59" s="1"/>
  <c r="K1269" i="59" s="1"/>
  <c r="K1270" i="59" s="1"/>
  <c r="K1271" i="59" s="1"/>
  <c r="K1272" i="59" s="1"/>
  <c r="K1273" i="59" s="1"/>
  <c r="K1274" i="59" s="1"/>
  <c r="K1275" i="59" s="1"/>
  <c r="K1276" i="59" s="1"/>
  <c r="K1277" i="59" s="1"/>
  <c r="K1278" i="59" s="1"/>
  <c r="K1279" i="59" s="1"/>
  <c r="K1280" i="59" s="1"/>
  <c r="K1281" i="59" s="1"/>
  <c r="J1261" i="59"/>
  <c r="J1259" i="59"/>
  <c r="I1259" i="59"/>
  <c r="I1260" i="59" s="1"/>
  <c r="I1261" i="59" s="1"/>
  <c r="I1257" i="59"/>
  <c r="I1258" i="59" s="1"/>
  <c r="J1257" i="59"/>
  <c r="J1254" i="59"/>
  <c r="J1255" i="59"/>
  <c r="J1253" i="59"/>
  <c r="J1251" i="59"/>
  <c r="I1251" i="59"/>
  <c r="I1252" i="59" s="1"/>
  <c r="I1253" i="59" s="1"/>
  <c r="I1254" i="59" s="1"/>
  <c r="I1255" i="59" s="1"/>
  <c r="I1256" i="59" s="1"/>
  <c r="J1244" i="59"/>
  <c r="J1248" i="59"/>
  <c r="J1249" i="59"/>
  <c r="I1247" i="59"/>
  <c r="I1248" i="59" s="1"/>
  <c r="I1249" i="59" s="1"/>
  <c r="I1250" i="59" s="1"/>
  <c r="K1247" i="59"/>
  <c r="K1248" i="59" s="1"/>
  <c r="K1249" i="59" s="1"/>
  <c r="K1250" i="59" s="1"/>
  <c r="K1251" i="59" s="1"/>
  <c r="K1252" i="59" s="1"/>
  <c r="K1253" i="59" s="1"/>
  <c r="K1254" i="59" s="1"/>
  <c r="K1255" i="59" s="1"/>
  <c r="K1256" i="59" s="1"/>
  <c r="K1257" i="59" s="1"/>
  <c r="K1258" i="59" s="1"/>
  <c r="K1259" i="59" s="1"/>
  <c r="K1260" i="59" s="1"/>
  <c r="K1261" i="59" s="1"/>
  <c r="K1262" i="59" s="1"/>
  <c r="J1247" i="59"/>
  <c r="J1245" i="59"/>
  <c r="I1245" i="59"/>
  <c r="I1246" i="59" s="1"/>
  <c r="L1240" i="59"/>
  <c r="L1241" i="59" s="1"/>
  <c r="L1242" i="59" s="1"/>
  <c r="L1243" i="59" s="1"/>
  <c r="L1244" i="59" s="1"/>
  <c r="L1245" i="59" s="1"/>
  <c r="L1246" i="59" s="1"/>
  <c r="L1247" i="59" s="1"/>
  <c r="L1248" i="59" s="1"/>
  <c r="L1249" i="59" s="1"/>
  <c r="L1250" i="59" s="1"/>
  <c r="L1251" i="59" s="1"/>
  <c r="L1252" i="59" s="1"/>
  <c r="L1253" i="59" s="1"/>
  <c r="L1254" i="59" s="1"/>
  <c r="L1255" i="59" s="1"/>
  <c r="L1256" i="59" s="1"/>
  <c r="L1257" i="59" s="1"/>
  <c r="L1258" i="59" s="1"/>
  <c r="L1259" i="59" s="1"/>
  <c r="L1260" i="59" s="1"/>
  <c r="L1261" i="59" s="1"/>
  <c r="L1262" i="59" s="1"/>
  <c r="L1263" i="59" s="1"/>
  <c r="L1264" i="59" s="1"/>
  <c r="L1265" i="59" s="1"/>
  <c r="L1266" i="59" s="1"/>
  <c r="L1267" i="59" s="1"/>
  <c r="L1268" i="59" s="1"/>
  <c r="L1269" i="59" s="1"/>
  <c r="L1270" i="59" s="1"/>
  <c r="L1271" i="59" s="1"/>
  <c r="L1272" i="59" s="1"/>
  <c r="L1273" i="59" s="1"/>
  <c r="L1274" i="59" s="1"/>
  <c r="L1275" i="59" s="1"/>
  <c r="L1276" i="59" s="1"/>
  <c r="L1277" i="59" s="1"/>
  <c r="L1278" i="59" s="1"/>
  <c r="L1279" i="59" s="1"/>
  <c r="L1280" i="59" s="1"/>
  <c r="L1281" i="59" s="1"/>
  <c r="L1282" i="59" s="1"/>
  <c r="L1283" i="59" s="1"/>
  <c r="L1284" i="59" s="1"/>
  <c r="L1285" i="59" s="1"/>
  <c r="L1286" i="59" s="1"/>
  <c r="L1287" i="59" s="1"/>
  <c r="L1288" i="59" s="1"/>
  <c r="L1289" i="59" s="1"/>
  <c r="L1290" i="59" s="1"/>
  <c r="L1291" i="59" s="1"/>
  <c r="L1292" i="59" s="1"/>
  <c r="L1293" i="59" s="1"/>
  <c r="L1294" i="59" s="1"/>
  <c r="L1295" i="59" s="1"/>
  <c r="L1296" i="59" s="1"/>
  <c r="L1297" i="59" s="1"/>
  <c r="L1298" i="59" s="1"/>
  <c r="L1299" i="59" s="1"/>
  <c r="L1300" i="59" s="1"/>
  <c r="L1301" i="59" s="1"/>
  <c r="L1302" i="59" s="1"/>
  <c r="L1303" i="59" s="1"/>
  <c r="L1304" i="59" s="1"/>
  <c r="L1305" i="59" s="1"/>
  <c r="L1306" i="59" s="1"/>
  <c r="L1307" i="59" s="1"/>
  <c r="L1308" i="59" s="1"/>
  <c r="L1309" i="59" s="1"/>
  <c r="L1310" i="59" s="1"/>
  <c r="L1311" i="59" s="1"/>
  <c r="L1312" i="59" s="1"/>
  <c r="L1313" i="59" s="1"/>
  <c r="L1314" i="59" s="1"/>
  <c r="L1315" i="59" s="1"/>
  <c r="L1316" i="59" s="1"/>
  <c r="L1317" i="59" s="1"/>
  <c r="J1243" i="59"/>
  <c r="J1240" i="59"/>
  <c r="I1241" i="59"/>
  <c r="I1242" i="59" s="1"/>
  <c r="I1243" i="59" s="1"/>
  <c r="J1241" i="59"/>
  <c r="J1238" i="59"/>
  <c r="J1236" i="59"/>
  <c r="I1230" i="59"/>
  <c r="I1231" i="59" s="1"/>
  <c r="I1232" i="59" s="1"/>
  <c r="I1233" i="59"/>
  <c r="I1234" i="59" s="1"/>
  <c r="I1235" i="59" s="1"/>
  <c r="I1236" i="59" s="1"/>
  <c r="I1237" i="59" s="1"/>
  <c r="I1238" i="59" s="1"/>
  <c r="J1233" i="59"/>
  <c r="K1233" i="59"/>
  <c r="K1234" i="59" s="1"/>
  <c r="K1235" i="59" s="1"/>
  <c r="K1236" i="59" s="1"/>
  <c r="K1237" i="59" s="1"/>
  <c r="K1238" i="59" s="1"/>
  <c r="K1239" i="59" s="1"/>
  <c r="K1240" i="59" s="1"/>
  <c r="K1241" i="59" s="1"/>
  <c r="K1242" i="59" s="1"/>
  <c r="K1243" i="59" s="1"/>
  <c r="K1244" i="59" s="1"/>
  <c r="K1245" i="59" s="1"/>
  <c r="K1246" i="59" s="1"/>
  <c r="J1231" i="59"/>
  <c r="J1219" i="59"/>
  <c r="J1229" i="59"/>
  <c r="J1227" i="59"/>
  <c r="I1227" i="59"/>
  <c r="I1228" i="59" s="1"/>
  <c r="I1229" i="59" s="1"/>
  <c r="J1225" i="59"/>
  <c r="J1221" i="59"/>
  <c r="I1213" i="59"/>
  <c r="I1214" i="59" s="1"/>
  <c r="J1222" i="59"/>
  <c r="I1222" i="59"/>
  <c r="I1223" i="59" s="1"/>
  <c r="I1224" i="59" s="1"/>
  <c r="I1225" i="59" s="1"/>
  <c r="I1226" i="59" s="1"/>
  <c r="I1220" i="59"/>
  <c r="I1221" i="59" s="1"/>
  <c r="J1220" i="59"/>
  <c r="K1215" i="59"/>
  <c r="K1216" i="59" s="1"/>
  <c r="K1217" i="59" s="1"/>
  <c r="K1218" i="59" s="1"/>
  <c r="K1219" i="59" s="1"/>
  <c r="K1220" i="59" s="1"/>
  <c r="K1221" i="59" s="1"/>
  <c r="K1222" i="59" s="1"/>
  <c r="K1223" i="59" s="1"/>
  <c r="K1224" i="59" s="1"/>
  <c r="K1225" i="59" s="1"/>
  <c r="K1226" i="59" s="1"/>
  <c r="K1227" i="59" s="1"/>
  <c r="K1228" i="59" s="1"/>
  <c r="K1229" i="59" s="1"/>
  <c r="K1230" i="59" s="1"/>
  <c r="K1231" i="59" s="1"/>
  <c r="K1232" i="59" s="1"/>
  <c r="J1218" i="59"/>
  <c r="J1215" i="59"/>
  <c r="I1216" i="59"/>
  <c r="I1217" i="59" s="1"/>
  <c r="I1218" i="59" s="1"/>
  <c r="J1216" i="59"/>
  <c r="J1214" i="59"/>
  <c r="J1209" i="59"/>
  <c r="J1212" i="59"/>
  <c r="J1210" i="59"/>
  <c r="I1210" i="59"/>
  <c r="I1211" i="59" s="1"/>
  <c r="I1212" i="59" s="1"/>
  <c r="J1208" i="59"/>
  <c r="I1205" i="59"/>
  <c r="I1206" i="59" s="1"/>
  <c r="I1207" i="59" s="1"/>
  <c r="I1208" i="59" s="1"/>
  <c r="J1206" i="59"/>
  <c r="J1204" i="59"/>
  <c r="J1202" i="59"/>
  <c r="I1199" i="59"/>
  <c r="I1200" i="59" s="1"/>
  <c r="I1201" i="59" s="1"/>
  <c r="I1202" i="59" s="1"/>
  <c r="I1203" i="59" s="1"/>
  <c r="I1204" i="59" s="1"/>
  <c r="J1200" i="59"/>
  <c r="I1192" i="59"/>
  <c r="J1197" i="59"/>
  <c r="J1195" i="59"/>
  <c r="I1193" i="59"/>
  <c r="I1194" i="59" s="1"/>
  <c r="I1195" i="59" s="1"/>
  <c r="I1196" i="59" s="1"/>
  <c r="I1197" i="59" s="1"/>
  <c r="I1198" i="59" s="1"/>
  <c r="J1193" i="59"/>
  <c r="I1188" i="59"/>
  <c r="I1189" i="59" s="1"/>
  <c r="I1190" i="59" s="1"/>
  <c r="I1191" i="59" s="1"/>
  <c r="J1191" i="59"/>
  <c r="J1189" i="59"/>
  <c r="J1187" i="59"/>
  <c r="J1183" i="59"/>
  <c r="I1183" i="59"/>
  <c r="I1184" i="59" s="1"/>
  <c r="I1185" i="59" s="1"/>
  <c r="I1186" i="59" s="1"/>
  <c r="I1187" i="59" s="1"/>
  <c r="J1181" i="59"/>
  <c r="I1179" i="59"/>
  <c r="I1180" i="59" s="1"/>
  <c r="I1181" i="59" s="1"/>
  <c r="I1182" i="59" s="1"/>
  <c r="K1179" i="59"/>
  <c r="K1180" i="59" s="1"/>
  <c r="K1181" i="59" s="1"/>
  <c r="K1182" i="59" s="1"/>
  <c r="K1183" i="59" s="1"/>
  <c r="K1184" i="59" s="1"/>
  <c r="K1185" i="59" s="1"/>
  <c r="K1186" i="59" s="1"/>
  <c r="K1187" i="59" s="1"/>
  <c r="K1188" i="59" s="1"/>
  <c r="K1189" i="59" s="1"/>
  <c r="K1190" i="59" s="1"/>
  <c r="K1191" i="59" s="1"/>
  <c r="K1192" i="59" s="1"/>
  <c r="K1193" i="59" s="1"/>
  <c r="K1194" i="59" s="1"/>
  <c r="K1195" i="59" s="1"/>
  <c r="K1196" i="59" s="1"/>
  <c r="K1197" i="59" s="1"/>
  <c r="K1198" i="59" s="1"/>
  <c r="K1199" i="59" s="1"/>
  <c r="K1200" i="59" s="1"/>
  <c r="K1201" i="59" s="1"/>
  <c r="K1202" i="59" s="1"/>
  <c r="K1203" i="59" s="1"/>
  <c r="K1204" i="59" s="1"/>
  <c r="K1205" i="59" s="1"/>
  <c r="K1206" i="59" s="1"/>
  <c r="K1207" i="59" s="1"/>
  <c r="K1208" i="59" s="1"/>
  <c r="K1209" i="59" s="1"/>
  <c r="K1210" i="59" s="1"/>
  <c r="K1211" i="59" s="1"/>
  <c r="K1212" i="59" s="1"/>
  <c r="K1213" i="59" s="1"/>
  <c r="K1214" i="59" s="1"/>
  <c r="J1179" i="59"/>
  <c r="I1176" i="59"/>
  <c r="I1177" i="59" s="1"/>
  <c r="I1178" i="59" s="1"/>
  <c r="J1176" i="59"/>
  <c r="J1174" i="59"/>
  <c r="J1171" i="59"/>
  <c r="J1167" i="59"/>
  <c r="J1172" i="59"/>
  <c r="I1170" i="59"/>
  <c r="I1171" i="59" s="1"/>
  <c r="I1172" i="59" s="1"/>
  <c r="I1173" i="59" s="1"/>
  <c r="I1174" i="59" s="1"/>
  <c r="I1175" i="59" s="1"/>
  <c r="J1170" i="59"/>
  <c r="J1168" i="59"/>
  <c r="I1168" i="59"/>
  <c r="I1169" i="59" s="1"/>
  <c r="J1166" i="59"/>
  <c r="I1162" i="59"/>
  <c r="I1163" i="59" s="1"/>
  <c r="I1164" i="59" s="1"/>
  <c r="I1165" i="59" s="1"/>
  <c r="I1166" i="59" s="1"/>
  <c r="J1162" i="59"/>
  <c r="J1163" i="59"/>
  <c r="J1161" i="59"/>
  <c r="K1159" i="59"/>
  <c r="K1160" i="59" s="1"/>
  <c r="K1161" i="59" s="1"/>
  <c r="K1162" i="59" s="1"/>
  <c r="K1163" i="59" s="1"/>
  <c r="K1164" i="59" s="1"/>
  <c r="K1165" i="59" s="1"/>
  <c r="K1166" i="59" s="1"/>
  <c r="K1167" i="59" s="1"/>
  <c r="K1168" i="59" s="1"/>
  <c r="K1169" i="59" s="1"/>
  <c r="K1170" i="59" s="1"/>
  <c r="K1171" i="59" s="1"/>
  <c r="K1172" i="59" s="1"/>
  <c r="K1173" i="59" s="1"/>
  <c r="K1174" i="59" s="1"/>
  <c r="K1175" i="59" s="1"/>
  <c r="K1176" i="59" s="1"/>
  <c r="K1177" i="59" s="1"/>
  <c r="K1178" i="59" s="1"/>
  <c r="I1159" i="59"/>
  <c r="I1160" i="59" s="1"/>
  <c r="I1161" i="59" s="1"/>
  <c r="J1159" i="59"/>
  <c r="L1159" i="59"/>
  <c r="L1160" i="59" s="1"/>
  <c r="L1161" i="59" s="1"/>
  <c r="L1162" i="59" s="1"/>
  <c r="L1163" i="59" s="1"/>
  <c r="L1164" i="59" s="1"/>
  <c r="L1165" i="59" s="1"/>
  <c r="L1166" i="59" s="1"/>
  <c r="L1167" i="59" s="1"/>
  <c r="L1168" i="59" s="1"/>
  <c r="L1169" i="59" s="1"/>
  <c r="L1170" i="59" s="1"/>
  <c r="L1171" i="59" s="1"/>
  <c r="L1172" i="59" s="1"/>
  <c r="L1173" i="59" s="1"/>
  <c r="L1174" i="59" s="1"/>
  <c r="L1175" i="59" s="1"/>
  <c r="L1176" i="59" s="1"/>
  <c r="L1177" i="59" s="1"/>
  <c r="L1178" i="59" s="1"/>
  <c r="L1179" i="59" s="1"/>
  <c r="L1180" i="59" s="1"/>
  <c r="L1181" i="59" s="1"/>
  <c r="L1182" i="59" s="1"/>
  <c r="L1183" i="59" s="1"/>
  <c r="L1184" i="59" s="1"/>
  <c r="L1185" i="59" s="1"/>
  <c r="L1186" i="59" s="1"/>
  <c r="L1187" i="59" s="1"/>
  <c r="L1188" i="59" s="1"/>
  <c r="L1189" i="59" s="1"/>
  <c r="L1190" i="59" s="1"/>
  <c r="L1191" i="59" s="1"/>
  <c r="L1192" i="59" s="1"/>
  <c r="L1193" i="59" s="1"/>
  <c r="L1194" i="59" s="1"/>
  <c r="L1195" i="59" s="1"/>
  <c r="L1196" i="59" s="1"/>
  <c r="L1197" i="59" s="1"/>
  <c r="L1198" i="59" s="1"/>
  <c r="L1199" i="59" s="1"/>
  <c r="L1200" i="59" s="1"/>
  <c r="L1201" i="59" s="1"/>
  <c r="L1202" i="59" s="1"/>
  <c r="L1203" i="59" s="1"/>
  <c r="L1204" i="59" s="1"/>
  <c r="L1205" i="59" s="1"/>
  <c r="L1206" i="59" s="1"/>
  <c r="L1207" i="59" s="1"/>
  <c r="L1208" i="59" s="1"/>
  <c r="L1209" i="59" s="1"/>
  <c r="L1210" i="59" s="1"/>
  <c r="L1211" i="59" s="1"/>
  <c r="L1212" i="59" s="1"/>
  <c r="L1213" i="59" s="1"/>
  <c r="L1214" i="59" s="1"/>
  <c r="L1215" i="59" s="1"/>
  <c r="L1216" i="59" s="1"/>
  <c r="L1217" i="59" s="1"/>
  <c r="L1218" i="59" s="1"/>
  <c r="L1219" i="59" s="1"/>
  <c r="L1220" i="59" s="1"/>
  <c r="L1221" i="59" s="1"/>
  <c r="L1222" i="59" s="1"/>
  <c r="L1223" i="59" s="1"/>
  <c r="L1224" i="59" s="1"/>
  <c r="L1225" i="59" s="1"/>
  <c r="L1226" i="59" s="1"/>
  <c r="L1227" i="59" s="1"/>
  <c r="L1228" i="59" s="1"/>
  <c r="L1229" i="59" s="1"/>
  <c r="L1230" i="59" s="1"/>
  <c r="L1231" i="59" s="1"/>
  <c r="L1232" i="59" s="1"/>
  <c r="L1233" i="59" s="1"/>
  <c r="L1234" i="59" s="1"/>
  <c r="L1235" i="59" s="1"/>
  <c r="L1236" i="59" s="1"/>
  <c r="L1237" i="59" s="1"/>
  <c r="L1238" i="59" s="1"/>
  <c r="I1151" i="59"/>
  <c r="I1152" i="59" s="1"/>
  <c r="I1153" i="59" s="1"/>
  <c r="J1156" i="59"/>
  <c r="J1154" i="59"/>
  <c r="I1154" i="59"/>
  <c r="I1155" i="59" s="1"/>
  <c r="I1156" i="59" s="1"/>
  <c r="I1157" i="59" s="1"/>
  <c r="I1158" i="59" s="1"/>
  <c r="J1152" i="59"/>
  <c r="J1150" i="59"/>
  <c r="J1147" i="59"/>
  <c r="J1148" i="59"/>
  <c r="I1148" i="59"/>
  <c r="I1149" i="59" s="1"/>
  <c r="I1150" i="59" s="1"/>
  <c r="J1146" i="59"/>
  <c r="J992" i="59"/>
  <c r="J1144" i="59"/>
  <c r="J1142" i="59"/>
  <c r="J1140" i="59"/>
  <c r="L939" i="59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66" i="59" s="1"/>
  <c r="L967" i="59" s="1"/>
  <c r="L968" i="59" s="1"/>
  <c r="L969" i="59" s="1"/>
  <c r="L970" i="59" s="1"/>
  <c r="L971" i="59" s="1"/>
  <c r="L972" i="59" s="1"/>
  <c r="L973" i="59" s="1"/>
  <c r="L974" i="59" s="1"/>
  <c r="L975" i="59" s="1"/>
  <c r="L976" i="59" s="1"/>
  <c r="L977" i="59" s="1"/>
  <c r="L978" i="59" s="1"/>
  <c r="L979" i="59" s="1"/>
  <c r="L980" i="59" s="1"/>
  <c r="L981" i="59" s="1"/>
  <c r="L982" i="59" s="1"/>
  <c r="L983" i="59" s="1"/>
  <c r="L984" i="59" s="1"/>
  <c r="L985" i="59" s="1"/>
  <c r="L986" i="59" s="1"/>
  <c r="L987" i="59" s="1"/>
  <c r="L988" i="59" s="1"/>
  <c r="L989" i="59" s="1"/>
  <c r="L990" i="59" s="1"/>
  <c r="L991" i="59" s="1"/>
  <c r="L992" i="59" s="1"/>
  <c r="L993" i="59" s="1"/>
  <c r="L994" i="59" s="1"/>
  <c r="L995" i="59" s="1"/>
  <c r="L996" i="59" s="1"/>
  <c r="L997" i="59" s="1"/>
  <c r="J966" i="59"/>
  <c r="J1109" i="59"/>
  <c r="K1137" i="59"/>
  <c r="K1138" i="59" s="1"/>
  <c r="K1139" i="59" s="1"/>
  <c r="K1140" i="59" s="1"/>
  <c r="K1141" i="59" s="1"/>
  <c r="K1142" i="59" s="1"/>
  <c r="K1143" i="59" s="1"/>
  <c r="K1144" i="59" s="1"/>
  <c r="K1145" i="59" s="1"/>
  <c r="K1146" i="59" s="1"/>
  <c r="K1147" i="59" s="1"/>
  <c r="K1148" i="59" s="1"/>
  <c r="K1149" i="59" s="1"/>
  <c r="K1150" i="59" s="1"/>
  <c r="K1151" i="59" s="1"/>
  <c r="K1152" i="59" s="1"/>
  <c r="K1153" i="59" s="1"/>
  <c r="K1154" i="59" s="1"/>
  <c r="K1155" i="59" s="1"/>
  <c r="K1156" i="59" s="1"/>
  <c r="K1157" i="59" s="1"/>
  <c r="K1158" i="59" s="1"/>
  <c r="I1137" i="59"/>
  <c r="I1138" i="59" s="1"/>
  <c r="I1139" i="59" s="1"/>
  <c r="I1140" i="59" s="1"/>
  <c r="I1141" i="59" s="1"/>
  <c r="I1142" i="59" s="1"/>
  <c r="I1143" i="59" s="1"/>
  <c r="I1144" i="59" s="1"/>
  <c r="I1145" i="59" s="1"/>
  <c r="I1146" i="59" s="1"/>
  <c r="J1137" i="59"/>
  <c r="I1113" i="59"/>
  <c r="I1114" i="59" s="1"/>
  <c r="I939" i="59"/>
  <c r="I940" i="59" s="1"/>
  <c r="I941" i="59" s="1"/>
  <c r="I942" i="59" s="1"/>
  <c r="I943" i="59" s="1"/>
  <c r="I944" i="59" s="1"/>
  <c r="I945" i="59" s="1"/>
  <c r="J976" i="59"/>
  <c r="J1135" i="59"/>
  <c r="I1135" i="59"/>
  <c r="I1136" i="59" s="1"/>
  <c r="K971" i="59"/>
  <c r="K972" i="59" s="1"/>
  <c r="K973" i="59" s="1"/>
  <c r="K974" i="59" s="1"/>
  <c r="K975" i="59" s="1"/>
  <c r="K976" i="59" s="1"/>
  <c r="K977" i="59" s="1"/>
  <c r="K978" i="59" s="1"/>
  <c r="K979" i="59" s="1"/>
  <c r="K980" i="59" s="1"/>
  <c r="K981" i="59" s="1"/>
  <c r="K982" i="59" s="1"/>
  <c r="K983" i="59" s="1"/>
  <c r="K984" i="59" s="1"/>
  <c r="I1044" i="59"/>
  <c r="J939" i="59"/>
  <c r="I1125" i="59"/>
  <c r="I1126" i="59" s="1"/>
  <c r="I1127" i="59" s="1"/>
  <c r="J1133" i="59"/>
  <c r="J934" i="59"/>
  <c r="K999" i="59"/>
  <c r="K1000" i="59" s="1"/>
  <c r="K1001" i="59" s="1"/>
  <c r="K1002" i="59" s="1"/>
  <c r="K1003" i="59" s="1"/>
  <c r="K1004" i="59" s="1"/>
  <c r="K1005" i="59" s="1"/>
  <c r="K1006" i="59" s="1"/>
  <c r="K1007" i="59" s="1"/>
  <c r="K1008" i="59" s="1"/>
  <c r="K1009" i="59" s="1"/>
  <c r="K1010" i="59" s="1"/>
  <c r="K1011" i="59" s="1"/>
  <c r="K1012" i="59" s="1"/>
  <c r="K1013" i="59" s="1"/>
  <c r="K1014" i="59" s="1"/>
  <c r="K1015" i="59" s="1"/>
  <c r="K1016" i="59" s="1"/>
  <c r="K1017" i="59" s="1"/>
  <c r="K986" i="59"/>
  <c r="K987" i="59" s="1"/>
  <c r="K988" i="59" s="1"/>
  <c r="K989" i="59" s="1"/>
  <c r="K990" i="59" s="1"/>
  <c r="K991" i="59" s="1"/>
  <c r="K992" i="59" s="1"/>
  <c r="K993" i="59" s="1"/>
  <c r="K994" i="59" s="1"/>
  <c r="K995" i="59" s="1"/>
  <c r="K996" i="59" s="1"/>
  <c r="K997" i="59" s="1"/>
  <c r="K940" i="59"/>
  <c r="K941" i="59" s="1"/>
  <c r="K942" i="59" s="1"/>
  <c r="K943" i="59" s="1"/>
  <c r="K944" i="59" s="1"/>
  <c r="K945" i="59" s="1"/>
  <c r="K946" i="59" s="1"/>
  <c r="K947" i="59" s="1"/>
  <c r="K948" i="59" s="1"/>
  <c r="K949" i="59" s="1"/>
  <c r="K950" i="59" s="1"/>
  <c r="K951" i="59" s="1"/>
  <c r="K952" i="59" s="1"/>
  <c r="K953" i="59" s="1"/>
  <c r="K954" i="59" s="1"/>
  <c r="K955" i="59" s="1"/>
  <c r="K956" i="59" s="1"/>
  <c r="K957" i="59" s="1"/>
  <c r="I957" i="59"/>
  <c r="I1048" i="59"/>
  <c r="J1130" i="59"/>
  <c r="I970" i="59"/>
  <c r="I971" i="59" s="1"/>
  <c r="I972" i="59" s="1"/>
  <c r="I973" i="59" s="1"/>
  <c r="I974" i="59" s="1"/>
  <c r="J1000" i="59"/>
  <c r="J1046" i="59"/>
  <c r="J1069" i="59"/>
  <c r="J1094" i="59"/>
  <c r="J1098" i="59"/>
  <c r="J1107" i="59"/>
  <c r="J947" i="59"/>
  <c r="I951" i="59"/>
  <c r="I952" i="59" s="1"/>
  <c r="I953" i="59" s="1"/>
  <c r="J970" i="59"/>
  <c r="J1055" i="59"/>
  <c r="J951" i="59"/>
  <c r="J931" i="59"/>
  <c r="J955" i="59"/>
  <c r="K960" i="59"/>
  <c r="K961" i="59" s="1"/>
  <c r="K962" i="59" s="1"/>
  <c r="K963" i="59" s="1"/>
  <c r="K964" i="59" s="1"/>
  <c r="K965" i="59" s="1"/>
  <c r="K966" i="59" s="1"/>
  <c r="K967" i="59" s="1"/>
  <c r="K968" i="59" s="1"/>
  <c r="K969" i="59" s="1"/>
  <c r="J964" i="59"/>
  <c r="J978" i="59"/>
  <c r="J990" i="59"/>
  <c r="I1055" i="59"/>
  <c r="I1056" i="59" s="1"/>
  <c r="I1057" i="59" s="1"/>
  <c r="I1058" i="59" s="1"/>
  <c r="I1059" i="59" s="1"/>
  <c r="I1060" i="59" s="1"/>
  <c r="I1061" i="59" s="1"/>
  <c r="J1075" i="59"/>
  <c r="J929" i="59"/>
  <c r="J968" i="59"/>
  <c r="J998" i="59"/>
  <c r="J1044" i="59"/>
  <c r="J1079" i="59"/>
  <c r="J1084" i="59"/>
  <c r="J986" i="59"/>
  <c r="I998" i="59"/>
  <c r="I999" i="59" s="1"/>
  <c r="I1000" i="59" s="1"/>
  <c r="I1001" i="59" s="1"/>
  <c r="I1002" i="59" s="1"/>
  <c r="I1003" i="59" s="1"/>
  <c r="L998" i="59"/>
  <c r="L999" i="59" s="1"/>
  <c r="L1000" i="59" s="1"/>
  <c r="L1001" i="59" s="1"/>
  <c r="L1002" i="59" s="1"/>
  <c r="L1003" i="59" s="1"/>
  <c r="L1004" i="59" s="1"/>
  <c r="L1005" i="59" s="1"/>
  <c r="L1006" i="59" s="1"/>
  <c r="L1007" i="59" s="1"/>
  <c r="L1008" i="59" s="1"/>
  <c r="L1009" i="59" s="1"/>
  <c r="L1010" i="59" s="1"/>
  <c r="L1011" i="59" s="1"/>
  <c r="L1012" i="59" s="1"/>
  <c r="L1013" i="59" s="1"/>
  <c r="L1014" i="59" s="1"/>
  <c r="L1015" i="59" s="1"/>
  <c r="L1016" i="59" s="1"/>
  <c r="L1017" i="59" s="1"/>
  <c r="L1018" i="59" s="1"/>
  <c r="L1019" i="59" s="1"/>
  <c r="L1020" i="59" s="1"/>
  <c r="L1021" i="59" s="1"/>
  <c r="L1022" i="59" s="1"/>
  <c r="L1023" i="59" s="1"/>
  <c r="L1024" i="59" s="1"/>
  <c r="L1025" i="59" s="1"/>
  <c r="L1026" i="59" s="1"/>
  <c r="L1027" i="59" s="1"/>
  <c r="L1028" i="59" s="1"/>
  <c r="L1029" i="59" s="1"/>
  <c r="L1030" i="59" s="1"/>
  <c r="L1031" i="59" s="1"/>
  <c r="L1032" i="59" s="1"/>
  <c r="L1033" i="59" s="1"/>
  <c r="L1034" i="59" s="1"/>
  <c r="L1035" i="59" s="1"/>
  <c r="L1036" i="59" s="1"/>
  <c r="L1037" i="59" s="1"/>
  <c r="L1038" i="59" s="1"/>
  <c r="L1039" i="59" s="1"/>
  <c r="L1040" i="59" s="1"/>
  <c r="L1041" i="59" s="1"/>
  <c r="L1042" i="59" s="1"/>
  <c r="L1043" i="59" s="1"/>
  <c r="L1044" i="59" s="1"/>
  <c r="L1045" i="59" s="1"/>
  <c r="L1046" i="59" s="1"/>
  <c r="L1047" i="59" s="1"/>
  <c r="L1048" i="59" s="1"/>
  <c r="L1049" i="59" s="1"/>
  <c r="L1050" i="59" s="1"/>
  <c r="L1051" i="59" s="1"/>
  <c r="L1052" i="59" s="1"/>
  <c r="L1053" i="59" s="1"/>
  <c r="L1054" i="59" s="1"/>
  <c r="L1055" i="59" s="1"/>
  <c r="L1056" i="59" s="1"/>
  <c r="L1057" i="59" s="1"/>
  <c r="L1058" i="59" s="1"/>
  <c r="L1059" i="59" s="1"/>
  <c r="L1060" i="59" s="1"/>
  <c r="L1061" i="59" s="1"/>
  <c r="L1062" i="59" s="1"/>
  <c r="L1063" i="59" s="1"/>
  <c r="L1064" i="59" s="1"/>
  <c r="L1065" i="59" s="1"/>
  <c r="L1066" i="59" s="1"/>
  <c r="L1067" i="59" s="1"/>
  <c r="L1068" i="59" s="1"/>
  <c r="L1069" i="59" s="1"/>
  <c r="L1070" i="59" s="1"/>
  <c r="L1071" i="59" s="1"/>
  <c r="L1072" i="59" s="1"/>
  <c r="L1073" i="59" s="1"/>
  <c r="L1074" i="59" s="1"/>
  <c r="L1075" i="59" s="1"/>
  <c r="I1128" i="59"/>
  <c r="I1129" i="59" s="1"/>
  <c r="I1130" i="59" s="1"/>
  <c r="I1131" i="59" s="1"/>
  <c r="I1132" i="59" s="1"/>
  <c r="I1133" i="59" s="1"/>
  <c r="I1134" i="59" s="1"/>
  <c r="J1128" i="59"/>
  <c r="J1126" i="59"/>
  <c r="J1124" i="59"/>
  <c r="J1121" i="59"/>
  <c r="I1121" i="59"/>
  <c r="I1122" i="59" s="1"/>
  <c r="I1123" i="59" s="1"/>
  <c r="I1124" i="59" s="1"/>
  <c r="J1122" i="59"/>
  <c r="J1120" i="59"/>
  <c r="J1118" i="59"/>
  <c r="J1115" i="59"/>
  <c r="K1115" i="59"/>
  <c r="K1116" i="59" s="1"/>
  <c r="K1117" i="59" s="1"/>
  <c r="K1118" i="59" s="1"/>
  <c r="K1119" i="59" s="1"/>
  <c r="K1120" i="59" s="1"/>
  <c r="K1121" i="59" s="1"/>
  <c r="K1122" i="59" s="1"/>
  <c r="K1123" i="59" s="1"/>
  <c r="K1124" i="59" s="1"/>
  <c r="K1125" i="59" s="1"/>
  <c r="K1126" i="59" s="1"/>
  <c r="K1127" i="59" s="1"/>
  <c r="K1128" i="59" s="1"/>
  <c r="K1129" i="59" s="1"/>
  <c r="K1130" i="59" s="1"/>
  <c r="K1131" i="59" s="1"/>
  <c r="K1132" i="59" s="1"/>
  <c r="K1133" i="59" s="1"/>
  <c r="K1134" i="59" s="1"/>
  <c r="K1135" i="59" s="1"/>
  <c r="K1136" i="59" s="1"/>
  <c r="I1116" i="59"/>
  <c r="I1117" i="59" s="1"/>
  <c r="I1118" i="59" s="1"/>
  <c r="I1119" i="59" s="1"/>
  <c r="I1120" i="59" s="1"/>
  <c r="J1116" i="59"/>
  <c r="J1114" i="59"/>
  <c r="J1112" i="59"/>
  <c r="I1110" i="59"/>
  <c r="I1111" i="59" s="1"/>
  <c r="I1112" i="59" s="1"/>
  <c r="J1110" i="59"/>
  <c r="I1108" i="59"/>
  <c r="J1108" i="59"/>
  <c r="J1106" i="59"/>
  <c r="J1104" i="59"/>
  <c r="I1101" i="59"/>
  <c r="I1102" i="59" s="1"/>
  <c r="I1103" i="59" s="1"/>
  <c r="I1104" i="59" s="1"/>
  <c r="I1105" i="59" s="1"/>
  <c r="I1106" i="59" s="1"/>
  <c r="J1101" i="59"/>
  <c r="J1099" i="59"/>
  <c r="I1096" i="59"/>
  <c r="I1097" i="59" s="1"/>
  <c r="I1098" i="59" s="1"/>
  <c r="I1099" i="59" s="1"/>
  <c r="I1100" i="59" s="1"/>
  <c r="K1096" i="59"/>
  <c r="K1097" i="59" s="1"/>
  <c r="K1098" i="59" s="1"/>
  <c r="K1099" i="59" s="1"/>
  <c r="K1100" i="59" s="1"/>
  <c r="K1101" i="59" s="1"/>
  <c r="K1102" i="59" s="1"/>
  <c r="K1103" i="59" s="1"/>
  <c r="K1104" i="59" s="1"/>
  <c r="K1105" i="59" s="1"/>
  <c r="K1106" i="59" s="1"/>
  <c r="K1107" i="59" s="1"/>
  <c r="K1108" i="59" s="1"/>
  <c r="K1109" i="59" s="1"/>
  <c r="K1110" i="59" s="1"/>
  <c r="K1111" i="59" s="1"/>
  <c r="K1112" i="59" s="1"/>
  <c r="K1113" i="59" s="1"/>
  <c r="K1114" i="59" s="1"/>
  <c r="J1097" i="59"/>
  <c r="J1095" i="59"/>
  <c r="I1093" i="59"/>
  <c r="I1094" i="59" s="1"/>
  <c r="I1095" i="59" s="1"/>
  <c r="J1093" i="59"/>
  <c r="J1090" i="59"/>
  <c r="J1091" i="59"/>
  <c r="I1091" i="59"/>
  <c r="I1092" i="59" s="1"/>
  <c r="I1089" i="59"/>
  <c r="I1090" i="59" s="1"/>
  <c r="J1089" i="59"/>
  <c r="I1086" i="59"/>
  <c r="I1087" i="59" s="1"/>
  <c r="I1088" i="59" s="1"/>
  <c r="K1086" i="59"/>
  <c r="K1087" i="59" s="1"/>
  <c r="K1088" i="59" s="1"/>
  <c r="K1089" i="59" s="1"/>
  <c r="K1090" i="59" s="1"/>
  <c r="K1091" i="59" s="1"/>
  <c r="K1092" i="59" s="1"/>
  <c r="K1093" i="59" s="1"/>
  <c r="K1094" i="59" s="1"/>
  <c r="K1095" i="59" s="1"/>
  <c r="J1086" i="59"/>
  <c r="J1082" i="59"/>
  <c r="I1083" i="59"/>
  <c r="I1084" i="59" s="1"/>
  <c r="J1083" i="59"/>
  <c r="J1081" i="59"/>
  <c r="J1078" i="59"/>
  <c r="I1076" i="59"/>
  <c r="I1077" i="59" s="1"/>
  <c r="I1078" i="59" s="1"/>
  <c r="I1079" i="59" s="1"/>
  <c r="I1080" i="59" s="1"/>
  <c r="I1081" i="59" s="1"/>
  <c r="J1076" i="59"/>
  <c r="L1076" i="59"/>
  <c r="L1077" i="59" s="1"/>
  <c r="L1078" i="59" s="1"/>
  <c r="L1079" i="59" s="1"/>
  <c r="L1080" i="59" s="1"/>
  <c r="L1081" i="59" s="1"/>
  <c r="L1082" i="59" s="1"/>
  <c r="L1083" i="59" s="1"/>
  <c r="L1084" i="59" s="1"/>
  <c r="L1085" i="59" s="1"/>
  <c r="L1086" i="59" s="1"/>
  <c r="L1087" i="59" s="1"/>
  <c r="L1088" i="59" s="1"/>
  <c r="L1089" i="59" s="1"/>
  <c r="L1090" i="59" s="1"/>
  <c r="L1091" i="59" s="1"/>
  <c r="L1092" i="59" s="1"/>
  <c r="L1093" i="59" s="1"/>
  <c r="L1094" i="59" s="1"/>
  <c r="L1095" i="59" s="1"/>
  <c r="L1096" i="59" s="1"/>
  <c r="L1097" i="59" s="1"/>
  <c r="L1098" i="59" s="1"/>
  <c r="L1099" i="59" s="1"/>
  <c r="L1100" i="59" s="1"/>
  <c r="L1101" i="59" s="1"/>
  <c r="L1102" i="59" s="1"/>
  <c r="L1103" i="59" s="1"/>
  <c r="L1104" i="59" s="1"/>
  <c r="L1105" i="59" s="1"/>
  <c r="L1106" i="59" s="1"/>
  <c r="L1107" i="59" s="1"/>
  <c r="L1108" i="59" s="1"/>
  <c r="L1109" i="59" s="1"/>
  <c r="L1110" i="59" s="1"/>
  <c r="L1111" i="59" s="1"/>
  <c r="L1112" i="59" s="1"/>
  <c r="L1113" i="59" s="1"/>
  <c r="L1114" i="59" s="1"/>
  <c r="L1115" i="59" s="1"/>
  <c r="L1116" i="59" s="1"/>
  <c r="L1117" i="59" s="1"/>
  <c r="L1118" i="59" s="1"/>
  <c r="L1119" i="59" s="1"/>
  <c r="L1120" i="59" s="1"/>
  <c r="L1121" i="59" s="1"/>
  <c r="L1122" i="59" s="1"/>
  <c r="L1123" i="59" s="1"/>
  <c r="L1124" i="59" s="1"/>
  <c r="L1125" i="59" s="1"/>
  <c r="L1126" i="59" s="1"/>
  <c r="L1127" i="59" s="1"/>
  <c r="L1128" i="59" s="1"/>
  <c r="L1129" i="59" s="1"/>
  <c r="L1130" i="59" s="1"/>
  <c r="L1131" i="59" s="1"/>
  <c r="L1132" i="59" s="1"/>
  <c r="L1133" i="59" s="1"/>
  <c r="L1134" i="59" s="1"/>
  <c r="L1135" i="59" s="1"/>
  <c r="L1136" i="59" s="1"/>
  <c r="L1137" i="59" s="1"/>
  <c r="L1138" i="59" s="1"/>
  <c r="L1139" i="59" s="1"/>
  <c r="L1140" i="59" s="1"/>
  <c r="L1141" i="59" s="1"/>
  <c r="L1142" i="59" s="1"/>
  <c r="L1143" i="59" s="1"/>
  <c r="L1144" i="59" s="1"/>
  <c r="L1145" i="59" s="1"/>
  <c r="L1146" i="59" s="1"/>
  <c r="L1147" i="59" s="1"/>
  <c r="L1148" i="59" s="1"/>
  <c r="L1149" i="59" s="1"/>
  <c r="L1150" i="59" s="1"/>
  <c r="L1151" i="59" s="1"/>
  <c r="L1152" i="59" s="1"/>
  <c r="L1153" i="59" s="1"/>
  <c r="L1154" i="59" s="1"/>
  <c r="L1155" i="59" s="1"/>
  <c r="L1156" i="59" s="1"/>
  <c r="L1157" i="59" s="1"/>
  <c r="L1158" i="59" s="1"/>
  <c r="I1074" i="59"/>
  <c r="I1075" i="59" s="1"/>
  <c r="J1074" i="59"/>
  <c r="I1072" i="59"/>
  <c r="I1073" i="59" s="1"/>
  <c r="J1072" i="59"/>
  <c r="J1070" i="59"/>
  <c r="K1068" i="59"/>
  <c r="K1069" i="59" s="1"/>
  <c r="K1070" i="59" s="1"/>
  <c r="K1071" i="59" s="1"/>
  <c r="K1072" i="59" s="1"/>
  <c r="K1073" i="59" s="1"/>
  <c r="K1074" i="59" s="1"/>
  <c r="K1075" i="59" s="1"/>
  <c r="K1076" i="59" s="1"/>
  <c r="K1077" i="59" s="1"/>
  <c r="K1078" i="59" s="1"/>
  <c r="K1079" i="59" s="1"/>
  <c r="K1080" i="59" s="1"/>
  <c r="K1081" i="59" s="1"/>
  <c r="K1082" i="59" s="1"/>
  <c r="K1083" i="59" s="1"/>
  <c r="K1084" i="59" s="1"/>
  <c r="I1068" i="59"/>
  <c r="I1069" i="59" s="1"/>
  <c r="I1070" i="59" s="1"/>
  <c r="I1071" i="59" s="1"/>
  <c r="J1068" i="59"/>
  <c r="I1066" i="59"/>
  <c r="I1067" i="59" s="1"/>
  <c r="J1066" i="59"/>
  <c r="J1064" i="59"/>
  <c r="I1062" i="59"/>
  <c r="I1063" i="59" s="1"/>
  <c r="I1064" i="59" s="1"/>
  <c r="I1065" i="59" s="1"/>
  <c r="J1062" i="59"/>
  <c r="J1060" i="59"/>
  <c r="J1058" i="59"/>
  <c r="J1056" i="59"/>
  <c r="J1052" i="59"/>
  <c r="I1052" i="59"/>
  <c r="I1053" i="59" s="1"/>
  <c r="I1054" i="59" s="1"/>
  <c r="J1054" i="59"/>
  <c r="J1051" i="59"/>
  <c r="K1049" i="59"/>
  <c r="K1050" i="59" s="1"/>
  <c r="K1051" i="59" s="1"/>
  <c r="K1052" i="59" s="1"/>
  <c r="K1053" i="59" s="1"/>
  <c r="K1054" i="59" s="1"/>
  <c r="K1055" i="59" s="1"/>
  <c r="K1056" i="59" s="1"/>
  <c r="K1057" i="59" s="1"/>
  <c r="K1058" i="59" s="1"/>
  <c r="K1059" i="59" s="1"/>
  <c r="K1060" i="59" s="1"/>
  <c r="K1061" i="59" s="1"/>
  <c r="K1062" i="59" s="1"/>
  <c r="K1063" i="59" s="1"/>
  <c r="K1064" i="59" s="1"/>
  <c r="K1065" i="59" s="1"/>
  <c r="K1066" i="59" s="1"/>
  <c r="K1067" i="59" s="1"/>
  <c r="I1049" i="59"/>
  <c r="I1050" i="59" s="1"/>
  <c r="I1051" i="59" s="1"/>
  <c r="J1049" i="59"/>
  <c r="J1047" i="59"/>
  <c r="I1045" i="59"/>
  <c r="I1046" i="59" s="1"/>
  <c r="I1047" i="59" s="1"/>
  <c r="K1045" i="59"/>
  <c r="K1046" i="59" s="1"/>
  <c r="K1047" i="59" s="1"/>
  <c r="K1048" i="59" s="1"/>
  <c r="J1045" i="59"/>
  <c r="I1004" i="59"/>
  <c r="I1005" i="59" s="1"/>
  <c r="I1006" i="59" s="1"/>
  <c r="I1007" i="59" s="1"/>
  <c r="I1008" i="59" s="1"/>
  <c r="J1004" i="59"/>
  <c r="J1001" i="59"/>
  <c r="J999" i="59"/>
  <c r="J997" i="59"/>
  <c r="I994" i="59"/>
  <c r="I995" i="59" s="1"/>
  <c r="I996" i="59" s="1"/>
  <c r="I997" i="59" s="1"/>
  <c r="J994" i="59"/>
  <c r="J995" i="59"/>
  <c r="I993" i="59"/>
  <c r="J993" i="59"/>
  <c r="J991" i="59"/>
  <c r="J988" i="59"/>
  <c r="J989" i="59"/>
  <c r="I989" i="59"/>
  <c r="I990" i="59" s="1"/>
  <c r="I991" i="59" s="1"/>
  <c r="I987" i="59"/>
  <c r="J987" i="59"/>
  <c r="I985" i="59"/>
  <c r="I986" i="59" s="1"/>
  <c r="J985" i="59"/>
  <c r="I982" i="59"/>
  <c r="I983" i="59" s="1"/>
  <c r="I984" i="59" s="1"/>
  <c r="J983" i="59"/>
  <c r="J981" i="59"/>
  <c r="I981" i="59"/>
  <c r="J979" i="59"/>
  <c r="I977" i="59"/>
  <c r="I978" i="59" s="1"/>
  <c r="I979" i="59" s="1"/>
  <c r="I980" i="59" s="1"/>
  <c r="J977" i="59"/>
  <c r="I975" i="59"/>
  <c r="J975" i="59"/>
  <c r="J972" i="59"/>
  <c r="J973" i="59"/>
  <c r="J971" i="59"/>
  <c r="I969" i="59"/>
  <c r="J969" i="59"/>
  <c r="I967" i="59"/>
  <c r="J967" i="59"/>
  <c r="J965" i="59"/>
  <c r="I963" i="59"/>
  <c r="I964" i="59" s="1"/>
  <c r="I965" i="59" s="1"/>
  <c r="J963" i="59"/>
  <c r="J960" i="59"/>
  <c r="J961" i="59"/>
  <c r="I959" i="59"/>
  <c r="I960" i="59" s="1"/>
  <c r="I961" i="59" s="1"/>
  <c r="I962" i="59" s="1"/>
  <c r="J959" i="59"/>
  <c r="J956" i="59"/>
  <c r="I954" i="59"/>
  <c r="I955" i="59" s="1"/>
  <c r="I956" i="59" s="1"/>
  <c r="J954" i="59"/>
  <c r="J952" i="59"/>
  <c r="J950" i="59"/>
  <c r="J948" i="59"/>
  <c r="J945" i="59"/>
  <c r="I946" i="59"/>
  <c r="I947" i="59" s="1"/>
  <c r="I948" i="59" s="1"/>
  <c r="I949" i="59" s="1"/>
  <c r="I950" i="59" s="1"/>
  <c r="J946" i="59"/>
  <c r="J943" i="59"/>
  <c r="J940" i="59"/>
  <c r="J938" i="59"/>
  <c r="J935" i="59"/>
  <c r="I935" i="59"/>
  <c r="I936" i="59" s="1"/>
  <c r="I937" i="59" s="1"/>
  <c r="I938" i="59" s="1"/>
  <c r="J936" i="59"/>
  <c r="J932" i="59"/>
  <c r="I930" i="59"/>
  <c r="I931" i="59" s="1"/>
  <c r="I932" i="59" s="1"/>
  <c r="J930" i="59"/>
  <c r="J928" i="59"/>
  <c r="I926" i="59"/>
  <c r="I927" i="59" s="1"/>
  <c r="I928" i="59" s="1"/>
  <c r="J926" i="59"/>
  <c r="J923" i="59"/>
  <c r="I509" i="59"/>
  <c r="K509" i="59"/>
  <c r="L720" i="59"/>
  <c r="L721" i="59" s="1"/>
  <c r="L722" i="59" s="1"/>
  <c r="L723" i="59" s="1"/>
  <c r="L724" i="59" s="1"/>
  <c r="L725" i="59" s="1"/>
  <c r="L726" i="59" s="1"/>
  <c r="L727" i="59" s="1"/>
  <c r="L728" i="59" s="1"/>
  <c r="L729" i="59" s="1"/>
  <c r="L730" i="59" s="1"/>
  <c r="L731" i="59" s="1"/>
  <c r="K720" i="59"/>
  <c r="K721" i="59" s="1"/>
  <c r="K722" i="59" s="1"/>
  <c r="K723" i="59" s="1"/>
  <c r="K724" i="59" s="1"/>
  <c r="K725" i="59" s="1"/>
  <c r="K726" i="59" s="1"/>
  <c r="K727" i="59" s="1"/>
  <c r="K728" i="59" s="1"/>
  <c r="K729" i="59" s="1"/>
  <c r="K730" i="59" s="1"/>
  <c r="K731" i="59" s="1"/>
  <c r="I720" i="59"/>
  <c r="I721" i="59" s="1"/>
  <c r="I722" i="59" s="1"/>
  <c r="L509" i="59"/>
  <c r="J722" i="59"/>
  <c r="J724" i="59"/>
  <c r="J728" i="59"/>
  <c r="J731" i="59"/>
  <c r="I729" i="59"/>
  <c r="I730" i="59" s="1"/>
  <c r="I731" i="59" s="1"/>
  <c r="J729" i="59"/>
  <c r="J727" i="59"/>
  <c r="J725" i="59"/>
  <c r="I723" i="59"/>
  <c r="I724" i="59" s="1"/>
  <c r="I725" i="59" s="1"/>
  <c r="I726" i="59" s="1"/>
  <c r="I727" i="59" s="1"/>
  <c r="J723" i="59"/>
  <c r="J721" i="59"/>
  <c r="J702" i="59"/>
  <c r="I507" i="59"/>
  <c r="I508" i="59" s="1"/>
  <c r="J507" i="59"/>
  <c r="J36" i="59"/>
  <c r="J5" i="59"/>
  <c r="I5" i="59"/>
  <c r="I6" i="59" s="1"/>
  <c r="I250" i="59"/>
  <c r="I251" i="59" s="1"/>
  <c r="I252" i="59" s="1"/>
  <c r="J249" i="59"/>
  <c r="J250" i="59"/>
  <c r="J247" i="59"/>
  <c r="H625" i="59" l="1"/>
  <c r="I625" i="59" s="1"/>
  <c r="J625" i="59" l="1"/>
  <c r="H4" i="59"/>
  <c r="H7" i="59"/>
  <c r="I7" i="59" s="1"/>
  <c r="J4" i="59" l="1"/>
  <c r="J7" i="59"/>
  <c r="H57" i="59"/>
  <c r="J57" i="59" s="1"/>
  <c r="H42" i="59" l="1"/>
  <c r="H43" i="59"/>
  <c r="J43" i="59" s="1"/>
  <c r="H44" i="59"/>
  <c r="J44" i="59" s="1"/>
  <c r="H45" i="59"/>
  <c r="J45" i="59" s="1"/>
  <c r="H59" i="59"/>
  <c r="J59" i="59" s="1"/>
  <c r="H64" i="59"/>
  <c r="J64" i="59" s="1"/>
  <c r="H80" i="59"/>
  <c r="H83" i="59"/>
  <c r="I83" i="59" s="1"/>
  <c r="H94" i="59"/>
  <c r="J94" i="59" s="1"/>
  <c r="H108" i="59"/>
  <c r="H110" i="59"/>
  <c r="H114" i="59"/>
  <c r="J114" i="59" s="1"/>
  <c r="H131" i="59"/>
  <c r="J131" i="59" s="1"/>
  <c r="H142" i="59"/>
  <c r="J142" i="59" s="1"/>
  <c r="H157" i="59"/>
  <c r="H163" i="59"/>
  <c r="H209" i="59"/>
  <c r="H235" i="59"/>
  <c r="H255" i="59"/>
  <c r="H256" i="59"/>
  <c r="H285" i="59"/>
  <c r="I285" i="59" s="1"/>
  <c r="H289" i="59"/>
  <c r="H314" i="59"/>
  <c r="H323" i="59"/>
  <c r="H324" i="59"/>
  <c r="H343" i="59"/>
  <c r="I343" i="59" s="1"/>
  <c r="H356" i="59"/>
  <c r="H402" i="59"/>
  <c r="I402" i="59" s="1"/>
  <c r="H404" i="59"/>
  <c r="H410" i="59"/>
  <c r="I410" i="59" s="1"/>
  <c r="H425" i="59"/>
  <c r="H431" i="59"/>
  <c r="H441" i="59"/>
  <c r="H443" i="59"/>
  <c r="I443" i="59" s="1"/>
  <c r="H464" i="59"/>
  <c r="H468" i="59"/>
  <c r="H479" i="59"/>
  <c r="H493" i="59"/>
  <c r="H502" i="59"/>
  <c r="I502" i="59" s="1"/>
  <c r="H520" i="59"/>
  <c r="H521" i="59"/>
  <c r="H539" i="59"/>
  <c r="I539" i="59" s="1"/>
  <c r="H551" i="59"/>
  <c r="I551" i="59" s="1"/>
  <c r="H552" i="59"/>
  <c r="H553" i="59"/>
  <c r="I553" i="59" s="1"/>
  <c r="H554" i="59"/>
  <c r="H555" i="59"/>
  <c r="H556" i="59"/>
  <c r="H557" i="59"/>
  <c r="I557" i="59" s="1"/>
  <c r="H558" i="59"/>
  <c r="H559" i="59"/>
  <c r="H560" i="59"/>
  <c r="H606" i="59"/>
  <c r="H639" i="59"/>
  <c r="H683" i="59"/>
  <c r="H738" i="59"/>
  <c r="I738" i="59" s="1"/>
  <c r="H749" i="59"/>
  <c r="H769" i="59"/>
  <c r="I769" i="59" s="1"/>
  <c r="H772" i="59"/>
  <c r="I772" i="59" s="1"/>
  <c r="H776" i="59"/>
  <c r="I776" i="59" s="1"/>
  <c r="H793" i="59"/>
  <c r="I793" i="59" s="1"/>
  <c r="H856" i="59"/>
  <c r="I856" i="59" s="1"/>
  <c r="H873" i="59"/>
  <c r="H899" i="59"/>
  <c r="H913" i="59"/>
  <c r="H916" i="59"/>
  <c r="H3" i="59"/>
  <c r="J3" i="59" s="1"/>
  <c r="I554" i="59" l="1"/>
  <c r="I555" i="59" s="1"/>
  <c r="I556" i="59" s="1"/>
  <c r="I552" i="59"/>
  <c r="I558" i="59"/>
  <c r="I559" i="59" s="1"/>
  <c r="I560" i="59" s="1"/>
  <c r="J157" i="59"/>
  <c r="I157" i="59"/>
  <c r="J80" i="59"/>
  <c r="J163" i="59"/>
  <c r="I163" i="59"/>
  <c r="J110" i="59"/>
  <c r="I110" i="59"/>
  <c r="J108" i="59"/>
  <c r="J42" i="59"/>
  <c r="I42" i="59"/>
  <c r="I43" i="59" s="1"/>
  <c r="I44" i="59" s="1"/>
  <c r="I45" i="59" s="1"/>
  <c r="J556" i="59"/>
  <c r="J520" i="59"/>
  <c r="J431" i="59"/>
  <c r="J323" i="59"/>
  <c r="L83" i="59"/>
  <c r="J83" i="59"/>
  <c r="J856" i="59"/>
  <c r="J793" i="59"/>
  <c r="J683" i="59"/>
  <c r="J555" i="59"/>
  <c r="J502" i="59"/>
  <c r="J425" i="59"/>
  <c r="J314" i="59"/>
  <c r="J776" i="59"/>
  <c r="J772" i="59"/>
  <c r="J285" i="59"/>
  <c r="J606" i="59"/>
  <c r="J479" i="59"/>
  <c r="J916" i="59"/>
  <c r="J552" i="59"/>
  <c r="J468" i="59"/>
  <c r="J402" i="59"/>
  <c r="J256" i="59"/>
  <c r="J551" i="59"/>
  <c r="J464" i="59"/>
  <c r="J356" i="59"/>
  <c r="J255" i="59"/>
  <c r="J554" i="59"/>
  <c r="J410" i="59"/>
  <c r="J289" i="59"/>
  <c r="J553" i="59"/>
  <c r="J404" i="59"/>
  <c r="J560" i="59"/>
  <c r="J749" i="59"/>
  <c r="J738" i="59"/>
  <c r="J539" i="59"/>
  <c r="J443" i="59"/>
  <c r="J343" i="59"/>
  <c r="J235" i="59"/>
  <c r="J639" i="59"/>
  <c r="J493" i="59"/>
  <c r="J769" i="59"/>
  <c r="J913" i="59"/>
  <c r="J559" i="59"/>
  <c r="J899" i="59"/>
  <c r="J558" i="59"/>
  <c r="J873" i="59"/>
  <c r="J557" i="59"/>
  <c r="J521" i="59"/>
  <c r="J441" i="59"/>
  <c r="J324" i="59"/>
  <c r="J209" i="59"/>
  <c r="K402" i="59"/>
  <c r="K3" i="59"/>
  <c r="I3" i="59"/>
  <c r="I4" i="59" s="1"/>
  <c r="K738" i="59"/>
  <c r="K793" i="59"/>
  <c r="K502" i="59"/>
  <c r="H35" i="59"/>
  <c r="H34" i="59"/>
  <c r="H33" i="59"/>
  <c r="H32" i="59"/>
  <c r="J32" i="59" s="1"/>
  <c r="H31" i="59"/>
  <c r="J31" i="59" s="1"/>
  <c r="H30" i="59"/>
  <c r="J30" i="59" s="1"/>
  <c r="H29" i="59"/>
  <c r="H28" i="59"/>
  <c r="H27" i="59"/>
  <c r="J27" i="59" s="1"/>
  <c r="H26" i="59"/>
  <c r="J26" i="59" s="1"/>
  <c r="H25" i="59"/>
  <c r="J25" i="59" s="1"/>
  <c r="H24" i="59"/>
  <c r="H23" i="59"/>
  <c r="H22" i="59"/>
  <c r="J22" i="59" s="1"/>
  <c r="H21" i="59"/>
  <c r="H20" i="59"/>
  <c r="H19" i="59"/>
  <c r="I19" i="59" s="1"/>
  <c r="H18" i="59"/>
  <c r="J18" i="59" s="1"/>
  <c r="H17" i="59"/>
  <c r="J17" i="59" s="1"/>
  <c r="H16" i="59"/>
  <c r="I16" i="59" s="1"/>
  <c r="H15" i="59"/>
  <c r="J15" i="59" s="1"/>
  <c r="H14" i="59"/>
  <c r="J14" i="59" s="1"/>
  <c r="H13" i="59"/>
  <c r="H12" i="59"/>
  <c r="I12" i="59" s="1"/>
  <c r="H11" i="59"/>
  <c r="I11" i="59" s="1"/>
  <c r="H10" i="59"/>
  <c r="I10" i="59" s="1"/>
  <c r="H9" i="59"/>
  <c r="I9" i="59" s="1"/>
  <c r="H8" i="59"/>
  <c r="I17" i="59" l="1"/>
  <c r="I18" i="59" s="1"/>
  <c r="J33" i="59"/>
  <c r="I33" i="59"/>
  <c r="I34" i="59" s="1"/>
  <c r="J8" i="59"/>
  <c r="I8" i="59"/>
  <c r="J13" i="59"/>
  <c r="I13" i="59"/>
  <c r="I14" i="59" s="1"/>
  <c r="I15" i="59" s="1"/>
  <c r="J21" i="59"/>
  <c r="J29" i="59"/>
  <c r="J35" i="59"/>
  <c r="I35" i="59"/>
  <c r="I36" i="59" s="1"/>
  <c r="J20" i="59"/>
  <c r="I20" i="59"/>
  <c r="I21" i="59" s="1"/>
  <c r="I22" i="59" s="1"/>
  <c r="J24" i="59"/>
  <c r="J34" i="59"/>
  <c r="J28" i="59"/>
  <c r="I28" i="59"/>
  <c r="I29" i="59" s="1"/>
  <c r="I30" i="59" s="1"/>
  <c r="I31" i="59" s="1"/>
  <c r="I32" i="59" s="1"/>
  <c r="J23" i="59"/>
  <c r="I23" i="59"/>
  <c r="I24" i="59" s="1"/>
  <c r="I25" i="59" s="1"/>
  <c r="I26" i="59" s="1"/>
  <c r="I27" i="59" s="1"/>
  <c r="J12" i="59"/>
  <c r="J19" i="59"/>
  <c r="J16" i="59"/>
  <c r="J11" i="59"/>
  <c r="J9" i="59"/>
  <c r="J10" i="59"/>
  <c r="K4" i="59"/>
  <c r="L3" i="59"/>
  <c r="K28" i="59"/>
  <c r="K29" i="59" s="1"/>
  <c r="K30" i="59" s="1"/>
  <c r="K31" i="59" s="1"/>
  <c r="K32" i="59" s="1"/>
  <c r="K33" i="59" s="1"/>
  <c r="K34" i="59" s="1"/>
  <c r="K35" i="59" s="1"/>
  <c r="K36" i="59" s="1"/>
  <c r="H918" i="59"/>
  <c r="H919" i="59"/>
  <c r="H915" i="59"/>
  <c r="I915" i="59" s="1"/>
  <c r="I916" i="59" s="1"/>
  <c r="H917" i="59"/>
  <c r="H912" i="59"/>
  <c r="H914" i="59"/>
  <c r="H910" i="59"/>
  <c r="H911" i="59"/>
  <c r="I911" i="59" s="1"/>
  <c r="H908" i="59"/>
  <c r="I908" i="59" s="1"/>
  <c r="H909" i="59"/>
  <c r="H906" i="59"/>
  <c r="H907" i="59"/>
  <c r="H904" i="59"/>
  <c r="H905" i="59"/>
  <c r="H902" i="59"/>
  <c r="H903" i="59"/>
  <c r="I903" i="59" s="1"/>
  <c r="H900" i="59"/>
  <c r="H901" i="59"/>
  <c r="H897" i="59"/>
  <c r="H898" i="59"/>
  <c r="H895" i="59"/>
  <c r="I895" i="59" s="1"/>
  <c r="H896" i="59"/>
  <c r="H893" i="59"/>
  <c r="H894" i="59"/>
  <c r="H891" i="59"/>
  <c r="H892" i="59"/>
  <c r="H889" i="59"/>
  <c r="H890" i="59"/>
  <c r="H887" i="59"/>
  <c r="H888" i="59"/>
  <c r="I888" i="59" s="1"/>
  <c r="H885" i="59"/>
  <c r="H886" i="59"/>
  <c r="I886" i="59" s="1"/>
  <c r="H883" i="59"/>
  <c r="I883" i="59" s="1"/>
  <c r="H884" i="59"/>
  <c r="H881" i="59"/>
  <c r="H882" i="59"/>
  <c r="H880" i="59"/>
  <c r="I880" i="59" s="1"/>
  <c r="H878" i="59"/>
  <c r="H879" i="59"/>
  <c r="H876" i="59"/>
  <c r="I876" i="59" s="1"/>
  <c r="H877" i="59"/>
  <c r="H874" i="59"/>
  <c r="H875" i="59"/>
  <c r="H871" i="59"/>
  <c r="H872" i="59"/>
  <c r="H869" i="59"/>
  <c r="I869" i="59" s="1"/>
  <c r="H870" i="59"/>
  <c r="H867" i="59"/>
  <c r="H868" i="59"/>
  <c r="H865" i="59"/>
  <c r="H866" i="59"/>
  <c r="I866" i="59" s="1"/>
  <c r="H863" i="59"/>
  <c r="H864" i="59"/>
  <c r="I864" i="59" s="1"/>
  <c r="H861" i="59"/>
  <c r="H862" i="59"/>
  <c r="H859" i="59"/>
  <c r="H860" i="59"/>
  <c r="I860" i="59" s="1"/>
  <c r="H857" i="59"/>
  <c r="I857" i="59" s="1"/>
  <c r="H858" i="59"/>
  <c r="H854" i="59"/>
  <c r="H855" i="59"/>
  <c r="H852" i="59"/>
  <c r="H853" i="59"/>
  <c r="H850" i="59"/>
  <c r="I850" i="59" s="1"/>
  <c r="H851" i="59"/>
  <c r="H848" i="59"/>
  <c r="H849" i="59"/>
  <c r="H846" i="59"/>
  <c r="I846" i="59" s="1"/>
  <c r="H847" i="59"/>
  <c r="H844" i="59"/>
  <c r="H845" i="59"/>
  <c r="H842" i="59"/>
  <c r="I842" i="59" s="1"/>
  <c r="H843" i="59"/>
  <c r="H840" i="59"/>
  <c r="H841" i="59"/>
  <c r="H838" i="59"/>
  <c r="I838" i="59" s="1"/>
  <c r="H839" i="59"/>
  <c r="H836" i="59"/>
  <c r="H837" i="59"/>
  <c r="H834" i="59"/>
  <c r="I834" i="59" s="1"/>
  <c r="H835" i="59"/>
  <c r="H832" i="59"/>
  <c r="H833" i="59"/>
  <c r="H830" i="59"/>
  <c r="H831" i="59"/>
  <c r="H828" i="59"/>
  <c r="H829" i="59"/>
  <c r="I829" i="59" s="1"/>
  <c r="H826" i="59"/>
  <c r="H827" i="59"/>
  <c r="H824" i="59"/>
  <c r="H825" i="59"/>
  <c r="H822" i="59"/>
  <c r="H823" i="59"/>
  <c r="I823" i="59" s="1"/>
  <c r="H820" i="59"/>
  <c r="H821" i="59"/>
  <c r="H818" i="59"/>
  <c r="I818" i="59" s="1"/>
  <c r="H819" i="59"/>
  <c r="H816" i="59"/>
  <c r="H817" i="59"/>
  <c r="H814" i="59"/>
  <c r="I814" i="59" s="1"/>
  <c r="H815" i="59"/>
  <c r="I815" i="59" s="1"/>
  <c r="H812" i="59"/>
  <c r="I812" i="59" s="1"/>
  <c r="H813" i="59"/>
  <c r="H810" i="59"/>
  <c r="I810" i="59" s="1"/>
  <c r="H811" i="59"/>
  <c r="H808" i="59"/>
  <c r="H809" i="59"/>
  <c r="H806" i="59"/>
  <c r="I806" i="59" s="1"/>
  <c r="H807" i="59"/>
  <c r="I807" i="59" s="1"/>
  <c r="H804" i="59"/>
  <c r="H805" i="59"/>
  <c r="H802" i="59"/>
  <c r="H803" i="59"/>
  <c r="I803" i="59" s="1"/>
  <c r="H800" i="59"/>
  <c r="I800" i="59" s="1"/>
  <c r="H801" i="59"/>
  <c r="H798" i="59"/>
  <c r="H799" i="59"/>
  <c r="H796" i="59"/>
  <c r="H797" i="59"/>
  <c r="I797" i="59" s="1"/>
  <c r="H794" i="59"/>
  <c r="I794" i="59" s="1"/>
  <c r="H795" i="59"/>
  <c r="H791" i="59"/>
  <c r="I791" i="59" s="1"/>
  <c r="H792" i="59"/>
  <c r="H789" i="59"/>
  <c r="H790" i="59"/>
  <c r="H787" i="59"/>
  <c r="H788" i="59"/>
  <c r="H785" i="59"/>
  <c r="H786" i="59"/>
  <c r="I786" i="59" s="1"/>
  <c r="H783" i="59"/>
  <c r="H784" i="59"/>
  <c r="H781" i="59"/>
  <c r="H782" i="59"/>
  <c r="I782" i="59" s="1"/>
  <c r="H779" i="59"/>
  <c r="H780" i="59"/>
  <c r="H777" i="59"/>
  <c r="I777" i="59" s="1"/>
  <c r="H778" i="59"/>
  <c r="H774" i="59"/>
  <c r="H775" i="59"/>
  <c r="I775" i="59" s="1"/>
  <c r="H771" i="59"/>
  <c r="H773" i="59"/>
  <c r="I773" i="59" s="1"/>
  <c r="H768" i="59"/>
  <c r="H770" i="59"/>
  <c r="I770" i="59" s="1"/>
  <c r="H766" i="59"/>
  <c r="H767" i="59"/>
  <c r="H764" i="59"/>
  <c r="H765" i="59"/>
  <c r="I765" i="59" s="1"/>
  <c r="H762" i="59"/>
  <c r="H763" i="59"/>
  <c r="H760" i="59"/>
  <c r="H761" i="59"/>
  <c r="I761" i="59" s="1"/>
  <c r="H758" i="59"/>
  <c r="H759" i="59"/>
  <c r="I759" i="59" s="1"/>
  <c r="H756" i="59"/>
  <c r="H757" i="59"/>
  <c r="H754" i="59"/>
  <c r="I754" i="59" s="1"/>
  <c r="H755" i="59"/>
  <c r="H752" i="59"/>
  <c r="H753" i="59"/>
  <c r="H750" i="59"/>
  <c r="H751" i="59"/>
  <c r="I751" i="59" s="1"/>
  <c r="H747" i="59"/>
  <c r="H748" i="59"/>
  <c r="H745" i="59"/>
  <c r="I745" i="59" s="1"/>
  <c r="H746" i="59"/>
  <c r="H743" i="59"/>
  <c r="H744" i="59"/>
  <c r="H741" i="59"/>
  <c r="H742" i="59"/>
  <c r="I742" i="59" s="1"/>
  <c r="H739" i="59"/>
  <c r="I739" i="59" s="1"/>
  <c r="H740" i="59"/>
  <c r="H736" i="59"/>
  <c r="I736" i="59" s="1"/>
  <c r="H737" i="59"/>
  <c r="H734" i="59"/>
  <c r="H735" i="59"/>
  <c r="H732" i="59"/>
  <c r="I732" i="59" s="1"/>
  <c r="H733" i="59"/>
  <c r="I733" i="59" s="1"/>
  <c r="H708" i="59"/>
  <c r="I708" i="59" s="1"/>
  <c r="H706" i="59"/>
  <c r="I706" i="59" s="1"/>
  <c r="H707" i="59"/>
  <c r="I707" i="59" s="1"/>
  <c r="H704" i="59"/>
  <c r="H705" i="59"/>
  <c r="I705" i="59" s="1"/>
  <c r="H701" i="59"/>
  <c r="H703" i="59"/>
  <c r="I703" i="59" s="1"/>
  <c r="H699" i="59"/>
  <c r="H700" i="59"/>
  <c r="H697" i="59"/>
  <c r="H698" i="59"/>
  <c r="I698" i="59" s="1"/>
  <c r="H695" i="59"/>
  <c r="H696" i="59"/>
  <c r="H693" i="59"/>
  <c r="H694" i="59"/>
  <c r="H691" i="59"/>
  <c r="H692" i="59"/>
  <c r="I692" i="59" s="1"/>
  <c r="H689" i="59"/>
  <c r="H690" i="59"/>
  <c r="H687" i="59"/>
  <c r="H688" i="59"/>
  <c r="H685" i="59"/>
  <c r="H686" i="59"/>
  <c r="I686" i="59" s="1"/>
  <c r="H682" i="59"/>
  <c r="I682" i="59" s="1"/>
  <c r="I683" i="59" s="1"/>
  <c r="H684" i="59"/>
  <c r="H680" i="59"/>
  <c r="H681" i="59"/>
  <c r="I681" i="59" s="1"/>
  <c r="H678" i="59"/>
  <c r="H679" i="59"/>
  <c r="I679" i="59" s="1"/>
  <c r="H676" i="59"/>
  <c r="H677" i="59"/>
  <c r="I677" i="59" s="1"/>
  <c r="H674" i="59"/>
  <c r="H675" i="59"/>
  <c r="H672" i="59"/>
  <c r="H673" i="59"/>
  <c r="I673" i="59" s="1"/>
  <c r="H670" i="59"/>
  <c r="H671" i="59"/>
  <c r="I671" i="59" s="1"/>
  <c r="H668" i="59"/>
  <c r="H669" i="59"/>
  <c r="I669" i="59" s="1"/>
  <c r="H666" i="59"/>
  <c r="H667" i="59"/>
  <c r="I667" i="59" s="1"/>
  <c r="H664" i="59"/>
  <c r="H665" i="59"/>
  <c r="I665" i="59" s="1"/>
  <c r="H662" i="59"/>
  <c r="I662" i="59" s="1"/>
  <c r="H663" i="59"/>
  <c r="H660" i="59"/>
  <c r="H661" i="59"/>
  <c r="H658" i="59"/>
  <c r="H659" i="59"/>
  <c r="H656" i="59"/>
  <c r="I656" i="59" s="1"/>
  <c r="H657" i="59"/>
  <c r="H654" i="59"/>
  <c r="I654" i="59" s="1"/>
  <c r="H655" i="59"/>
  <c r="H652" i="59"/>
  <c r="H653" i="59"/>
  <c r="H650" i="59"/>
  <c r="H651" i="59"/>
  <c r="H648" i="59"/>
  <c r="H649" i="59"/>
  <c r="I649" i="59" s="1"/>
  <c r="H646" i="59"/>
  <c r="H647" i="59"/>
  <c r="I647" i="59" s="1"/>
  <c r="H644" i="59"/>
  <c r="H645" i="59"/>
  <c r="I645" i="59" s="1"/>
  <c r="H642" i="59"/>
  <c r="H643" i="59"/>
  <c r="H640" i="59"/>
  <c r="I640" i="59" s="1"/>
  <c r="H641" i="59"/>
  <c r="H637" i="59"/>
  <c r="H638" i="59"/>
  <c r="I638" i="59" s="1"/>
  <c r="I639" i="59" s="1"/>
  <c r="H635" i="59"/>
  <c r="H636" i="59"/>
  <c r="H633" i="59"/>
  <c r="I633" i="59" s="1"/>
  <c r="H634" i="59"/>
  <c r="H631" i="59"/>
  <c r="H632" i="59"/>
  <c r="H627" i="59"/>
  <c r="H630" i="59"/>
  <c r="H624" i="59"/>
  <c r="H626" i="59"/>
  <c r="I626" i="59" s="1"/>
  <c r="H623" i="59"/>
  <c r="I623" i="59" s="1"/>
  <c r="H628" i="59"/>
  <c r="H621" i="59"/>
  <c r="H622" i="59"/>
  <c r="H619" i="59"/>
  <c r="H620" i="59"/>
  <c r="H618" i="59"/>
  <c r="I618" i="59" s="1"/>
  <c r="H629" i="59"/>
  <c r="I629" i="59" s="1"/>
  <c r="H616" i="59"/>
  <c r="H617" i="59"/>
  <c r="H614" i="59"/>
  <c r="I614" i="59" s="1"/>
  <c r="H615" i="59"/>
  <c r="H612" i="59"/>
  <c r="H613" i="59"/>
  <c r="H610" i="59"/>
  <c r="H611" i="59"/>
  <c r="H608" i="59"/>
  <c r="H609" i="59"/>
  <c r="I609" i="59" s="1"/>
  <c r="H605" i="59"/>
  <c r="I605" i="59" s="1"/>
  <c r="I606" i="59" s="1"/>
  <c r="H607" i="59"/>
  <c r="H603" i="59"/>
  <c r="H604" i="59"/>
  <c r="H601" i="59"/>
  <c r="I601" i="59" s="1"/>
  <c r="H602" i="59"/>
  <c r="H599" i="59"/>
  <c r="H600" i="59"/>
  <c r="H597" i="59"/>
  <c r="H598" i="59"/>
  <c r="I598" i="59" s="1"/>
  <c r="H595" i="59"/>
  <c r="H596" i="59"/>
  <c r="H593" i="59"/>
  <c r="H594" i="59"/>
  <c r="I594" i="59" s="1"/>
  <c r="H591" i="59"/>
  <c r="H592" i="59"/>
  <c r="H589" i="59"/>
  <c r="H590" i="59"/>
  <c r="I590" i="59" s="1"/>
  <c r="H587" i="59"/>
  <c r="H588" i="59"/>
  <c r="H585" i="59"/>
  <c r="H586" i="59"/>
  <c r="I586" i="59" s="1"/>
  <c r="H583" i="59"/>
  <c r="H584" i="59"/>
  <c r="H581" i="59"/>
  <c r="H582" i="59"/>
  <c r="H579" i="59"/>
  <c r="H580" i="59"/>
  <c r="I580" i="59" s="1"/>
  <c r="H577" i="59"/>
  <c r="H578" i="59"/>
  <c r="H575" i="59"/>
  <c r="H576" i="59"/>
  <c r="I576" i="59" s="1"/>
  <c r="H573" i="59"/>
  <c r="H574" i="59"/>
  <c r="H571" i="59"/>
  <c r="H572" i="59"/>
  <c r="I572" i="59" s="1"/>
  <c r="H569" i="59"/>
  <c r="H570" i="59"/>
  <c r="I570" i="59" s="1"/>
  <c r="H567" i="59"/>
  <c r="I567" i="59" s="1"/>
  <c r="H568" i="59"/>
  <c r="I568" i="59" s="1"/>
  <c r="H565" i="59"/>
  <c r="H566" i="59"/>
  <c r="H562" i="59"/>
  <c r="H564" i="59"/>
  <c r="I564" i="59" s="1"/>
  <c r="H563" i="59"/>
  <c r="H561" i="59"/>
  <c r="I561" i="59" s="1"/>
  <c r="H549" i="59"/>
  <c r="H550" i="59"/>
  <c r="H547" i="59"/>
  <c r="H548" i="59"/>
  <c r="H545" i="59"/>
  <c r="H546" i="59"/>
  <c r="I546" i="59" s="1"/>
  <c r="H543" i="59"/>
  <c r="H544" i="59"/>
  <c r="H541" i="59"/>
  <c r="I541" i="59" s="1"/>
  <c r="H542" i="59"/>
  <c r="H538" i="59"/>
  <c r="H540" i="59"/>
  <c r="I540" i="59" s="1"/>
  <c r="H536" i="59"/>
  <c r="H537" i="59"/>
  <c r="H534" i="59"/>
  <c r="I534" i="59" s="1"/>
  <c r="H535" i="59"/>
  <c r="H532" i="59"/>
  <c r="I532" i="59" s="1"/>
  <c r="H533" i="59"/>
  <c r="H530" i="59"/>
  <c r="H531" i="59"/>
  <c r="H528" i="59"/>
  <c r="H529" i="59"/>
  <c r="H526" i="59"/>
  <c r="H527" i="59"/>
  <c r="I527" i="59" s="1"/>
  <c r="H524" i="59"/>
  <c r="H525" i="59"/>
  <c r="I525" i="59" s="1"/>
  <c r="H522" i="59"/>
  <c r="I522" i="59" s="1"/>
  <c r="H523" i="59"/>
  <c r="H518" i="59"/>
  <c r="H519" i="59"/>
  <c r="I519" i="59" s="1"/>
  <c r="I520" i="59" s="1"/>
  <c r="I521" i="59" s="1"/>
  <c r="H516" i="59"/>
  <c r="H517" i="59"/>
  <c r="H514" i="59"/>
  <c r="H515" i="59"/>
  <c r="H512" i="59"/>
  <c r="H513" i="59"/>
  <c r="I513" i="59" s="1"/>
  <c r="H510" i="59"/>
  <c r="I510" i="59" s="1"/>
  <c r="H511" i="59"/>
  <c r="H504" i="59"/>
  <c r="I504" i="59" s="1"/>
  <c r="H505" i="59"/>
  <c r="I505" i="59" s="1"/>
  <c r="H501" i="59"/>
  <c r="H503" i="59"/>
  <c r="I503" i="59" s="1"/>
  <c r="H499" i="59"/>
  <c r="H500" i="59"/>
  <c r="I500" i="59" s="1"/>
  <c r="H497" i="59"/>
  <c r="H498" i="59"/>
  <c r="I498" i="59" s="1"/>
  <c r="H495" i="59"/>
  <c r="H496" i="59"/>
  <c r="I496" i="59" s="1"/>
  <c r="H492" i="59"/>
  <c r="I492" i="59" s="1"/>
  <c r="I493" i="59" s="1"/>
  <c r="H494" i="59"/>
  <c r="H490" i="59"/>
  <c r="H491" i="59"/>
  <c r="H488" i="59"/>
  <c r="I488" i="59" s="1"/>
  <c r="H489" i="59"/>
  <c r="H486" i="59"/>
  <c r="H487" i="59"/>
  <c r="H484" i="59"/>
  <c r="H485" i="59"/>
  <c r="H482" i="59"/>
  <c r="I482" i="59" s="1"/>
  <c r="H483" i="59"/>
  <c r="H480" i="59"/>
  <c r="H481" i="59"/>
  <c r="H477" i="59"/>
  <c r="H478" i="59"/>
  <c r="I478" i="59" s="1"/>
  <c r="I479" i="59" s="1"/>
  <c r="H475" i="59"/>
  <c r="H476" i="59"/>
  <c r="H472" i="59"/>
  <c r="H474" i="59"/>
  <c r="H471" i="59"/>
  <c r="I471" i="59" s="1"/>
  <c r="H473" i="59"/>
  <c r="H469" i="59"/>
  <c r="H470" i="59"/>
  <c r="H466" i="59"/>
  <c r="H467" i="59"/>
  <c r="I467" i="59" s="1"/>
  <c r="I468" i="59" s="1"/>
  <c r="H463" i="59"/>
  <c r="I463" i="59" s="1"/>
  <c r="I464" i="59" s="1"/>
  <c r="H465" i="59"/>
  <c r="H461" i="59"/>
  <c r="H462" i="59"/>
  <c r="I462" i="59" s="1"/>
  <c r="H459" i="59"/>
  <c r="H460" i="59"/>
  <c r="H457" i="59"/>
  <c r="H458" i="59"/>
  <c r="H455" i="59"/>
  <c r="H456" i="59"/>
  <c r="I456" i="59" s="1"/>
  <c r="H453" i="59"/>
  <c r="H454" i="59"/>
  <c r="I454" i="59" s="1"/>
  <c r="H451" i="59"/>
  <c r="H452" i="59"/>
  <c r="I452" i="59" s="1"/>
  <c r="H449" i="59"/>
  <c r="I449" i="59" s="1"/>
  <c r="H450" i="59"/>
  <c r="H447" i="59"/>
  <c r="H448" i="59"/>
  <c r="H445" i="59"/>
  <c r="I445" i="59" s="1"/>
  <c r="H446" i="59"/>
  <c r="H442" i="59"/>
  <c r="H444" i="59"/>
  <c r="I444" i="59" s="1"/>
  <c r="H439" i="59"/>
  <c r="H440" i="59"/>
  <c r="H437" i="59"/>
  <c r="H438" i="59"/>
  <c r="I438" i="59" s="1"/>
  <c r="H435" i="59"/>
  <c r="H436" i="59"/>
  <c r="H433" i="59"/>
  <c r="H434" i="59"/>
  <c r="I434" i="59" s="1"/>
  <c r="H430" i="59"/>
  <c r="H432" i="59"/>
  <c r="I432" i="59" s="1"/>
  <c r="H428" i="59"/>
  <c r="H429" i="59"/>
  <c r="H426" i="59"/>
  <c r="I426" i="59" s="1"/>
  <c r="H427" i="59"/>
  <c r="H423" i="59"/>
  <c r="H424" i="59"/>
  <c r="H421" i="59"/>
  <c r="I421" i="59" s="1"/>
  <c r="H422" i="59"/>
  <c r="I422" i="59" s="1"/>
  <c r="H418" i="59"/>
  <c r="I418" i="59" s="1"/>
  <c r="H420" i="59"/>
  <c r="I420" i="59" s="1"/>
  <c r="H419" i="59"/>
  <c r="I419" i="59" s="1"/>
  <c r="H417" i="59"/>
  <c r="I417" i="59" s="1"/>
  <c r="H415" i="59"/>
  <c r="H416" i="59"/>
  <c r="I416" i="59" s="1"/>
  <c r="H413" i="59"/>
  <c r="H414" i="59"/>
  <c r="H411" i="59"/>
  <c r="I411" i="59" s="1"/>
  <c r="H412" i="59"/>
  <c r="H408" i="59"/>
  <c r="H409" i="59"/>
  <c r="H406" i="59"/>
  <c r="I406" i="59" s="1"/>
  <c r="H407" i="59"/>
  <c r="H403" i="59"/>
  <c r="I403" i="59" s="1"/>
  <c r="I404" i="59" s="1"/>
  <c r="H405" i="59"/>
  <c r="H400" i="59"/>
  <c r="H401" i="59"/>
  <c r="H398" i="59"/>
  <c r="I398" i="59" s="1"/>
  <c r="H399" i="59"/>
  <c r="H396" i="59"/>
  <c r="H397" i="59"/>
  <c r="H394" i="59"/>
  <c r="I394" i="59" s="1"/>
  <c r="H395" i="59"/>
  <c r="H392" i="59"/>
  <c r="H393" i="59"/>
  <c r="H390" i="59"/>
  <c r="H391" i="59"/>
  <c r="H388" i="59"/>
  <c r="H389" i="59"/>
  <c r="H386" i="59"/>
  <c r="H387" i="59"/>
  <c r="I387" i="59" s="1"/>
  <c r="H384" i="59"/>
  <c r="H385" i="59"/>
  <c r="I385" i="59" s="1"/>
  <c r="H382" i="59"/>
  <c r="H383" i="59"/>
  <c r="H380" i="59"/>
  <c r="I380" i="59" s="1"/>
  <c r="H381" i="59"/>
  <c r="H378" i="59"/>
  <c r="H379" i="59"/>
  <c r="H376" i="59"/>
  <c r="H377" i="59"/>
  <c r="H374" i="59"/>
  <c r="H375" i="59"/>
  <c r="I375" i="59" s="1"/>
  <c r="H372" i="59"/>
  <c r="H373" i="59"/>
  <c r="H370" i="59"/>
  <c r="H371" i="59"/>
  <c r="I371" i="59" s="1"/>
  <c r="H368" i="59"/>
  <c r="H369" i="59"/>
  <c r="I369" i="59" s="1"/>
  <c r="H366" i="59"/>
  <c r="I366" i="59" s="1"/>
  <c r="H367" i="59"/>
  <c r="H364" i="59"/>
  <c r="H365" i="59"/>
  <c r="H362" i="59"/>
  <c r="H363" i="59"/>
  <c r="I363" i="59" s="1"/>
  <c r="H360" i="59"/>
  <c r="H361" i="59"/>
  <c r="I361" i="59" s="1"/>
  <c r="H358" i="59"/>
  <c r="H359" i="59"/>
  <c r="H355" i="59"/>
  <c r="H357" i="59"/>
  <c r="I357" i="59" s="1"/>
  <c r="H353" i="59"/>
  <c r="H354" i="59"/>
  <c r="I354" i="59" s="1"/>
  <c r="H351" i="59"/>
  <c r="H352" i="59"/>
  <c r="I352" i="59" s="1"/>
  <c r="H349" i="59"/>
  <c r="H350" i="59"/>
  <c r="H347" i="59"/>
  <c r="H348" i="59"/>
  <c r="H345" i="59"/>
  <c r="H346" i="59"/>
  <c r="I346" i="59" s="1"/>
  <c r="H342" i="59"/>
  <c r="H344" i="59"/>
  <c r="I344" i="59" s="1"/>
  <c r="H340" i="59"/>
  <c r="H341" i="59"/>
  <c r="H338" i="59"/>
  <c r="H339" i="59"/>
  <c r="I339" i="59" s="1"/>
  <c r="H336" i="59"/>
  <c r="H337" i="59"/>
  <c r="H334" i="59"/>
  <c r="H335" i="59"/>
  <c r="I335" i="59" s="1"/>
  <c r="H332" i="59"/>
  <c r="H333" i="59"/>
  <c r="I333" i="59" s="1"/>
  <c r="H330" i="59"/>
  <c r="H331" i="59"/>
  <c r="H328" i="59"/>
  <c r="H329" i="59"/>
  <c r="I329" i="59" s="1"/>
  <c r="H326" i="59"/>
  <c r="I326" i="59" s="1"/>
  <c r="H327" i="59"/>
  <c r="H322" i="59"/>
  <c r="I322" i="59" s="1"/>
  <c r="I323" i="59" s="1"/>
  <c r="I324" i="59" s="1"/>
  <c r="H325" i="59"/>
  <c r="H320" i="59"/>
  <c r="H321" i="59"/>
  <c r="I321" i="59" s="1"/>
  <c r="H318" i="59"/>
  <c r="H319" i="59"/>
  <c r="H316" i="59"/>
  <c r="I316" i="59" s="1"/>
  <c r="H317" i="59"/>
  <c r="H313" i="59"/>
  <c r="I313" i="59" s="1"/>
  <c r="I314" i="59" s="1"/>
  <c r="H315" i="59"/>
  <c r="H311" i="59"/>
  <c r="H312" i="59"/>
  <c r="H309" i="59"/>
  <c r="H310" i="59"/>
  <c r="I310" i="59" s="1"/>
  <c r="H307" i="59"/>
  <c r="I307" i="59" s="1"/>
  <c r="H308" i="59"/>
  <c r="I308" i="59" s="1"/>
  <c r="H305" i="59"/>
  <c r="H306" i="59"/>
  <c r="H303" i="59"/>
  <c r="H304" i="59"/>
  <c r="H301" i="59"/>
  <c r="I301" i="59" s="1"/>
  <c r="H302" i="59"/>
  <c r="H299" i="59"/>
  <c r="H300" i="59"/>
  <c r="H297" i="59"/>
  <c r="I297" i="59" s="1"/>
  <c r="H298" i="59"/>
  <c r="H295" i="59"/>
  <c r="H296" i="59"/>
  <c r="H293" i="59"/>
  <c r="H294" i="59"/>
  <c r="I294" i="59" s="1"/>
  <c r="H291" i="59"/>
  <c r="H292" i="59"/>
  <c r="H288" i="59"/>
  <c r="I288" i="59" s="1"/>
  <c r="I289" i="59" s="1"/>
  <c r="H290" i="59"/>
  <c r="I290" i="59" s="1"/>
  <c r="H286" i="59"/>
  <c r="I286" i="59" s="1"/>
  <c r="H287" i="59"/>
  <c r="H283" i="59"/>
  <c r="H284" i="59"/>
  <c r="H281" i="59"/>
  <c r="I281" i="59" s="1"/>
  <c r="H282" i="59"/>
  <c r="H279" i="59"/>
  <c r="H280" i="59"/>
  <c r="I280" i="59" s="1"/>
  <c r="H277" i="59"/>
  <c r="H278" i="59"/>
  <c r="H275" i="59"/>
  <c r="H276" i="59"/>
  <c r="I276" i="59" s="1"/>
  <c r="H273" i="59"/>
  <c r="H274" i="59"/>
  <c r="I274" i="59" s="1"/>
  <c r="H271" i="59"/>
  <c r="H272" i="59"/>
  <c r="H269" i="59"/>
  <c r="H270" i="59"/>
  <c r="I270" i="59" s="1"/>
  <c r="H267" i="59"/>
  <c r="H268" i="59"/>
  <c r="H265" i="59"/>
  <c r="I265" i="59" s="1"/>
  <c r="H266" i="59"/>
  <c r="H263" i="59"/>
  <c r="H264" i="59"/>
  <c r="H261" i="59"/>
  <c r="I261" i="59" s="1"/>
  <c r="H262" i="59"/>
  <c r="H259" i="59"/>
  <c r="I259" i="59" s="1"/>
  <c r="H260" i="59"/>
  <c r="H257" i="59"/>
  <c r="H258" i="59"/>
  <c r="H253" i="59"/>
  <c r="I253" i="59" s="1"/>
  <c r="H254" i="59"/>
  <c r="I254" i="59" s="1"/>
  <c r="I255" i="59" s="1"/>
  <c r="I256" i="59" s="1"/>
  <c r="H245" i="59"/>
  <c r="I245" i="59" s="1"/>
  <c r="H246" i="59"/>
  <c r="H243" i="59"/>
  <c r="H244" i="59"/>
  <c r="H241" i="59"/>
  <c r="H242" i="59"/>
  <c r="I242" i="59" s="1"/>
  <c r="H239" i="59"/>
  <c r="H240" i="59"/>
  <c r="H237" i="59"/>
  <c r="I237" i="59" s="1"/>
  <c r="H238" i="59"/>
  <c r="H234" i="59"/>
  <c r="H236" i="59"/>
  <c r="H232" i="59"/>
  <c r="I232" i="59" s="1"/>
  <c r="H233" i="59"/>
  <c r="H230" i="59"/>
  <c r="H231" i="59"/>
  <c r="H228" i="59"/>
  <c r="H229" i="59"/>
  <c r="H226" i="59"/>
  <c r="I226" i="59" s="1"/>
  <c r="H227" i="59"/>
  <c r="H224" i="59"/>
  <c r="I224" i="59" s="1"/>
  <c r="H225" i="59"/>
  <c r="I225" i="59" s="1"/>
  <c r="H222" i="59"/>
  <c r="I222" i="59" s="1"/>
  <c r="H223" i="59"/>
  <c r="I223" i="59" s="1"/>
  <c r="H220" i="59"/>
  <c r="I220" i="59" s="1"/>
  <c r="H221" i="59"/>
  <c r="I221" i="59" s="1"/>
  <c r="H218" i="59"/>
  <c r="H219" i="59"/>
  <c r="I219" i="59" s="1"/>
  <c r="H216" i="59"/>
  <c r="H217" i="59"/>
  <c r="H214" i="59"/>
  <c r="H215" i="59"/>
  <c r="I215" i="59" s="1"/>
  <c r="H212" i="59"/>
  <c r="H213" i="59"/>
  <c r="I213" i="59" s="1"/>
  <c r="H210" i="59"/>
  <c r="I210" i="59" s="1"/>
  <c r="H211" i="59"/>
  <c r="H207" i="59"/>
  <c r="H208" i="59"/>
  <c r="H205" i="59"/>
  <c r="H206" i="59"/>
  <c r="I206" i="59" s="1"/>
  <c r="H203" i="59"/>
  <c r="H204" i="59"/>
  <c r="I204" i="59" s="1"/>
  <c r="H201" i="59"/>
  <c r="H202" i="59"/>
  <c r="H199" i="59"/>
  <c r="I199" i="59" s="1"/>
  <c r="H200" i="59"/>
  <c r="H197" i="59"/>
  <c r="H198" i="59"/>
  <c r="H195" i="59"/>
  <c r="H196" i="59"/>
  <c r="H193" i="59"/>
  <c r="I193" i="59" s="1"/>
  <c r="H194" i="59"/>
  <c r="H191" i="59"/>
  <c r="H192" i="59"/>
  <c r="H189" i="59"/>
  <c r="H190" i="59"/>
  <c r="H187" i="59"/>
  <c r="H188" i="59"/>
  <c r="I188" i="59" s="1"/>
  <c r="H185" i="59"/>
  <c r="H186" i="59"/>
  <c r="H183" i="59"/>
  <c r="I183" i="59" s="1"/>
  <c r="H184" i="59"/>
  <c r="H181" i="59"/>
  <c r="H182" i="59"/>
  <c r="I182" i="59" s="1"/>
  <c r="H179" i="59"/>
  <c r="H180" i="59"/>
  <c r="H177" i="59"/>
  <c r="H178" i="59"/>
  <c r="H175" i="59"/>
  <c r="H176" i="59"/>
  <c r="I176" i="59" s="1"/>
  <c r="H173" i="59"/>
  <c r="H174" i="59"/>
  <c r="H171" i="59"/>
  <c r="J171" i="59" s="1"/>
  <c r="H172" i="59"/>
  <c r="I172" i="59" s="1"/>
  <c r="H169" i="59"/>
  <c r="H170" i="59"/>
  <c r="H167" i="59"/>
  <c r="H168" i="59"/>
  <c r="H165" i="59"/>
  <c r="H166" i="59"/>
  <c r="H162" i="59"/>
  <c r="H164" i="59"/>
  <c r="H160" i="59"/>
  <c r="J160" i="59" s="1"/>
  <c r="H161" i="59"/>
  <c r="H158" i="59"/>
  <c r="J158" i="59" s="1"/>
  <c r="H159" i="59"/>
  <c r="J159" i="59" s="1"/>
  <c r="H155" i="59"/>
  <c r="J155" i="59" s="1"/>
  <c r="H156" i="59"/>
  <c r="J156" i="59" s="1"/>
  <c r="H153" i="59"/>
  <c r="J153" i="59" s="1"/>
  <c r="H154" i="59"/>
  <c r="H151" i="59"/>
  <c r="H152" i="59"/>
  <c r="H149" i="59"/>
  <c r="H150" i="59"/>
  <c r="I150" i="59" s="1"/>
  <c r="H147" i="59"/>
  <c r="H148" i="59"/>
  <c r="H145" i="59"/>
  <c r="J145" i="59" s="1"/>
  <c r="H146" i="59"/>
  <c r="J146" i="59" s="1"/>
  <c r="H143" i="59"/>
  <c r="H144" i="59"/>
  <c r="H140" i="59"/>
  <c r="J140" i="59" s="1"/>
  <c r="H141" i="59"/>
  <c r="J141" i="59" s="1"/>
  <c r="H138" i="59"/>
  <c r="H139" i="59"/>
  <c r="J139" i="59" s="1"/>
  <c r="H136" i="59"/>
  <c r="H137" i="59"/>
  <c r="H134" i="59"/>
  <c r="H135" i="59"/>
  <c r="H132" i="59"/>
  <c r="H133" i="59"/>
  <c r="H129" i="59"/>
  <c r="H130" i="59"/>
  <c r="H127" i="59"/>
  <c r="J127" i="59" s="1"/>
  <c r="H128" i="59"/>
  <c r="J128" i="59" s="1"/>
  <c r="H125" i="59"/>
  <c r="H126" i="59"/>
  <c r="J126" i="59" s="1"/>
  <c r="H123" i="59"/>
  <c r="H124" i="59"/>
  <c r="H121" i="59"/>
  <c r="J121" i="59" s="1"/>
  <c r="H122" i="59"/>
  <c r="J122" i="59" s="1"/>
  <c r="H119" i="59"/>
  <c r="H120" i="59"/>
  <c r="H117" i="59"/>
  <c r="H118" i="59"/>
  <c r="H115" i="59"/>
  <c r="J115" i="59" s="1"/>
  <c r="H116" i="59"/>
  <c r="H112" i="59"/>
  <c r="H113" i="59"/>
  <c r="J113" i="59" s="1"/>
  <c r="H109" i="59"/>
  <c r="H111" i="59"/>
  <c r="H106" i="59"/>
  <c r="J106" i="59" s="1"/>
  <c r="H107" i="59"/>
  <c r="H104" i="59"/>
  <c r="H105" i="59"/>
  <c r="J105" i="59" s="1"/>
  <c r="H102" i="59"/>
  <c r="J102" i="59" s="1"/>
  <c r="H103" i="59"/>
  <c r="J103" i="59" s="1"/>
  <c r="H100" i="59"/>
  <c r="J100" i="59" s="1"/>
  <c r="H101" i="59"/>
  <c r="J101" i="59" s="1"/>
  <c r="H98" i="59"/>
  <c r="H99" i="59"/>
  <c r="J99" i="59" s="1"/>
  <c r="H96" i="59"/>
  <c r="H97" i="59"/>
  <c r="J97" i="59" s="1"/>
  <c r="H93" i="59"/>
  <c r="H95" i="59"/>
  <c r="H92" i="59"/>
  <c r="H91" i="59"/>
  <c r="H89" i="59"/>
  <c r="J89" i="59" s="1"/>
  <c r="H90" i="59"/>
  <c r="J90" i="59" s="1"/>
  <c r="H87" i="59"/>
  <c r="J87" i="59" s="1"/>
  <c r="H88" i="59"/>
  <c r="J88" i="59" s="1"/>
  <c r="H85" i="59"/>
  <c r="H86" i="59"/>
  <c r="J86" i="59" s="1"/>
  <c r="H82" i="59"/>
  <c r="J82" i="59" s="1"/>
  <c r="H84" i="59"/>
  <c r="I84" i="59" s="1"/>
  <c r="H79" i="59"/>
  <c r="H81" i="59"/>
  <c r="J81" i="59" s="1"/>
  <c r="H77" i="59"/>
  <c r="H78" i="59"/>
  <c r="J78" i="59" s="1"/>
  <c r="H75" i="59"/>
  <c r="H76" i="59"/>
  <c r="H73" i="59"/>
  <c r="J73" i="59" s="1"/>
  <c r="H74" i="59"/>
  <c r="J74" i="59" s="1"/>
  <c r="H71" i="59"/>
  <c r="H72" i="59"/>
  <c r="H69" i="59"/>
  <c r="J69" i="59" s="1"/>
  <c r="H70" i="59"/>
  <c r="H67" i="59"/>
  <c r="J67" i="59" s="1"/>
  <c r="H68" i="59"/>
  <c r="J68" i="59" s="1"/>
  <c r="H65" i="59"/>
  <c r="H66" i="59"/>
  <c r="H62" i="59"/>
  <c r="J62" i="59" s="1"/>
  <c r="H63" i="59"/>
  <c r="J63" i="59" s="1"/>
  <c r="H60" i="59"/>
  <c r="H61" i="59"/>
  <c r="H56" i="59"/>
  <c r="H58" i="59"/>
  <c r="J58" i="59" s="1"/>
  <c r="H54" i="59"/>
  <c r="J54" i="59" s="1"/>
  <c r="H55" i="59"/>
  <c r="H52" i="59"/>
  <c r="J52" i="59" s="1"/>
  <c r="H53" i="59"/>
  <c r="H50" i="59"/>
  <c r="H51" i="59"/>
  <c r="J51" i="59" s="1"/>
  <c r="H48" i="59"/>
  <c r="H49" i="59"/>
  <c r="J49" i="59" s="1"/>
  <c r="H46" i="59"/>
  <c r="H47" i="59"/>
  <c r="H40" i="59"/>
  <c r="J40" i="59" s="1"/>
  <c r="H41" i="59"/>
  <c r="J41" i="59" s="1"/>
  <c r="H39" i="59"/>
  <c r="J39" i="59" s="1"/>
  <c r="H38" i="59"/>
  <c r="J38" i="59" s="1"/>
  <c r="H37" i="59"/>
  <c r="I798" i="59" l="1"/>
  <c r="I799" i="59" s="1"/>
  <c r="I830" i="59"/>
  <c r="I831" i="59" s="1"/>
  <c r="I832" i="59" s="1"/>
  <c r="I833" i="59" s="1"/>
  <c r="I839" i="59"/>
  <c r="I840" i="59" s="1"/>
  <c r="I841" i="59" s="1"/>
  <c r="I847" i="59"/>
  <c r="I848" i="59" s="1"/>
  <c r="I849" i="59" s="1"/>
  <c r="I801" i="59"/>
  <c r="I802" i="59" s="1"/>
  <c r="I858" i="59"/>
  <c r="I859" i="59" s="1"/>
  <c r="I889" i="59"/>
  <c r="I890" i="59" s="1"/>
  <c r="I891" i="59" s="1"/>
  <c r="I892" i="59" s="1"/>
  <c r="I893" i="59" s="1"/>
  <c r="I894" i="59" s="1"/>
  <c r="I808" i="59"/>
  <c r="I809" i="59" s="1"/>
  <c r="I824" i="59"/>
  <c r="I825" i="59" s="1"/>
  <c r="I826" i="59" s="1"/>
  <c r="I827" i="59" s="1"/>
  <c r="I828" i="59" s="1"/>
  <c r="I795" i="59"/>
  <c r="I796" i="59" s="1"/>
  <c r="I811" i="59"/>
  <c r="I835" i="59"/>
  <c r="I836" i="59" s="1"/>
  <c r="I837" i="59" s="1"/>
  <c r="I843" i="59"/>
  <c r="I844" i="59" s="1"/>
  <c r="I845" i="59" s="1"/>
  <c r="I851" i="59"/>
  <c r="I852" i="59" s="1"/>
  <c r="I853" i="59" s="1"/>
  <c r="I854" i="59" s="1"/>
  <c r="I855" i="59" s="1"/>
  <c r="I813" i="59"/>
  <c r="I904" i="59"/>
  <c r="I905" i="59" s="1"/>
  <c r="I906" i="59" s="1"/>
  <c r="I907" i="59" s="1"/>
  <c r="I917" i="59"/>
  <c r="I918" i="59" s="1"/>
  <c r="I919" i="59" s="1"/>
  <c r="I920" i="59" s="1"/>
  <c r="I921" i="59" s="1"/>
  <c r="I922" i="59" s="1"/>
  <c r="I923" i="59" s="1"/>
  <c r="I924" i="59" s="1"/>
  <c r="I877" i="59"/>
  <c r="I878" i="59" s="1"/>
  <c r="I879" i="59" s="1"/>
  <c r="I881" i="59"/>
  <c r="I882" i="59" s="1"/>
  <c r="I865" i="59"/>
  <c r="I884" i="59"/>
  <c r="I885" i="59" s="1"/>
  <c r="I909" i="59"/>
  <c r="I910" i="59" s="1"/>
  <c r="I870" i="59"/>
  <c r="I871" i="59" s="1"/>
  <c r="I872" i="59" s="1"/>
  <c r="I873" i="59" s="1"/>
  <c r="I874" i="59" s="1"/>
  <c r="I875" i="59" s="1"/>
  <c r="I867" i="59"/>
  <c r="I868" i="59" s="1"/>
  <c r="I861" i="59"/>
  <c r="I862" i="59" s="1"/>
  <c r="I863" i="59" s="1"/>
  <c r="I896" i="59"/>
  <c r="I897" i="59" s="1"/>
  <c r="I898" i="59" s="1"/>
  <c r="I899" i="59" s="1"/>
  <c r="I900" i="59" s="1"/>
  <c r="I901" i="59" s="1"/>
  <c r="I902" i="59" s="1"/>
  <c r="I912" i="59"/>
  <c r="I913" i="59" s="1"/>
  <c r="I914" i="59" s="1"/>
  <c r="I887" i="59"/>
  <c r="I819" i="59"/>
  <c r="I820" i="59" s="1"/>
  <c r="I821" i="59" s="1"/>
  <c r="I822" i="59" s="1"/>
  <c r="I816" i="59"/>
  <c r="I817" i="59" s="1"/>
  <c r="I804" i="59"/>
  <c r="I805" i="59" s="1"/>
  <c r="I740" i="59"/>
  <c r="I741" i="59" s="1"/>
  <c r="I792" i="59"/>
  <c r="I783" i="59"/>
  <c r="I784" i="59" s="1"/>
  <c r="I785" i="59" s="1"/>
  <c r="I787" i="59"/>
  <c r="I788" i="59" s="1"/>
  <c r="I789" i="59" s="1"/>
  <c r="I790" i="59" s="1"/>
  <c r="I774" i="59"/>
  <c r="I778" i="59"/>
  <c r="I779" i="59" s="1"/>
  <c r="I780" i="59" s="1"/>
  <c r="I781" i="59" s="1"/>
  <c r="I655" i="59"/>
  <c r="I663" i="59"/>
  <c r="I664" i="59" s="1"/>
  <c r="I762" i="59"/>
  <c r="I763" i="59" s="1"/>
  <c r="I764" i="59" s="1"/>
  <c r="I766" i="59"/>
  <c r="I767" i="59" s="1"/>
  <c r="I768" i="59" s="1"/>
  <c r="I610" i="59"/>
  <c r="I611" i="59" s="1"/>
  <c r="I612" i="59" s="1"/>
  <c r="I613" i="59" s="1"/>
  <c r="I668" i="59"/>
  <c r="I693" i="59"/>
  <c r="I694" i="59" s="1"/>
  <c r="I695" i="59" s="1"/>
  <c r="I696" i="59" s="1"/>
  <c r="I697" i="59" s="1"/>
  <c r="I511" i="59"/>
  <c r="I512" i="59" s="1"/>
  <c r="I630" i="59"/>
  <c r="I631" i="59" s="1"/>
  <c r="I632" i="59" s="1"/>
  <c r="I734" i="59"/>
  <c r="I735" i="59" s="1"/>
  <c r="I743" i="59"/>
  <c r="I744" i="59" s="1"/>
  <c r="I760" i="59"/>
  <c r="I737" i="59"/>
  <c r="I746" i="59"/>
  <c r="I747" i="59" s="1"/>
  <c r="I748" i="59" s="1"/>
  <c r="I749" i="59" s="1"/>
  <c r="I750" i="59" s="1"/>
  <c r="I755" i="59"/>
  <c r="I756" i="59" s="1"/>
  <c r="I757" i="59" s="1"/>
  <c r="I758" i="59" s="1"/>
  <c r="I523" i="59"/>
  <c r="I524" i="59" s="1"/>
  <c r="I607" i="59"/>
  <c r="I608" i="59" s="1"/>
  <c r="I615" i="59"/>
  <c r="I616" i="59" s="1"/>
  <c r="I617" i="59" s="1"/>
  <c r="I641" i="59"/>
  <c r="I642" i="59" s="1"/>
  <c r="I643" i="59" s="1"/>
  <c r="I644" i="59" s="1"/>
  <c r="I771" i="59"/>
  <c r="I752" i="59"/>
  <c r="I753" i="59" s="1"/>
  <c r="I657" i="59"/>
  <c r="I658" i="59" s="1"/>
  <c r="I659" i="59" s="1"/>
  <c r="I660" i="59" s="1"/>
  <c r="I661" i="59" s="1"/>
  <c r="I526" i="59"/>
  <c r="I569" i="59"/>
  <c r="I577" i="59"/>
  <c r="I578" i="59" s="1"/>
  <c r="I579" i="59" s="1"/>
  <c r="I528" i="59"/>
  <c r="I529" i="59" s="1"/>
  <c r="I530" i="59" s="1"/>
  <c r="I531" i="59" s="1"/>
  <c r="I562" i="59"/>
  <c r="I563" i="59" s="1"/>
  <c r="I571" i="59"/>
  <c r="I587" i="59"/>
  <c r="I588" i="59" s="1"/>
  <c r="I589" i="59" s="1"/>
  <c r="I595" i="59"/>
  <c r="I596" i="59" s="1"/>
  <c r="I597" i="59" s="1"/>
  <c r="I619" i="59"/>
  <c r="I620" i="59" s="1"/>
  <c r="I621" i="59" s="1"/>
  <c r="I622" i="59" s="1"/>
  <c r="I627" i="59"/>
  <c r="I628" i="59" s="1"/>
  <c r="I670" i="59"/>
  <c r="I678" i="59"/>
  <c r="I687" i="59"/>
  <c r="I688" i="59" s="1"/>
  <c r="I689" i="59" s="1"/>
  <c r="I690" i="59" s="1"/>
  <c r="I691" i="59" s="1"/>
  <c r="I704" i="59"/>
  <c r="I547" i="59"/>
  <c r="I548" i="59" s="1"/>
  <c r="I549" i="59" s="1"/>
  <c r="I550" i="59" s="1"/>
  <c r="I565" i="59"/>
  <c r="I566" i="59" s="1"/>
  <c r="I573" i="59"/>
  <c r="I574" i="59" s="1"/>
  <c r="I575" i="59" s="1"/>
  <c r="I581" i="59"/>
  <c r="I582" i="59" s="1"/>
  <c r="I583" i="59" s="1"/>
  <c r="I584" i="59" s="1"/>
  <c r="I585" i="59" s="1"/>
  <c r="I648" i="59"/>
  <c r="I672" i="59"/>
  <c r="I680" i="59"/>
  <c r="I533" i="59"/>
  <c r="I542" i="59"/>
  <c r="I543" i="59" s="1"/>
  <c r="I544" i="59" s="1"/>
  <c r="I545" i="59" s="1"/>
  <c r="I634" i="59"/>
  <c r="I635" i="59" s="1"/>
  <c r="I636" i="59" s="1"/>
  <c r="I637" i="59" s="1"/>
  <c r="I684" i="59"/>
  <c r="I685" i="59" s="1"/>
  <c r="I591" i="59"/>
  <c r="I592" i="59" s="1"/>
  <c r="I593" i="59" s="1"/>
  <c r="I599" i="59"/>
  <c r="I600" i="59" s="1"/>
  <c r="I650" i="59"/>
  <c r="I651" i="59" s="1"/>
  <c r="I652" i="59" s="1"/>
  <c r="I653" i="59" s="1"/>
  <c r="I666" i="59"/>
  <c r="I674" i="59"/>
  <c r="I675" i="59" s="1"/>
  <c r="I676" i="59" s="1"/>
  <c r="I699" i="59"/>
  <c r="I700" i="59" s="1"/>
  <c r="I701" i="59" s="1"/>
  <c r="I702" i="59" s="1"/>
  <c r="I535" i="59"/>
  <c r="I536" i="59" s="1"/>
  <c r="I537" i="59" s="1"/>
  <c r="I538" i="59" s="1"/>
  <c r="I602" i="59"/>
  <c r="I603" i="59" s="1"/>
  <c r="I604" i="59" s="1"/>
  <c r="I624" i="59"/>
  <c r="I646" i="59"/>
  <c r="I514" i="59"/>
  <c r="I515" i="59" s="1"/>
  <c r="I516" i="59" s="1"/>
  <c r="I517" i="59" s="1"/>
  <c r="I518" i="59" s="1"/>
  <c r="I472" i="59"/>
  <c r="I473" i="59" s="1"/>
  <c r="I474" i="59" s="1"/>
  <c r="I475" i="59" s="1"/>
  <c r="I476" i="59" s="1"/>
  <c r="I477" i="59" s="1"/>
  <c r="I358" i="59"/>
  <c r="I359" i="59" s="1"/>
  <c r="I360" i="59" s="1"/>
  <c r="I271" i="59"/>
  <c r="I272" i="59" s="1"/>
  <c r="I273" i="59" s="1"/>
  <c r="I177" i="59"/>
  <c r="I178" i="59" s="1"/>
  <c r="I179" i="59" s="1"/>
  <c r="I180" i="59" s="1"/>
  <c r="I181" i="59" s="1"/>
  <c r="I243" i="59"/>
  <c r="I244" i="59" s="1"/>
  <c r="I275" i="59"/>
  <c r="I345" i="59"/>
  <c r="I353" i="59"/>
  <c r="I457" i="59"/>
  <c r="I458" i="59" s="1"/>
  <c r="I459" i="59" s="1"/>
  <c r="I460" i="59" s="1"/>
  <c r="I461" i="59" s="1"/>
  <c r="I260" i="59"/>
  <c r="I450" i="59"/>
  <c r="I451" i="59" s="1"/>
  <c r="I211" i="59"/>
  <c r="I212" i="59" s="1"/>
  <c r="I227" i="59"/>
  <c r="I228" i="59" s="1"/>
  <c r="I229" i="59" s="1"/>
  <c r="I230" i="59" s="1"/>
  <c r="I231" i="59" s="1"/>
  <c r="I302" i="59"/>
  <c r="I303" i="59" s="1"/>
  <c r="I304" i="59" s="1"/>
  <c r="I305" i="59" s="1"/>
  <c r="I306" i="59" s="1"/>
  <c r="I362" i="59"/>
  <c r="I370" i="59"/>
  <c r="I386" i="59"/>
  <c r="I395" i="59"/>
  <c r="I396" i="59" s="1"/>
  <c r="I397" i="59" s="1"/>
  <c r="I405" i="59"/>
  <c r="I494" i="59"/>
  <c r="I495" i="59" s="1"/>
  <c r="I483" i="59"/>
  <c r="I484" i="59" s="1"/>
  <c r="I485" i="59" s="1"/>
  <c r="I486" i="59" s="1"/>
  <c r="I487" i="59" s="1"/>
  <c r="I214" i="59"/>
  <c r="I435" i="59"/>
  <c r="I436" i="59" s="1"/>
  <c r="I437" i="59" s="1"/>
  <c r="I497" i="59"/>
  <c r="I412" i="59"/>
  <c r="I413" i="59" s="1"/>
  <c r="I414" i="59" s="1"/>
  <c r="I415" i="59" s="1"/>
  <c r="I238" i="59"/>
  <c r="I239" i="59" s="1"/>
  <c r="I240" i="59" s="1"/>
  <c r="I241" i="59" s="1"/>
  <c r="I246" i="59"/>
  <c r="I247" i="59" s="1"/>
  <c r="I248" i="59" s="1"/>
  <c r="I262" i="59"/>
  <c r="I263" i="59" s="1"/>
  <c r="I264" i="59" s="1"/>
  <c r="I277" i="59"/>
  <c r="I278" i="59" s="1"/>
  <c r="I279" i="59" s="1"/>
  <c r="I287" i="59"/>
  <c r="I295" i="59"/>
  <c r="I296" i="59" s="1"/>
  <c r="I311" i="59"/>
  <c r="I312" i="59" s="1"/>
  <c r="I330" i="59"/>
  <c r="I331" i="59" s="1"/>
  <c r="I332" i="59" s="1"/>
  <c r="I364" i="59"/>
  <c r="I365" i="59" s="1"/>
  <c r="I372" i="59"/>
  <c r="I373" i="59" s="1"/>
  <c r="I374" i="59" s="1"/>
  <c r="I388" i="59"/>
  <c r="I389" i="59" s="1"/>
  <c r="I390" i="59" s="1"/>
  <c r="I391" i="59" s="1"/>
  <c r="I392" i="59" s="1"/>
  <c r="I393" i="59" s="1"/>
  <c r="I423" i="59"/>
  <c r="I424" i="59" s="1"/>
  <c r="I425" i="59" s="1"/>
  <c r="I469" i="59"/>
  <c r="I470" i="59" s="1"/>
  <c r="I257" i="59"/>
  <c r="I258" i="59" s="1"/>
  <c r="I291" i="59"/>
  <c r="I292" i="59" s="1"/>
  <c r="I293" i="59" s="1"/>
  <c r="I298" i="59"/>
  <c r="I299" i="59" s="1"/>
  <c r="I300" i="59" s="1"/>
  <c r="I334" i="59"/>
  <c r="I367" i="59"/>
  <c r="I368" i="59" s="1"/>
  <c r="I399" i="59"/>
  <c r="I400" i="59" s="1"/>
  <c r="I401" i="59" s="1"/>
  <c r="I499" i="59"/>
  <c r="I233" i="59"/>
  <c r="I234" i="59" s="1"/>
  <c r="I235" i="59" s="1"/>
  <c r="I236" i="59" s="1"/>
  <c r="I465" i="59"/>
  <c r="I466" i="59" s="1"/>
  <c r="J37" i="59"/>
  <c r="I37" i="59"/>
  <c r="I38" i="59" s="1"/>
  <c r="I39" i="59" s="1"/>
  <c r="I40" i="59" s="1"/>
  <c r="I41" i="59" s="1"/>
  <c r="J48" i="59"/>
  <c r="J56" i="59"/>
  <c r="J75" i="59"/>
  <c r="I75" i="59"/>
  <c r="I76" i="59" s="1"/>
  <c r="I77" i="59" s="1"/>
  <c r="I78" i="59" s="1"/>
  <c r="J85" i="59"/>
  <c r="I85" i="59"/>
  <c r="I86" i="59" s="1"/>
  <c r="I87" i="59" s="1"/>
  <c r="I88" i="59" s="1"/>
  <c r="I89" i="59" s="1"/>
  <c r="I90" i="59" s="1"/>
  <c r="J93" i="59"/>
  <c r="J112" i="59"/>
  <c r="J129" i="59"/>
  <c r="I129" i="59"/>
  <c r="I130" i="59" s="1"/>
  <c r="I131" i="59" s="1"/>
  <c r="J138" i="59"/>
  <c r="I138" i="59"/>
  <c r="I139" i="59" s="1"/>
  <c r="I140" i="59" s="1"/>
  <c r="I141" i="59" s="1"/>
  <c r="I142" i="59" s="1"/>
  <c r="J147" i="59"/>
  <c r="I147" i="59"/>
  <c r="I148" i="59" s="1"/>
  <c r="I149" i="59" s="1"/>
  <c r="J165" i="59"/>
  <c r="I173" i="59"/>
  <c r="I174" i="59" s="1"/>
  <c r="I175" i="59" s="1"/>
  <c r="I189" i="59"/>
  <c r="I190" i="59" s="1"/>
  <c r="I191" i="59" s="1"/>
  <c r="I192" i="59" s="1"/>
  <c r="I205" i="59"/>
  <c r="I315" i="59"/>
  <c r="I325" i="59"/>
  <c r="I340" i="59"/>
  <c r="I341" i="59" s="1"/>
  <c r="I342" i="59" s="1"/>
  <c r="I427" i="59"/>
  <c r="I428" i="59" s="1"/>
  <c r="I429" i="59" s="1"/>
  <c r="I430" i="59" s="1"/>
  <c r="I431" i="59" s="1"/>
  <c r="I446" i="59"/>
  <c r="I447" i="59" s="1"/>
  <c r="I448" i="59" s="1"/>
  <c r="I453" i="59"/>
  <c r="I480" i="59"/>
  <c r="I481" i="59" s="1"/>
  <c r="I489" i="59"/>
  <c r="I490" i="59" s="1"/>
  <c r="I491" i="59" s="1"/>
  <c r="J148" i="59"/>
  <c r="J61" i="59"/>
  <c r="J70" i="59"/>
  <c r="I70" i="59"/>
  <c r="I71" i="59" s="1"/>
  <c r="I72" i="59" s="1"/>
  <c r="I73" i="59" s="1"/>
  <c r="I74" i="59" s="1"/>
  <c r="J116" i="59"/>
  <c r="I116" i="59"/>
  <c r="I117" i="59" s="1"/>
  <c r="J124" i="59"/>
  <c r="I124" i="59"/>
  <c r="J133" i="59"/>
  <c r="J168" i="59"/>
  <c r="I184" i="59"/>
  <c r="I185" i="59" s="1"/>
  <c r="I186" i="59" s="1"/>
  <c r="I187" i="59" s="1"/>
  <c r="I200" i="59"/>
  <c r="I201" i="59" s="1"/>
  <c r="I202" i="59" s="1"/>
  <c r="I203" i="59" s="1"/>
  <c r="I266" i="59"/>
  <c r="I267" i="59" s="1"/>
  <c r="I268" i="59" s="1"/>
  <c r="I269" i="59" s="1"/>
  <c r="I282" i="59"/>
  <c r="I283" i="59" s="1"/>
  <c r="I284" i="59" s="1"/>
  <c r="I317" i="59"/>
  <c r="I318" i="59" s="1"/>
  <c r="I319" i="59" s="1"/>
  <c r="I320" i="59" s="1"/>
  <c r="I327" i="59"/>
  <c r="I328" i="59" s="1"/>
  <c r="J76" i="59"/>
  <c r="J130" i="59"/>
  <c r="J166" i="59"/>
  <c r="I166" i="59"/>
  <c r="I167" i="59" s="1"/>
  <c r="I168" i="59" s="1"/>
  <c r="J77" i="59"/>
  <c r="J96" i="59"/>
  <c r="J104" i="59"/>
  <c r="I104" i="59"/>
  <c r="I105" i="59" s="1"/>
  <c r="I106" i="59" s="1"/>
  <c r="J123" i="59"/>
  <c r="I123" i="59"/>
  <c r="J132" i="59"/>
  <c r="I132" i="59"/>
  <c r="I133" i="59" s="1"/>
  <c r="J149" i="59"/>
  <c r="J167" i="59"/>
  <c r="I207" i="59"/>
  <c r="I208" i="59" s="1"/>
  <c r="I209" i="59" s="1"/>
  <c r="I216" i="59"/>
  <c r="I217" i="59" s="1"/>
  <c r="I218" i="59" s="1"/>
  <c r="I376" i="59"/>
  <c r="I377" i="59" s="1"/>
  <c r="I378" i="59" s="1"/>
  <c r="I379" i="59" s="1"/>
  <c r="I455" i="59"/>
  <c r="J95" i="59"/>
  <c r="I95" i="59"/>
  <c r="I96" i="59" s="1"/>
  <c r="I97" i="59" s="1"/>
  <c r="J53" i="59"/>
  <c r="I53" i="59"/>
  <c r="I54" i="59" s="1"/>
  <c r="J72" i="59"/>
  <c r="J107" i="59"/>
  <c r="I107" i="59"/>
  <c r="I108" i="59" s="1"/>
  <c r="I109" i="59" s="1"/>
  <c r="J118" i="59"/>
  <c r="I118" i="59"/>
  <c r="I119" i="59" s="1"/>
  <c r="I120" i="59" s="1"/>
  <c r="I121" i="59" s="1"/>
  <c r="I122" i="59" s="1"/>
  <c r="J135" i="59"/>
  <c r="J144" i="59"/>
  <c r="I144" i="59"/>
  <c r="I145" i="59" s="1"/>
  <c r="I146" i="59" s="1"/>
  <c r="J152" i="59"/>
  <c r="J161" i="59"/>
  <c r="I161" i="59"/>
  <c r="I162" i="59" s="1"/>
  <c r="J170" i="59"/>
  <c r="I194" i="59"/>
  <c r="I195" i="59" s="1"/>
  <c r="I196" i="59" s="1"/>
  <c r="I197" i="59" s="1"/>
  <c r="I198" i="59" s="1"/>
  <c r="I347" i="59"/>
  <c r="I348" i="59" s="1"/>
  <c r="I349" i="59" s="1"/>
  <c r="I350" i="59" s="1"/>
  <c r="I351" i="59" s="1"/>
  <c r="I355" i="59"/>
  <c r="I356" i="59" s="1"/>
  <c r="I433" i="59"/>
  <c r="J60" i="59"/>
  <c r="I60" i="59"/>
  <c r="I61" i="59" s="1"/>
  <c r="I62" i="59" s="1"/>
  <c r="I63" i="59" s="1"/>
  <c r="I64" i="59" s="1"/>
  <c r="J71" i="59"/>
  <c r="J79" i="59"/>
  <c r="I79" i="59"/>
  <c r="I80" i="59" s="1"/>
  <c r="I81" i="59" s="1"/>
  <c r="I82" i="59" s="1"/>
  <c r="J98" i="59"/>
  <c r="I98" i="59"/>
  <c r="I99" i="59" s="1"/>
  <c r="I100" i="59" s="1"/>
  <c r="I101" i="59" s="1"/>
  <c r="I102" i="59" s="1"/>
  <c r="I103" i="59" s="1"/>
  <c r="J117" i="59"/>
  <c r="J125" i="59"/>
  <c r="I125" i="59"/>
  <c r="I126" i="59" s="1"/>
  <c r="I127" i="59" s="1"/>
  <c r="I128" i="59" s="1"/>
  <c r="J134" i="59"/>
  <c r="I134" i="59"/>
  <c r="I135" i="59" s="1"/>
  <c r="I136" i="59" s="1"/>
  <c r="J143" i="59"/>
  <c r="I143" i="59"/>
  <c r="J151" i="59"/>
  <c r="I151" i="59"/>
  <c r="I152" i="59" s="1"/>
  <c r="I153" i="59" s="1"/>
  <c r="J169" i="59"/>
  <c r="I169" i="59"/>
  <c r="I170" i="59" s="1"/>
  <c r="I171" i="59" s="1"/>
  <c r="I309" i="59"/>
  <c r="I336" i="59"/>
  <c r="I337" i="59" s="1"/>
  <c r="I338" i="59" s="1"/>
  <c r="I439" i="59"/>
  <c r="I440" i="59" s="1"/>
  <c r="I441" i="59" s="1"/>
  <c r="I442" i="59" s="1"/>
  <c r="I501" i="59"/>
  <c r="I158" i="59"/>
  <c r="I159" i="59" s="1"/>
  <c r="I160" i="59" s="1"/>
  <c r="J50" i="59"/>
  <c r="I50" i="59"/>
  <c r="I51" i="59" s="1"/>
  <c r="I52" i="59" s="1"/>
  <c r="J47" i="59"/>
  <c r="J55" i="59"/>
  <c r="I55" i="59"/>
  <c r="I56" i="59" s="1"/>
  <c r="I57" i="59" s="1"/>
  <c r="I58" i="59" s="1"/>
  <c r="I59" i="59" s="1"/>
  <c r="J66" i="59"/>
  <c r="J91" i="59"/>
  <c r="I91" i="59"/>
  <c r="I92" i="59" s="1"/>
  <c r="I93" i="59" s="1"/>
  <c r="I94" i="59" s="1"/>
  <c r="J111" i="59"/>
  <c r="I111" i="59"/>
  <c r="I112" i="59" s="1"/>
  <c r="I113" i="59" s="1"/>
  <c r="I114" i="59" s="1"/>
  <c r="I115" i="59" s="1"/>
  <c r="J120" i="59"/>
  <c r="J137" i="59"/>
  <c r="I137" i="59"/>
  <c r="J154" i="59"/>
  <c r="I154" i="59"/>
  <c r="I155" i="59" s="1"/>
  <c r="I156" i="59" s="1"/>
  <c r="J164" i="59"/>
  <c r="I164" i="59"/>
  <c r="I165" i="59" s="1"/>
  <c r="I381" i="59"/>
  <c r="I382" i="59" s="1"/>
  <c r="I383" i="59" s="1"/>
  <c r="I384" i="59" s="1"/>
  <c r="I407" i="59"/>
  <c r="I408" i="59" s="1"/>
  <c r="I409" i="59" s="1"/>
  <c r="J46" i="59"/>
  <c r="I46" i="59"/>
  <c r="I47" i="59" s="1"/>
  <c r="I48" i="59" s="1"/>
  <c r="I49" i="59" s="1"/>
  <c r="J65" i="59"/>
  <c r="I65" i="59"/>
  <c r="I66" i="59" s="1"/>
  <c r="I67" i="59" s="1"/>
  <c r="I68" i="59" s="1"/>
  <c r="I69" i="59" s="1"/>
  <c r="J92" i="59"/>
  <c r="J109" i="59"/>
  <c r="J119" i="59"/>
  <c r="J136" i="59"/>
  <c r="J162" i="59"/>
  <c r="J200" i="59"/>
  <c r="J208" i="59"/>
  <c r="J217" i="59"/>
  <c r="J233" i="59"/>
  <c r="J242" i="59"/>
  <c r="J260" i="59"/>
  <c r="J268" i="59"/>
  <c r="J276" i="59"/>
  <c r="J284" i="59"/>
  <c r="J294" i="59"/>
  <c r="J302" i="59"/>
  <c r="J310" i="59"/>
  <c r="J319" i="59"/>
  <c r="J329" i="59"/>
  <c r="J337" i="59"/>
  <c r="J346" i="59"/>
  <c r="J354" i="59"/>
  <c r="J363" i="59"/>
  <c r="J371" i="59"/>
  <c r="J379" i="59"/>
  <c r="J387" i="59"/>
  <c r="J395" i="59"/>
  <c r="J405" i="59"/>
  <c r="J414" i="59"/>
  <c r="J422" i="59"/>
  <c r="J432" i="59"/>
  <c r="J440" i="59"/>
  <c r="J450" i="59"/>
  <c r="J458" i="59"/>
  <c r="J467" i="59"/>
  <c r="J476" i="59"/>
  <c r="J485" i="59"/>
  <c r="J494" i="59"/>
  <c r="J503" i="59"/>
  <c r="J511" i="59"/>
  <c r="J519" i="59"/>
  <c r="J529" i="59"/>
  <c r="J537" i="59"/>
  <c r="J546" i="59"/>
  <c r="J564" i="59"/>
  <c r="J572" i="59"/>
  <c r="J580" i="59"/>
  <c r="J588" i="59"/>
  <c r="J596" i="59"/>
  <c r="J604" i="59"/>
  <c r="J613" i="59"/>
  <c r="J620" i="59"/>
  <c r="J630" i="59"/>
  <c r="J638" i="59"/>
  <c r="J647" i="59"/>
  <c r="J655" i="59"/>
  <c r="J663" i="59"/>
  <c r="J671" i="59"/>
  <c r="J679" i="59"/>
  <c r="J688" i="59"/>
  <c r="J696" i="59"/>
  <c r="J705" i="59"/>
  <c r="J740" i="59"/>
  <c r="J748" i="59"/>
  <c r="J757" i="59"/>
  <c r="J765" i="59"/>
  <c r="J775" i="59"/>
  <c r="J784" i="59"/>
  <c r="J792" i="59"/>
  <c r="J801" i="59"/>
  <c r="J809" i="59"/>
  <c r="J817" i="59"/>
  <c r="J825" i="59"/>
  <c r="J833" i="59"/>
  <c r="J841" i="59"/>
  <c r="J849" i="59"/>
  <c r="J858" i="59"/>
  <c r="J866" i="59"/>
  <c r="J875" i="59"/>
  <c r="J881" i="59"/>
  <c r="J889" i="59"/>
  <c r="J897" i="59"/>
  <c r="J906" i="59"/>
  <c r="J915" i="59"/>
  <c r="J225" i="59"/>
  <c r="J199" i="59"/>
  <c r="J207" i="59"/>
  <c r="J216" i="59"/>
  <c r="J224" i="59"/>
  <c r="J232" i="59"/>
  <c r="J241" i="59"/>
  <c r="J259" i="59"/>
  <c r="J267" i="59"/>
  <c r="J275" i="59"/>
  <c r="J283" i="59"/>
  <c r="J293" i="59"/>
  <c r="J301" i="59"/>
  <c r="J309" i="59"/>
  <c r="J318" i="59"/>
  <c r="J328" i="59"/>
  <c r="J336" i="59"/>
  <c r="J345" i="59"/>
  <c r="J353" i="59"/>
  <c r="J362" i="59"/>
  <c r="J370" i="59"/>
  <c r="J378" i="59"/>
  <c r="J386" i="59"/>
  <c r="J394" i="59"/>
  <c r="J403" i="59"/>
  <c r="J413" i="59"/>
  <c r="J421" i="59"/>
  <c r="J430" i="59"/>
  <c r="J439" i="59"/>
  <c r="J449" i="59"/>
  <c r="J457" i="59"/>
  <c r="J466" i="59"/>
  <c r="J475" i="59"/>
  <c r="J484" i="59"/>
  <c r="J492" i="59"/>
  <c r="J501" i="59"/>
  <c r="J510" i="59"/>
  <c r="J518" i="59"/>
  <c r="J528" i="59"/>
  <c r="J536" i="59"/>
  <c r="J545" i="59"/>
  <c r="J562" i="59"/>
  <c r="J571" i="59"/>
  <c r="J579" i="59"/>
  <c r="J587" i="59"/>
  <c r="J595" i="59"/>
  <c r="J603" i="59"/>
  <c r="J612" i="59"/>
  <c r="J619" i="59"/>
  <c r="J627" i="59"/>
  <c r="J637" i="59"/>
  <c r="J646" i="59"/>
  <c r="J654" i="59"/>
  <c r="J662" i="59"/>
  <c r="J670" i="59"/>
  <c r="J678" i="59"/>
  <c r="J687" i="59"/>
  <c r="J695" i="59"/>
  <c r="J704" i="59"/>
  <c r="J739" i="59"/>
  <c r="J747" i="59"/>
  <c r="J756" i="59"/>
  <c r="J764" i="59"/>
  <c r="J774" i="59"/>
  <c r="J783" i="59"/>
  <c r="J791" i="59"/>
  <c r="J800" i="59"/>
  <c r="J808" i="59"/>
  <c r="J816" i="59"/>
  <c r="J824" i="59"/>
  <c r="J832" i="59"/>
  <c r="J840" i="59"/>
  <c r="J848" i="59"/>
  <c r="J857" i="59"/>
  <c r="J865" i="59"/>
  <c r="J874" i="59"/>
  <c r="J884" i="59"/>
  <c r="J892" i="59"/>
  <c r="J901" i="59"/>
  <c r="J909" i="59"/>
  <c r="J919" i="59"/>
  <c r="J194" i="59"/>
  <c r="J202" i="59"/>
  <c r="J211" i="59"/>
  <c r="J219" i="59"/>
  <c r="J227" i="59"/>
  <c r="J236" i="59"/>
  <c r="J244" i="59"/>
  <c r="J262" i="59"/>
  <c r="J270" i="59"/>
  <c r="J278" i="59"/>
  <c r="J287" i="59"/>
  <c r="J296" i="59"/>
  <c r="J304" i="59"/>
  <c r="J312" i="59"/>
  <c r="J321" i="59"/>
  <c r="J331" i="59"/>
  <c r="J339" i="59"/>
  <c r="J348" i="59"/>
  <c r="J357" i="59"/>
  <c r="J365" i="59"/>
  <c r="J373" i="59"/>
  <c r="J381" i="59"/>
  <c r="J389" i="59"/>
  <c r="J397" i="59"/>
  <c r="J407" i="59"/>
  <c r="J416" i="59"/>
  <c r="J424" i="59"/>
  <c r="J434" i="59"/>
  <c r="J444" i="59"/>
  <c r="J452" i="59"/>
  <c r="J460" i="59"/>
  <c r="J470" i="59"/>
  <c r="J478" i="59"/>
  <c r="J487" i="59"/>
  <c r="J496" i="59"/>
  <c r="J505" i="59"/>
  <c r="J513" i="59"/>
  <c r="J523" i="59"/>
  <c r="J531" i="59"/>
  <c r="J540" i="59"/>
  <c r="J548" i="59"/>
  <c r="J566" i="59"/>
  <c r="J574" i="59"/>
  <c r="J582" i="59"/>
  <c r="J590" i="59"/>
  <c r="J598" i="59"/>
  <c r="J607" i="59"/>
  <c r="J615" i="59"/>
  <c r="J622" i="59"/>
  <c r="J632" i="59"/>
  <c r="J641" i="59"/>
  <c r="J649" i="59"/>
  <c r="J657" i="59"/>
  <c r="J665" i="59"/>
  <c r="J673" i="59"/>
  <c r="J681" i="59"/>
  <c r="J690" i="59"/>
  <c r="J698" i="59"/>
  <c r="J707" i="59"/>
  <c r="J733" i="59"/>
  <c r="J742" i="59"/>
  <c r="J751" i="59"/>
  <c r="J759" i="59"/>
  <c r="J767" i="59"/>
  <c r="J778" i="59"/>
  <c r="J786" i="59"/>
  <c r="J795" i="59"/>
  <c r="J803" i="59"/>
  <c r="J811" i="59"/>
  <c r="J819" i="59"/>
  <c r="J827" i="59"/>
  <c r="J835" i="59"/>
  <c r="J843" i="59"/>
  <c r="J851" i="59"/>
  <c r="J860" i="59"/>
  <c r="J868" i="59"/>
  <c r="J877" i="59"/>
  <c r="J883" i="59"/>
  <c r="J891" i="59"/>
  <c r="J900" i="59"/>
  <c r="J908" i="59"/>
  <c r="J918" i="59"/>
  <c r="J193" i="59"/>
  <c r="J201" i="59"/>
  <c r="J210" i="59"/>
  <c r="J218" i="59"/>
  <c r="J226" i="59"/>
  <c r="J234" i="59"/>
  <c r="J243" i="59"/>
  <c r="J261" i="59"/>
  <c r="J269" i="59"/>
  <c r="J277" i="59"/>
  <c r="J286" i="59"/>
  <c r="J295" i="59"/>
  <c r="J303" i="59"/>
  <c r="J311" i="59"/>
  <c r="J320" i="59"/>
  <c r="J330" i="59"/>
  <c r="J338" i="59"/>
  <c r="J347" i="59"/>
  <c r="J355" i="59"/>
  <c r="J364" i="59"/>
  <c r="J372" i="59"/>
  <c r="J380" i="59"/>
  <c r="J388" i="59"/>
  <c r="J396" i="59"/>
  <c r="J406" i="59"/>
  <c r="J415" i="59"/>
  <c r="J423" i="59"/>
  <c r="J433" i="59"/>
  <c r="J442" i="59"/>
  <c r="J451" i="59"/>
  <c r="J459" i="59"/>
  <c r="J469" i="59"/>
  <c r="J477" i="59"/>
  <c r="J486" i="59"/>
  <c r="J495" i="59"/>
  <c r="J504" i="59"/>
  <c r="J512" i="59"/>
  <c r="J522" i="59"/>
  <c r="J530" i="59"/>
  <c r="J538" i="59"/>
  <c r="J547" i="59"/>
  <c r="J565" i="59"/>
  <c r="J573" i="59"/>
  <c r="J581" i="59"/>
  <c r="J589" i="59"/>
  <c r="J597" i="59"/>
  <c r="J605" i="59"/>
  <c r="J614" i="59"/>
  <c r="J621" i="59"/>
  <c r="J631" i="59"/>
  <c r="J640" i="59"/>
  <c r="J648" i="59"/>
  <c r="J656" i="59"/>
  <c r="J664" i="59"/>
  <c r="J672" i="59"/>
  <c r="J680" i="59"/>
  <c r="J689" i="59"/>
  <c r="J697" i="59"/>
  <c r="J706" i="59"/>
  <c r="J732" i="59"/>
  <c r="J741" i="59"/>
  <c r="J750" i="59"/>
  <c r="J758" i="59"/>
  <c r="J766" i="59"/>
  <c r="J777" i="59"/>
  <c r="J785" i="59"/>
  <c r="J794" i="59"/>
  <c r="J802" i="59"/>
  <c r="J810" i="59"/>
  <c r="J818" i="59"/>
  <c r="J826" i="59"/>
  <c r="J834" i="59"/>
  <c r="J842" i="59"/>
  <c r="J850" i="59"/>
  <c r="J859" i="59"/>
  <c r="J867" i="59"/>
  <c r="J876" i="59"/>
  <c r="J886" i="59"/>
  <c r="J894" i="59"/>
  <c r="J903" i="59"/>
  <c r="J911" i="59"/>
  <c r="J196" i="59"/>
  <c r="J204" i="59"/>
  <c r="J213" i="59"/>
  <c r="J221" i="59"/>
  <c r="J229" i="59"/>
  <c r="J238" i="59"/>
  <c r="J246" i="59"/>
  <c r="J254" i="59"/>
  <c r="J264" i="59"/>
  <c r="J272" i="59"/>
  <c r="J280" i="59"/>
  <c r="J290" i="59"/>
  <c r="J298" i="59"/>
  <c r="J306" i="59"/>
  <c r="J315" i="59"/>
  <c r="J325" i="59"/>
  <c r="J333" i="59"/>
  <c r="J341" i="59"/>
  <c r="J350" i="59"/>
  <c r="J359" i="59"/>
  <c r="J367" i="59"/>
  <c r="J375" i="59"/>
  <c r="J383" i="59"/>
  <c r="J391" i="59"/>
  <c r="J399" i="59"/>
  <c r="J409" i="59"/>
  <c r="J417" i="59"/>
  <c r="J427" i="59"/>
  <c r="J436" i="59"/>
  <c r="J446" i="59"/>
  <c r="J454" i="59"/>
  <c r="J462" i="59"/>
  <c r="J473" i="59"/>
  <c r="J481" i="59"/>
  <c r="J489" i="59"/>
  <c r="J498" i="59"/>
  <c r="J515" i="59"/>
  <c r="J525" i="59"/>
  <c r="J533" i="59"/>
  <c r="J542" i="59"/>
  <c r="J550" i="59"/>
  <c r="J568" i="59"/>
  <c r="J576" i="59"/>
  <c r="J584" i="59"/>
  <c r="J592" i="59"/>
  <c r="J600" i="59"/>
  <c r="J609" i="59"/>
  <c r="J617" i="59"/>
  <c r="J628" i="59"/>
  <c r="J634" i="59"/>
  <c r="J643" i="59"/>
  <c r="J651" i="59"/>
  <c r="J659" i="59"/>
  <c r="J667" i="59"/>
  <c r="J675" i="59"/>
  <c r="J684" i="59"/>
  <c r="J692" i="59"/>
  <c r="J700" i="59"/>
  <c r="J735" i="59"/>
  <c r="J744" i="59"/>
  <c r="J753" i="59"/>
  <c r="J761" i="59"/>
  <c r="J770" i="59"/>
  <c r="J780" i="59"/>
  <c r="J788" i="59"/>
  <c r="J797" i="59"/>
  <c r="J805" i="59"/>
  <c r="J813" i="59"/>
  <c r="J821" i="59"/>
  <c r="J829" i="59"/>
  <c r="J837" i="59"/>
  <c r="J845" i="59"/>
  <c r="J853" i="59"/>
  <c r="J862" i="59"/>
  <c r="J870" i="59"/>
  <c r="J879" i="59"/>
  <c r="J885" i="59"/>
  <c r="J893" i="59"/>
  <c r="J902" i="59"/>
  <c r="J910" i="59"/>
  <c r="J195" i="59"/>
  <c r="J203" i="59"/>
  <c r="J212" i="59"/>
  <c r="J220" i="59"/>
  <c r="J228" i="59"/>
  <c r="J237" i="59"/>
  <c r="J245" i="59"/>
  <c r="J253" i="59"/>
  <c r="J263" i="59"/>
  <c r="J271" i="59"/>
  <c r="J279" i="59"/>
  <c r="J288" i="59"/>
  <c r="J297" i="59"/>
  <c r="J305" i="59"/>
  <c r="J313" i="59"/>
  <c r="J322" i="59"/>
  <c r="J332" i="59"/>
  <c r="J340" i="59"/>
  <c r="J349" i="59"/>
  <c r="J358" i="59"/>
  <c r="J366" i="59"/>
  <c r="J374" i="59"/>
  <c r="J382" i="59"/>
  <c r="J390" i="59"/>
  <c r="J398" i="59"/>
  <c r="J408" i="59"/>
  <c r="J419" i="59"/>
  <c r="J426" i="59"/>
  <c r="J435" i="59"/>
  <c r="J445" i="59"/>
  <c r="J453" i="59"/>
  <c r="J461" i="59"/>
  <c r="J471" i="59"/>
  <c r="J480" i="59"/>
  <c r="J488" i="59"/>
  <c r="J497" i="59"/>
  <c r="J514" i="59"/>
  <c r="J524" i="59"/>
  <c r="J532" i="59"/>
  <c r="J541" i="59"/>
  <c r="J549" i="59"/>
  <c r="J567" i="59"/>
  <c r="J575" i="59"/>
  <c r="J583" i="59"/>
  <c r="J591" i="59"/>
  <c r="J599" i="59"/>
  <c r="J608" i="59"/>
  <c r="J616" i="59"/>
  <c r="J623" i="59"/>
  <c r="J633" i="59"/>
  <c r="J642" i="59"/>
  <c r="J650" i="59"/>
  <c r="J658" i="59"/>
  <c r="J666" i="59"/>
  <c r="J674" i="59"/>
  <c r="J682" i="59"/>
  <c r="J691" i="59"/>
  <c r="J699" i="59"/>
  <c r="J708" i="59"/>
  <c r="J734" i="59"/>
  <c r="J743" i="59"/>
  <c r="J752" i="59"/>
  <c r="J760" i="59"/>
  <c r="J768" i="59"/>
  <c r="J779" i="59"/>
  <c r="J787" i="59"/>
  <c r="J796" i="59"/>
  <c r="J804" i="59"/>
  <c r="J812" i="59"/>
  <c r="J820" i="59"/>
  <c r="J828" i="59"/>
  <c r="J836" i="59"/>
  <c r="J844" i="59"/>
  <c r="J852" i="59"/>
  <c r="J861" i="59"/>
  <c r="J869" i="59"/>
  <c r="J878" i="59"/>
  <c r="J888" i="59"/>
  <c r="J896" i="59"/>
  <c r="J905" i="59"/>
  <c r="J914" i="59"/>
  <c r="J198" i="59"/>
  <c r="J206" i="59"/>
  <c r="J223" i="59"/>
  <c r="J231" i="59"/>
  <c r="J240" i="59"/>
  <c r="J258" i="59"/>
  <c r="J266" i="59"/>
  <c r="J274" i="59"/>
  <c r="J282" i="59"/>
  <c r="J292" i="59"/>
  <c r="J300" i="59"/>
  <c r="J308" i="59"/>
  <c r="J317" i="59"/>
  <c r="J327" i="59"/>
  <c r="J335" i="59"/>
  <c r="J344" i="59"/>
  <c r="J352" i="59"/>
  <c r="J361" i="59"/>
  <c r="J369" i="59"/>
  <c r="J377" i="59"/>
  <c r="J385" i="59"/>
  <c r="J393" i="59"/>
  <c r="J401" i="59"/>
  <c r="J412" i="59"/>
  <c r="J420" i="59"/>
  <c r="J429" i="59"/>
  <c r="J438" i="59"/>
  <c r="J448" i="59"/>
  <c r="J456" i="59"/>
  <c r="J465" i="59"/>
  <c r="J474" i="59"/>
  <c r="J483" i="59"/>
  <c r="J491" i="59"/>
  <c r="J500" i="59"/>
  <c r="J517" i="59"/>
  <c r="J527" i="59"/>
  <c r="J535" i="59"/>
  <c r="J544" i="59"/>
  <c r="J561" i="59"/>
  <c r="J570" i="59"/>
  <c r="J578" i="59"/>
  <c r="J586" i="59"/>
  <c r="J594" i="59"/>
  <c r="J602" i="59"/>
  <c r="J611" i="59"/>
  <c r="J629" i="59"/>
  <c r="J626" i="59"/>
  <c r="J636" i="59"/>
  <c r="J645" i="59"/>
  <c r="J653" i="59"/>
  <c r="J661" i="59"/>
  <c r="J669" i="59"/>
  <c r="J677" i="59"/>
  <c r="J686" i="59"/>
  <c r="J694" i="59"/>
  <c r="J703" i="59"/>
  <c r="J737" i="59"/>
  <c r="J746" i="59"/>
  <c r="J755" i="59"/>
  <c r="J763" i="59"/>
  <c r="J773" i="59"/>
  <c r="J782" i="59"/>
  <c r="J790" i="59"/>
  <c r="J799" i="59"/>
  <c r="J807" i="59"/>
  <c r="J815" i="59"/>
  <c r="J823" i="59"/>
  <c r="J831" i="59"/>
  <c r="J839" i="59"/>
  <c r="J847" i="59"/>
  <c r="J855" i="59"/>
  <c r="J864" i="59"/>
  <c r="J872" i="59"/>
  <c r="J880" i="59"/>
  <c r="J887" i="59"/>
  <c r="J895" i="59"/>
  <c r="J904" i="59"/>
  <c r="J912" i="59"/>
  <c r="L150" i="59"/>
  <c r="L151" i="59" s="1"/>
  <c r="L152" i="59" s="1"/>
  <c r="L153" i="59" s="1"/>
  <c r="L154" i="59" s="1"/>
  <c r="L155" i="59" s="1"/>
  <c r="L156" i="59" s="1"/>
  <c r="L157" i="59" s="1"/>
  <c r="L158" i="59" s="1"/>
  <c r="L159" i="59" s="1"/>
  <c r="L160" i="59" s="1"/>
  <c r="L161" i="59" s="1"/>
  <c r="L162" i="59" s="1"/>
  <c r="L163" i="59" s="1"/>
  <c r="L164" i="59" s="1"/>
  <c r="L165" i="59" s="1"/>
  <c r="L166" i="59" s="1"/>
  <c r="L167" i="59" s="1"/>
  <c r="L168" i="59" s="1"/>
  <c r="L169" i="59" s="1"/>
  <c r="L170" i="59" s="1"/>
  <c r="L171" i="59" s="1"/>
  <c r="L172" i="59" s="1"/>
  <c r="L173" i="59" s="1"/>
  <c r="L174" i="59" s="1"/>
  <c r="L175" i="59" s="1"/>
  <c r="L176" i="59" s="1"/>
  <c r="L177" i="59" s="1"/>
  <c r="L178" i="59" s="1"/>
  <c r="L179" i="59" s="1"/>
  <c r="L180" i="59" s="1"/>
  <c r="L181" i="59" s="1"/>
  <c r="L182" i="59" s="1"/>
  <c r="L183" i="59" s="1"/>
  <c r="L184" i="59" s="1"/>
  <c r="L185" i="59" s="1"/>
  <c r="L186" i="59" s="1"/>
  <c r="L187" i="59" s="1"/>
  <c r="L188" i="59" s="1"/>
  <c r="L189" i="59" s="1"/>
  <c r="L190" i="59" s="1"/>
  <c r="L191" i="59" s="1"/>
  <c r="L192" i="59" s="1"/>
  <c r="L193" i="59" s="1"/>
  <c r="L194" i="59" s="1"/>
  <c r="L195" i="59" s="1"/>
  <c r="L196" i="59" s="1"/>
  <c r="L197" i="59" s="1"/>
  <c r="L198" i="59" s="1"/>
  <c r="L199" i="59" s="1"/>
  <c r="L200" i="59" s="1"/>
  <c r="L201" i="59" s="1"/>
  <c r="L202" i="59" s="1"/>
  <c r="L203" i="59" s="1"/>
  <c r="L204" i="59" s="1"/>
  <c r="L205" i="59" s="1"/>
  <c r="L206" i="59" s="1"/>
  <c r="L207" i="59" s="1"/>
  <c r="L208" i="59" s="1"/>
  <c r="L209" i="59" s="1"/>
  <c r="L210" i="59" s="1"/>
  <c r="L211" i="59" s="1"/>
  <c r="L212" i="59" s="1"/>
  <c r="L213" i="59" s="1"/>
  <c r="L214" i="59" s="1"/>
  <c r="L215" i="59" s="1"/>
  <c r="L216" i="59" s="1"/>
  <c r="L217" i="59" s="1"/>
  <c r="L218" i="59" s="1"/>
  <c r="L219" i="59" s="1"/>
  <c r="L220" i="59" s="1"/>
  <c r="L221" i="59" s="1"/>
  <c r="J150" i="59"/>
  <c r="L84" i="59"/>
  <c r="L85" i="59" s="1"/>
  <c r="L86" i="59" s="1"/>
  <c r="L87" i="59" s="1"/>
  <c r="L88" i="59" s="1"/>
  <c r="L89" i="59" s="1"/>
  <c r="L90" i="59" s="1"/>
  <c r="L91" i="59" s="1"/>
  <c r="L92" i="59" s="1"/>
  <c r="L93" i="59" s="1"/>
  <c r="L94" i="59" s="1"/>
  <c r="L95" i="59" s="1"/>
  <c r="L96" i="59" s="1"/>
  <c r="L97" i="59" s="1"/>
  <c r="L98" i="59" s="1"/>
  <c r="L99" i="59" s="1"/>
  <c r="L100" i="59" s="1"/>
  <c r="L101" i="59" s="1"/>
  <c r="L102" i="59" s="1"/>
  <c r="L103" i="59" s="1"/>
  <c r="L104" i="59" s="1"/>
  <c r="L105" i="59" s="1"/>
  <c r="L106" i="59" s="1"/>
  <c r="L107" i="59" s="1"/>
  <c r="L108" i="59" s="1"/>
  <c r="L109" i="59" s="1"/>
  <c r="L110" i="59" s="1"/>
  <c r="L111" i="59" s="1"/>
  <c r="L112" i="59" s="1"/>
  <c r="L113" i="59" s="1"/>
  <c r="L114" i="59" s="1"/>
  <c r="L115" i="59" s="1"/>
  <c r="L116" i="59" s="1"/>
  <c r="L117" i="59" s="1"/>
  <c r="L118" i="59" s="1"/>
  <c r="L119" i="59" s="1"/>
  <c r="L120" i="59" s="1"/>
  <c r="L121" i="59" s="1"/>
  <c r="L122" i="59" s="1"/>
  <c r="L123" i="59" s="1"/>
  <c r="L124" i="59" s="1"/>
  <c r="L125" i="59" s="1"/>
  <c r="L126" i="59" s="1"/>
  <c r="L127" i="59" s="1"/>
  <c r="L128" i="59" s="1"/>
  <c r="L129" i="59" s="1"/>
  <c r="L130" i="59" s="1"/>
  <c r="L131" i="59" s="1"/>
  <c r="L132" i="59" s="1"/>
  <c r="L133" i="59" s="1"/>
  <c r="L134" i="59" s="1"/>
  <c r="L135" i="59" s="1"/>
  <c r="L136" i="59" s="1"/>
  <c r="L137" i="59" s="1"/>
  <c r="L138" i="59" s="1"/>
  <c r="L139" i="59" s="1"/>
  <c r="L140" i="59" s="1"/>
  <c r="L141" i="59" s="1"/>
  <c r="L142" i="59" s="1"/>
  <c r="L143" i="59" s="1"/>
  <c r="L144" i="59" s="1"/>
  <c r="L145" i="59" s="1"/>
  <c r="L146" i="59" s="1"/>
  <c r="L147" i="59" s="1"/>
  <c r="L148" i="59" s="1"/>
  <c r="L149" i="59" s="1"/>
  <c r="J84" i="59"/>
  <c r="J215" i="59"/>
  <c r="J197" i="59"/>
  <c r="J205" i="59"/>
  <c r="J214" i="59"/>
  <c r="J222" i="59"/>
  <c r="J230" i="59"/>
  <c r="J239" i="59"/>
  <c r="J257" i="59"/>
  <c r="J265" i="59"/>
  <c r="J273" i="59"/>
  <c r="J281" i="59"/>
  <c r="J291" i="59"/>
  <c r="J299" i="59"/>
  <c r="J307" i="59"/>
  <c r="J316" i="59"/>
  <c r="J326" i="59"/>
  <c r="J334" i="59"/>
  <c r="J342" i="59"/>
  <c r="J351" i="59"/>
  <c r="J360" i="59"/>
  <c r="J368" i="59"/>
  <c r="J376" i="59"/>
  <c r="J384" i="59"/>
  <c r="J392" i="59"/>
  <c r="J400" i="59"/>
  <c r="J411" i="59"/>
  <c r="J418" i="59"/>
  <c r="J428" i="59"/>
  <c r="J437" i="59"/>
  <c r="J447" i="59"/>
  <c r="J455" i="59"/>
  <c r="J463" i="59"/>
  <c r="J472" i="59"/>
  <c r="J482" i="59"/>
  <c r="J490" i="59"/>
  <c r="J499" i="59"/>
  <c r="J516" i="59"/>
  <c r="J526" i="59"/>
  <c r="J534" i="59"/>
  <c r="J543" i="59"/>
  <c r="J563" i="59"/>
  <c r="J569" i="59"/>
  <c r="J577" i="59"/>
  <c r="J585" i="59"/>
  <c r="J593" i="59"/>
  <c r="J601" i="59"/>
  <c r="J610" i="59"/>
  <c r="J618" i="59"/>
  <c r="J624" i="59"/>
  <c r="J635" i="59"/>
  <c r="J644" i="59"/>
  <c r="J652" i="59"/>
  <c r="J660" i="59"/>
  <c r="J668" i="59"/>
  <c r="J676" i="59"/>
  <c r="J685" i="59"/>
  <c r="J693" i="59"/>
  <c r="J701" i="59"/>
  <c r="J736" i="59"/>
  <c r="J745" i="59"/>
  <c r="J754" i="59"/>
  <c r="J762" i="59"/>
  <c r="J771" i="59"/>
  <c r="J781" i="59"/>
  <c r="J789" i="59"/>
  <c r="J798" i="59"/>
  <c r="J806" i="59"/>
  <c r="J814" i="59"/>
  <c r="J822" i="59"/>
  <c r="J830" i="59"/>
  <c r="J838" i="59"/>
  <c r="J846" i="59"/>
  <c r="J854" i="59"/>
  <c r="J863" i="59"/>
  <c r="J871" i="59"/>
  <c r="J882" i="59"/>
  <c r="J890" i="59"/>
  <c r="J898" i="59"/>
  <c r="J907" i="59"/>
  <c r="J917" i="59"/>
  <c r="J192" i="59"/>
  <c r="J191" i="59"/>
  <c r="J190" i="59"/>
  <c r="J189" i="59"/>
  <c r="J188" i="59"/>
  <c r="J187" i="59"/>
  <c r="J186" i="59"/>
  <c r="J185" i="59"/>
  <c r="J184" i="59"/>
  <c r="J183" i="59"/>
  <c r="J182" i="59"/>
  <c r="J181" i="59"/>
  <c r="J180" i="59"/>
  <c r="J179" i="59"/>
  <c r="J178" i="59"/>
  <c r="J177" i="59"/>
  <c r="J176" i="59"/>
  <c r="J175" i="59"/>
  <c r="J174" i="59"/>
  <c r="J172" i="59"/>
  <c r="J173" i="59"/>
  <c r="L294" i="59"/>
  <c r="L295" i="59" s="1"/>
  <c r="L296" i="59" s="1"/>
  <c r="L297" i="59" s="1"/>
  <c r="L298" i="59" s="1"/>
  <c r="L299" i="59" s="1"/>
  <c r="L300" i="59" s="1"/>
  <c r="L301" i="59" s="1"/>
  <c r="L302" i="59" s="1"/>
  <c r="L303" i="59" s="1"/>
  <c r="L304" i="59" s="1"/>
  <c r="L305" i="59" s="1"/>
  <c r="L306" i="59" s="1"/>
  <c r="L307" i="59" s="1"/>
  <c r="L308" i="59" s="1"/>
  <c r="L309" i="59" s="1"/>
  <c r="L310" i="59" s="1"/>
  <c r="L311" i="59" s="1"/>
  <c r="L312" i="59" s="1"/>
  <c r="L313" i="59" s="1"/>
  <c r="L314" i="59" s="1"/>
  <c r="L315" i="59" s="1"/>
  <c r="L316" i="59" s="1"/>
  <c r="L317" i="59" s="1"/>
  <c r="L318" i="59" s="1"/>
  <c r="L319" i="59" s="1"/>
  <c r="L320" i="59" s="1"/>
  <c r="L321" i="59" s="1"/>
  <c r="L322" i="59" s="1"/>
  <c r="L323" i="59" s="1"/>
  <c r="L324" i="59" s="1"/>
  <c r="L325" i="59" s="1"/>
  <c r="L326" i="59" s="1"/>
  <c r="L327" i="59" s="1"/>
  <c r="L328" i="59" s="1"/>
  <c r="L329" i="59" s="1"/>
  <c r="L330" i="59" s="1"/>
  <c r="L331" i="59" s="1"/>
  <c r="L332" i="59" s="1"/>
  <c r="L333" i="59" s="1"/>
  <c r="L334" i="59" s="1"/>
  <c r="L335" i="59" s="1"/>
  <c r="L336" i="59" s="1"/>
  <c r="L337" i="59" s="1"/>
  <c r="L338" i="59" s="1"/>
  <c r="L339" i="59" s="1"/>
  <c r="L340" i="59" s="1"/>
  <c r="L341" i="59" s="1"/>
  <c r="L342" i="59" s="1"/>
  <c r="L343" i="59" s="1"/>
  <c r="L344" i="59" s="1"/>
  <c r="L345" i="59" s="1"/>
  <c r="L346" i="59" s="1"/>
  <c r="L347" i="59" s="1"/>
  <c r="L348" i="59" s="1"/>
  <c r="L349" i="59" s="1"/>
  <c r="L350" i="59" s="1"/>
  <c r="L351" i="59" s="1"/>
  <c r="L352" i="59" s="1"/>
  <c r="L353" i="59" s="1"/>
  <c r="L354" i="59" s="1"/>
  <c r="L355" i="59" s="1"/>
  <c r="L356" i="59" s="1"/>
  <c r="L357" i="59" s="1"/>
  <c r="L358" i="59" s="1"/>
  <c r="L359" i="59" s="1"/>
  <c r="L360" i="59" s="1"/>
  <c r="L361" i="59" s="1"/>
  <c r="L362" i="59" s="1"/>
  <c r="L363" i="59"/>
  <c r="L364" i="59" s="1"/>
  <c r="L365" i="59" s="1"/>
  <c r="L366" i="59" s="1"/>
  <c r="L367" i="59" s="1"/>
  <c r="L368" i="59" s="1"/>
  <c r="L369" i="59" s="1"/>
  <c r="L370" i="59" s="1"/>
  <c r="L371" i="59" s="1"/>
  <c r="L372" i="59" s="1"/>
  <c r="L373" i="59" s="1"/>
  <c r="L374" i="59" s="1"/>
  <c r="L375" i="59" s="1"/>
  <c r="L376" i="59" s="1"/>
  <c r="L377" i="59" s="1"/>
  <c r="L378" i="59" s="1"/>
  <c r="L379" i="59" s="1"/>
  <c r="L380" i="59" s="1"/>
  <c r="L381" i="59" s="1"/>
  <c r="L382" i="59" s="1"/>
  <c r="L383" i="59" s="1"/>
  <c r="L384" i="59" s="1"/>
  <c r="L385" i="59" s="1"/>
  <c r="L386" i="59" s="1"/>
  <c r="L387" i="59" s="1"/>
  <c r="L388" i="59" s="1"/>
  <c r="L389" i="59" s="1"/>
  <c r="L390" i="59" s="1"/>
  <c r="L391" i="59" s="1"/>
  <c r="L392" i="59" s="1"/>
  <c r="L393" i="59" s="1"/>
  <c r="L394" i="59" s="1"/>
  <c r="L395" i="59" s="1"/>
  <c r="L396" i="59" s="1"/>
  <c r="L397" i="59" s="1"/>
  <c r="L398" i="59" s="1"/>
  <c r="L399" i="59" s="1"/>
  <c r="L400" i="59" s="1"/>
  <c r="L401" i="59" s="1"/>
  <c r="L402" i="59" s="1"/>
  <c r="L403" i="59" s="1"/>
  <c r="L404" i="59" s="1"/>
  <c r="L405" i="59" s="1"/>
  <c r="L406" i="59" s="1"/>
  <c r="L407" i="59" s="1"/>
  <c r="L408" i="59" s="1"/>
  <c r="L409" i="59" s="1"/>
  <c r="L410" i="59" s="1"/>
  <c r="L411" i="59" s="1"/>
  <c r="L412" i="59" s="1"/>
  <c r="L413" i="59" s="1"/>
  <c r="L414" i="59" s="1"/>
  <c r="L415" i="59" s="1"/>
  <c r="L416" i="59" s="1"/>
  <c r="L417" i="59" s="1"/>
  <c r="L418" i="59" s="1"/>
  <c r="L419" i="59" s="1"/>
  <c r="L420" i="59" s="1"/>
  <c r="L421" i="59" s="1"/>
  <c r="L422" i="59" s="1"/>
  <c r="L423" i="59" s="1"/>
  <c r="L424" i="59" s="1"/>
  <c r="L425" i="59" s="1"/>
  <c r="L426" i="59" s="1"/>
  <c r="L427" i="59" s="1"/>
  <c r="L428" i="59" s="1"/>
  <c r="L429" i="59" s="1"/>
  <c r="L430" i="59" s="1"/>
  <c r="L431" i="59" s="1"/>
  <c r="L432" i="59" s="1"/>
  <c r="L433" i="59" s="1"/>
  <c r="L434" i="59" s="1"/>
  <c r="L435" i="59" s="1"/>
  <c r="L436" i="59" s="1"/>
  <c r="L437" i="59" s="1"/>
  <c r="L438" i="59"/>
  <c r="L439" i="59" s="1"/>
  <c r="L440" i="59" s="1"/>
  <c r="L441" i="59" s="1"/>
  <c r="L442" i="59" s="1"/>
  <c r="L443" i="59" s="1"/>
  <c r="L444" i="59" s="1"/>
  <c r="L445" i="59" s="1"/>
  <c r="L446" i="59" s="1"/>
  <c r="L447" i="59" s="1"/>
  <c r="L448" i="59" s="1"/>
  <c r="L449" i="59" s="1"/>
  <c r="L450" i="59" s="1"/>
  <c r="L451" i="59" s="1"/>
  <c r="L452" i="59" s="1"/>
  <c r="L453" i="59" s="1"/>
  <c r="L454" i="59" s="1"/>
  <c r="L455" i="59" s="1"/>
  <c r="L456" i="59" s="1"/>
  <c r="L457" i="59" s="1"/>
  <c r="L458" i="59" s="1"/>
  <c r="L459" i="59" s="1"/>
  <c r="L460" i="59" s="1"/>
  <c r="L461" i="59" s="1"/>
  <c r="L462" i="59" s="1"/>
  <c r="L463" i="59" s="1"/>
  <c r="L464" i="59" s="1"/>
  <c r="L465" i="59" s="1"/>
  <c r="L466" i="59" s="1"/>
  <c r="L467" i="59" s="1"/>
  <c r="L468" i="59" s="1"/>
  <c r="L469" i="59" s="1"/>
  <c r="L470" i="59" s="1"/>
  <c r="L471" i="59" s="1"/>
  <c r="L472" i="59" s="1"/>
  <c r="L473" i="59" s="1"/>
  <c r="L474" i="59" s="1"/>
  <c r="L475" i="59" s="1"/>
  <c r="L476" i="59" s="1"/>
  <c r="L477" i="59" s="1"/>
  <c r="L478" i="59" s="1"/>
  <c r="L479" i="59" s="1"/>
  <c r="L480" i="59" s="1"/>
  <c r="L481" i="59" s="1"/>
  <c r="L482" i="59" s="1"/>
  <c r="L483" i="59" s="1"/>
  <c r="L484" i="59" s="1"/>
  <c r="L485" i="59" s="1"/>
  <c r="L486" i="59" s="1"/>
  <c r="L487" i="59" s="1"/>
  <c r="L488" i="59" s="1"/>
  <c r="L489" i="59" s="1"/>
  <c r="L490" i="59" s="1"/>
  <c r="L491" i="59" s="1"/>
  <c r="L492" i="59" s="1"/>
  <c r="L493" i="59" s="1"/>
  <c r="L494" i="59" s="1"/>
  <c r="L495" i="59" s="1"/>
  <c r="L496" i="59" s="1"/>
  <c r="L497" i="59" s="1"/>
  <c r="L498" i="59" s="1"/>
  <c r="L499" i="59" s="1"/>
  <c r="L500" i="59" s="1"/>
  <c r="L501" i="59" s="1"/>
  <c r="L502" i="59" s="1"/>
  <c r="L503" i="59" s="1"/>
  <c r="L504" i="59" s="1"/>
  <c r="L505" i="59" s="1"/>
  <c r="L506" i="59" s="1"/>
  <c r="L507" i="59" s="1"/>
  <c r="L508" i="59" s="1"/>
  <c r="L586" i="59"/>
  <c r="L587" i="59" s="1"/>
  <c r="L588" i="59" s="1"/>
  <c r="L589" i="59" s="1"/>
  <c r="L590" i="59" s="1"/>
  <c r="L591" i="59" s="1"/>
  <c r="L592" i="59" s="1"/>
  <c r="L593" i="59" s="1"/>
  <c r="L594" i="59" s="1"/>
  <c r="L595" i="59" s="1"/>
  <c r="L596" i="59" s="1"/>
  <c r="L597" i="59" s="1"/>
  <c r="L598" i="59" s="1"/>
  <c r="L599" i="59" s="1"/>
  <c r="L600" i="59" s="1"/>
  <c r="L601" i="59" s="1"/>
  <c r="L602" i="59" s="1"/>
  <c r="L603" i="59" s="1"/>
  <c r="L604" i="59" s="1"/>
  <c r="L605" i="59" s="1"/>
  <c r="L606" i="59" s="1"/>
  <c r="L607" i="59" s="1"/>
  <c r="L608" i="59" s="1"/>
  <c r="L609" i="59" s="1"/>
  <c r="L610" i="59" s="1"/>
  <c r="L611" i="59" s="1"/>
  <c r="L612" i="59" s="1"/>
  <c r="L613" i="59" s="1"/>
  <c r="L614" i="59" s="1"/>
  <c r="L615" i="59" s="1"/>
  <c r="L616" i="59" s="1"/>
  <c r="L617" i="59" s="1"/>
  <c r="L618" i="59" s="1"/>
  <c r="L619" i="59" s="1"/>
  <c r="L620" i="59" s="1"/>
  <c r="L621" i="59" s="1"/>
  <c r="L622" i="59" s="1"/>
  <c r="L623" i="59" s="1"/>
  <c r="L624" i="59" s="1"/>
  <c r="L625" i="59" s="1"/>
  <c r="L626" i="59" s="1"/>
  <c r="L627" i="59" s="1"/>
  <c r="L628" i="59" s="1"/>
  <c r="L629" i="59" s="1"/>
  <c r="L630" i="59" s="1"/>
  <c r="L631" i="59" s="1"/>
  <c r="L632" i="59" s="1"/>
  <c r="L633" i="59" s="1"/>
  <c r="L634" i="59" s="1"/>
  <c r="L635" i="59" s="1"/>
  <c r="L636" i="59" s="1"/>
  <c r="L637" i="59" s="1"/>
  <c r="L638" i="59" s="1"/>
  <c r="L639" i="59" s="1"/>
  <c r="L640" i="59" s="1"/>
  <c r="L641" i="59" s="1"/>
  <c r="L642" i="59" s="1"/>
  <c r="L643" i="59" s="1"/>
  <c r="L644" i="59" s="1"/>
  <c r="L645" i="59" s="1"/>
  <c r="L646" i="59" s="1"/>
  <c r="L647" i="59" s="1"/>
  <c r="L648" i="59" s="1"/>
  <c r="L649" i="59" s="1"/>
  <c r="L650" i="59" s="1"/>
  <c r="L651" i="59" s="1"/>
  <c r="L652" i="59" s="1"/>
  <c r="L653" i="59" s="1"/>
  <c r="L654" i="59" s="1"/>
  <c r="L655" i="59" s="1"/>
  <c r="L656" i="59" s="1"/>
  <c r="L657" i="59" s="1"/>
  <c r="L658" i="59" s="1"/>
  <c r="L659" i="59" s="1"/>
  <c r="L660" i="59" s="1"/>
  <c r="L661" i="59" s="1"/>
  <c r="L662" i="59" s="1"/>
  <c r="L663" i="59" s="1"/>
  <c r="L664" i="59" s="1"/>
  <c r="L665" i="59" s="1"/>
  <c r="L666" i="59" s="1"/>
  <c r="L510" i="59"/>
  <c r="L511" i="59" s="1"/>
  <c r="L512" i="59" s="1"/>
  <c r="L513" i="59" s="1"/>
  <c r="L514" i="59" s="1"/>
  <c r="L515" i="59" s="1"/>
  <c r="L516" i="59" s="1"/>
  <c r="L517" i="59" s="1"/>
  <c r="L518" i="59" s="1"/>
  <c r="L519" i="59" s="1"/>
  <c r="L520" i="59" s="1"/>
  <c r="L521" i="59" s="1"/>
  <c r="L522" i="59" s="1"/>
  <c r="L523" i="59" s="1"/>
  <c r="L524" i="59" s="1"/>
  <c r="L525" i="59" s="1"/>
  <c r="L526" i="59" s="1"/>
  <c r="L527" i="59" s="1"/>
  <c r="L528" i="59" s="1"/>
  <c r="L529" i="59" s="1"/>
  <c r="L530" i="59" s="1"/>
  <c r="L531" i="59" s="1"/>
  <c r="L532" i="59" s="1"/>
  <c r="L533" i="59" s="1"/>
  <c r="L534" i="59" s="1"/>
  <c r="L535" i="59" s="1"/>
  <c r="L536" i="59" s="1"/>
  <c r="L537" i="59" s="1"/>
  <c r="L538" i="59" s="1"/>
  <c r="L539" i="59" s="1"/>
  <c r="L540" i="59" s="1"/>
  <c r="L541" i="59" s="1"/>
  <c r="L542" i="59" s="1"/>
  <c r="L543" i="59" s="1"/>
  <c r="L544" i="59" s="1"/>
  <c r="L545" i="59" s="1"/>
  <c r="L546" i="59" s="1"/>
  <c r="L547" i="59" s="1"/>
  <c r="L548" i="59" s="1"/>
  <c r="L549" i="59" s="1"/>
  <c r="L550" i="59" s="1"/>
  <c r="L551" i="59" s="1"/>
  <c r="L552" i="59" s="1"/>
  <c r="L553" i="59" s="1"/>
  <c r="L554" i="59" s="1"/>
  <c r="L555" i="59" s="1"/>
  <c r="L556" i="59" s="1"/>
  <c r="L557" i="59" s="1"/>
  <c r="L558" i="59" s="1"/>
  <c r="L559" i="59" s="1"/>
  <c r="L560" i="59" s="1"/>
  <c r="L561" i="59" s="1"/>
  <c r="L562" i="59" s="1"/>
  <c r="L563" i="59" s="1"/>
  <c r="L564" i="59" s="1"/>
  <c r="L565" i="59" s="1"/>
  <c r="L566" i="59" s="1"/>
  <c r="L567" i="59" s="1"/>
  <c r="L568" i="59" s="1"/>
  <c r="L569" i="59" s="1"/>
  <c r="L570" i="59" s="1"/>
  <c r="L571" i="59" s="1"/>
  <c r="L572" i="59" s="1"/>
  <c r="L573" i="59" s="1"/>
  <c r="L574" i="59" s="1"/>
  <c r="L575" i="59" s="1"/>
  <c r="L576" i="59" s="1"/>
  <c r="L577" i="59" s="1"/>
  <c r="L578" i="59" s="1"/>
  <c r="L579" i="59" s="1"/>
  <c r="L580" i="59" s="1"/>
  <c r="L581" i="59" s="1"/>
  <c r="L582" i="59" s="1"/>
  <c r="L583" i="59" s="1"/>
  <c r="L584" i="59" s="1"/>
  <c r="L585" i="59" s="1"/>
  <c r="L838" i="59"/>
  <c r="L839" i="59" s="1"/>
  <c r="L840" i="59" s="1"/>
  <c r="L841" i="59" s="1"/>
  <c r="L842" i="59" s="1"/>
  <c r="L843" i="59" s="1"/>
  <c r="L844" i="59" s="1"/>
  <c r="L845" i="59" s="1"/>
  <c r="L846" i="59" s="1"/>
  <c r="L847" i="59" s="1"/>
  <c r="L848" i="59" s="1"/>
  <c r="L849" i="59" s="1"/>
  <c r="L850" i="59" s="1"/>
  <c r="L851" i="59" s="1"/>
  <c r="L852" i="59" s="1"/>
  <c r="L853" i="59" s="1"/>
  <c r="L854" i="59" s="1"/>
  <c r="L855" i="59" s="1"/>
  <c r="L856" i="59" s="1"/>
  <c r="L857" i="59" s="1"/>
  <c r="L858" i="59" s="1"/>
  <c r="L859" i="59" s="1"/>
  <c r="L860" i="59" s="1"/>
  <c r="L861" i="59" s="1"/>
  <c r="L862" i="59" s="1"/>
  <c r="L863" i="59" s="1"/>
  <c r="L864" i="59" s="1"/>
  <c r="L865" i="59" s="1"/>
  <c r="L866" i="59" s="1"/>
  <c r="L867" i="59" s="1"/>
  <c r="L868" i="59" s="1"/>
  <c r="L869" i="59" s="1"/>
  <c r="L870" i="59" s="1"/>
  <c r="L871" i="59" s="1"/>
  <c r="L872" i="59" s="1"/>
  <c r="L873" i="59" s="1"/>
  <c r="L874" i="59" s="1"/>
  <c r="L875" i="59" s="1"/>
  <c r="L876" i="59" s="1"/>
  <c r="L877" i="59" s="1"/>
  <c r="L878" i="59" s="1"/>
  <c r="L879" i="59" s="1"/>
  <c r="L880" i="59" s="1"/>
  <c r="L881" i="59" s="1"/>
  <c r="L882" i="59" s="1"/>
  <c r="L883" i="59" s="1"/>
  <c r="L884" i="59" s="1"/>
  <c r="L885" i="59" s="1"/>
  <c r="L886" i="59" s="1"/>
  <c r="L887" i="59" s="1"/>
  <c r="L888" i="59" s="1"/>
  <c r="L889" i="59" s="1"/>
  <c r="L890" i="59" s="1"/>
  <c r="L891" i="59" s="1"/>
  <c r="L892" i="59" s="1"/>
  <c r="L893" i="59" s="1"/>
  <c r="L894" i="59" s="1"/>
  <c r="L895" i="59" s="1"/>
  <c r="L896" i="59" s="1"/>
  <c r="L897" i="59" s="1"/>
  <c r="L898" i="59" s="1"/>
  <c r="L899" i="59" s="1"/>
  <c r="L900" i="59" s="1"/>
  <c r="L901" i="59" s="1"/>
  <c r="L902" i="59" s="1"/>
  <c r="L903" i="59" s="1"/>
  <c r="L904" i="59" s="1"/>
  <c r="L905" i="59" s="1"/>
  <c r="L906" i="59" s="1"/>
  <c r="L907" i="59" s="1"/>
  <c r="L908" i="59" s="1"/>
  <c r="L909" i="59" s="1"/>
  <c r="L910" i="59" s="1"/>
  <c r="L911" i="59" s="1"/>
  <c r="L912" i="59" s="1"/>
  <c r="L913" i="59" s="1"/>
  <c r="L914" i="59" s="1"/>
  <c r="L915" i="59" s="1"/>
  <c r="L916" i="59" s="1"/>
  <c r="L917" i="59" s="1"/>
  <c r="L918" i="59" s="1"/>
  <c r="L919" i="59" s="1"/>
  <c r="L920" i="59" s="1"/>
  <c r="L921" i="59" s="1"/>
  <c r="L922" i="59" s="1"/>
  <c r="L923" i="59" s="1"/>
  <c r="L924" i="59" s="1"/>
  <c r="L925" i="59" s="1"/>
  <c r="L926" i="59" s="1"/>
  <c r="L927" i="59" s="1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732" i="59"/>
  <c r="L733" i="59" s="1"/>
  <c r="L734" i="59" s="1"/>
  <c r="L735" i="59" s="1"/>
  <c r="L736" i="59" s="1"/>
  <c r="L737" i="59" s="1"/>
  <c r="L738" i="59" s="1"/>
  <c r="L739" i="59" s="1"/>
  <c r="L740" i="59" s="1"/>
  <c r="L741" i="59" s="1"/>
  <c r="L742" i="59" s="1"/>
  <c r="L743" i="59" s="1"/>
  <c r="L744" i="59" s="1"/>
  <c r="L745" i="59" s="1"/>
  <c r="L746" i="59" s="1"/>
  <c r="L747" i="59" s="1"/>
  <c r="L748" i="59" s="1"/>
  <c r="L749" i="59" s="1"/>
  <c r="L750" i="59" s="1"/>
  <c r="L751" i="59" s="1"/>
  <c r="L752" i="59" s="1"/>
  <c r="L753" i="59" s="1"/>
  <c r="L754" i="59" s="1"/>
  <c r="L755" i="59" s="1"/>
  <c r="L756" i="59" s="1"/>
  <c r="L757" i="59" s="1"/>
  <c r="L758" i="59" s="1"/>
  <c r="L759" i="59" s="1"/>
  <c r="L760" i="59" s="1"/>
  <c r="L761" i="59" s="1"/>
  <c r="L762" i="59" s="1"/>
  <c r="L763" i="59" s="1"/>
  <c r="L764" i="59" s="1"/>
  <c r="L765" i="59" s="1"/>
  <c r="L766" i="59" s="1"/>
  <c r="L767" i="59" s="1"/>
  <c r="L768" i="59" s="1"/>
  <c r="L769" i="59" s="1"/>
  <c r="L770" i="59" s="1"/>
  <c r="L771" i="59" s="1"/>
  <c r="L772" i="59" s="1"/>
  <c r="L773" i="59" s="1"/>
  <c r="L774" i="59" s="1"/>
  <c r="L775" i="59" s="1"/>
  <c r="L776" i="59" s="1"/>
  <c r="L777" i="59" s="1"/>
  <c r="L778" i="59" s="1"/>
  <c r="L779" i="59" s="1"/>
  <c r="L780" i="59" s="1"/>
  <c r="L781" i="59" s="1"/>
  <c r="L782" i="59"/>
  <c r="L783" i="59" s="1"/>
  <c r="L784" i="59" s="1"/>
  <c r="L785" i="59" s="1"/>
  <c r="L786" i="59" s="1"/>
  <c r="L787" i="59" s="1"/>
  <c r="L788" i="59" s="1"/>
  <c r="L789" i="59" s="1"/>
  <c r="L790" i="59" s="1"/>
  <c r="L791" i="59" s="1"/>
  <c r="L792" i="59" s="1"/>
  <c r="L793" i="59" s="1"/>
  <c r="L794" i="59" s="1"/>
  <c r="L795" i="59" s="1"/>
  <c r="L796" i="59" s="1"/>
  <c r="L797" i="59" s="1"/>
  <c r="L798" i="59" s="1"/>
  <c r="L799" i="59" s="1"/>
  <c r="L800" i="59" s="1"/>
  <c r="L801" i="59" s="1"/>
  <c r="L802" i="59" s="1"/>
  <c r="L803" i="59" s="1"/>
  <c r="L804" i="59" s="1"/>
  <c r="L805" i="59" s="1"/>
  <c r="L806" i="59" s="1"/>
  <c r="L807" i="59" s="1"/>
  <c r="L808" i="59" s="1"/>
  <c r="L809" i="59" s="1"/>
  <c r="L810" i="59" s="1"/>
  <c r="L811" i="59" s="1"/>
  <c r="L812" i="59" s="1"/>
  <c r="L813" i="59" s="1"/>
  <c r="L814" i="59" s="1"/>
  <c r="L815" i="59" s="1"/>
  <c r="L816" i="59" s="1"/>
  <c r="L817" i="59" s="1"/>
  <c r="L818" i="59" s="1"/>
  <c r="L819" i="59" s="1"/>
  <c r="L820" i="59" s="1"/>
  <c r="L821" i="59" s="1"/>
  <c r="L822" i="59" s="1"/>
  <c r="L823" i="59" s="1"/>
  <c r="L824" i="59" s="1"/>
  <c r="L825" i="59" s="1"/>
  <c r="L826" i="59" s="1"/>
  <c r="L827" i="59" s="1"/>
  <c r="L828" i="59" s="1"/>
  <c r="L829" i="59" s="1"/>
  <c r="L830" i="59" s="1"/>
  <c r="L831" i="59" s="1"/>
  <c r="L832" i="59" s="1"/>
  <c r="L833" i="59" s="1"/>
  <c r="L834" i="59" s="1"/>
  <c r="L835" i="59" s="1"/>
  <c r="L836" i="59" s="1"/>
  <c r="L837" i="59" s="1"/>
  <c r="L222" i="59"/>
  <c r="L223" i="59" s="1"/>
  <c r="L224" i="59" s="1"/>
  <c r="L225" i="59" s="1"/>
  <c r="L226" i="59" s="1"/>
  <c r="L227" i="59" s="1"/>
  <c r="L228" i="59" s="1"/>
  <c r="L229" i="59" s="1"/>
  <c r="L230" i="59" s="1"/>
  <c r="L231" i="59" s="1"/>
  <c r="L232" i="59" s="1"/>
  <c r="L233" i="59" s="1"/>
  <c r="L234" i="59" s="1"/>
  <c r="L235" i="59" s="1"/>
  <c r="L236" i="59" s="1"/>
  <c r="L237" i="59" s="1"/>
  <c r="L238" i="59" s="1"/>
  <c r="L239" i="59" s="1"/>
  <c r="L240" i="59" s="1"/>
  <c r="L241" i="59" s="1"/>
  <c r="L242" i="59" s="1"/>
  <c r="L243" i="59" s="1"/>
  <c r="L244" i="59" s="1"/>
  <c r="L245" i="59" s="1"/>
  <c r="L246" i="59" s="1"/>
  <c r="L247" i="59" s="1"/>
  <c r="L248" i="59" s="1"/>
  <c r="L249" i="59" s="1"/>
  <c r="L250" i="59" s="1"/>
  <c r="L251" i="59" s="1"/>
  <c r="L252" i="59" s="1"/>
  <c r="L253" i="59" s="1"/>
  <c r="L254" i="59" s="1"/>
  <c r="L255" i="59" s="1"/>
  <c r="L256" i="59" s="1"/>
  <c r="L257" i="59" s="1"/>
  <c r="L258" i="59" s="1"/>
  <c r="L259" i="59" s="1"/>
  <c r="L260" i="59" s="1"/>
  <c r="L261" i="59" s="1"/>
  <c r="L262" i="59" s="1"/>
  <c r="L263" i="59" s="1"/>
  <c r="L264" i="59" s="1"/>
  <c r="L265" i="59" s="1"/>
  <c r="L266" i="59" s="1"/>
  <c r="L267" i="59" s="1"/>
  <c r="L268" i="59" s="1"/>
  <c r="L269" i="59" s="1"/>
  <c r="L270" i="59" s="1"/>
  <c r="L271" i="59" s="1"/>
  <c r="L272" i="59" s="1"/>
  <c r="L273" i="59" s="1"/>
  <c r="L274" i="59" s="1"/>
  <c r="L275" i="59" s="1"/>
  <c r="L276" i="59" s="1"/>
  <c r="L277" i="59" s="1"/>
  <c r="L278" i="59" s="1"/>
  <c r="L279" i="59" s="1"/>
  <c r="L280" i="59" s="1"/>
  <c r="L281" i="59" s="1"/>
  <c r="L282" i="59" s="1"/>
  <c r="L283" i="59" s="1"/>
  <c r="L284" i="59" s="1"/>
  <c r="L285" i="59" s="1"/>
  <c r="L286" i="59" s="1"/>
  <c r="L287" i="59" s="1"/>
  <c r="L288" i="59" s="1"/>
  <c r="L289" i="59" s="1"/>
  <c r="L290" i="59" s="1"/>
  <c r="L291" i="59" s="1"/>
  <c r="L292" i="59" s="1"/>
  <c r="L293" i="59" s="1"/>
  <c r="L667" i="59"/>
  <c r="L668" i="59" s="1"/>
  <c r="L669" i="59" s="1"/>
  <c r="L670" i="59" s="1"/>
  <c r="L671" i="59" s="1"/>
  <c r="L672" i="59" s="1"/>
  <c r="L673" i="59" s="1"/>
  <c r="L674" i="59" s="1"/>
  <c r="L675" i="59" s="1"/>
  <c r="L676" i="59" s="1"/>
  <c r="L677" i="59" s="1"/>
  <c r="L678" i="59" s="1"/>
  <c r="L679" i="59" s="1"/>
  <c r="L680" i="59" s="1"/>
  <c r="L681" i="59" s="1"/>
  <c r="L682" i="59" s="1"/>
  <c r="L683" i="59" s="1"/>
  <c r="L684" i="59" s="1"/>
  <c r="L685" i="59" s="1"/>
  <c r="L686" i="59" s="1"/>
  <c r="L687" i="59" s="1"/>
  <c r="L688" i="59" s="1"/>
  <c r="L689" i="59" s="1"/>
  <c r="L690" i="59" s="1"/>
  <c r="L691" i="59" s="1"/>
  <c r="L692" i="59" s="1"/>
  <c r="L693" i="59" s="1"/>
  <c r="L694" i="59" s="1"/>
  <c r="L695" i="59" s="1"/>
  <c r="L696" i="59" s="1"/>
  <c r="L697" i="59" s="1"/>
  <c r="L698" i="59" s="1"/>
  <c r="L699" i="59" s="1"/>
  <c r="L700" i="59" s="1"/>
  <c r="L701" i="59" s="1"/>
  <c r="L702" i="59" s="1"/>
  <c r="L703" i="59" s="1"/>
  <c r="L704" i="59" s="1"/>
  <c r="L705" i="59" s="1"/>
  <c r="L706" i="59" s="1"/>
  <c r="L707" i="59" s="1"/>
  <c r="L708" i="59" s="1"/>
  <c r="L709" i="59" s="1"/>
  <c r="L710" i="59" s="1"/>
  <c r="L711" i="59" s="1"/>
  <c r="L712" i="59" s="1"/>
  <c r="L713" i="59" s="1"/>
  <c r="L714" i="59" s="1"/>
  <c r="K5" i="59"/>
  <c r="L4" i="59"/>
  <c r="K380" i="59"/>
  <c r="K381" i="59" s="1"/>
  <c r="K382" i="59" s="1"/>
  <c r="K383" i="59" s="1"/>
  <c r="K384" i="59" s="1"/>
  <c r="K385" i="59" s="1"/>
  <c r="K386" i="59" s="1"/>
  <c r="K387" i="59" s="1"/>
  <c r="K388" i="59" s="1"/>
  <c r="K389" i="59" s="1"/>
  <c r="K390" i="59" s="1"/>
  <c r="K391" i="59" s="1"/>
  <c r="K392" i="59" s="1"/>
  <c r="K393" i="59" s="1"/>
  <c r="K394" i="59" s="1"/>
  <c r="K395" i="59" s="1"/>
  <c r="K396" i="59" s="1"/>
  <c r="K397" i="59" s="1"/>
  <c r="K398" i="59" s="1"/>
  <c r="K399" i="59" s="1"/>
  <c r="K400" i="59" s="1"/>
  <c r="K401" i="59" s="1"/>
  <c r="K640" i="59"/>
  <c r="K641" i="59" s="1"/>
  <c r="K642" i="59" s="1"/>
  <c r="K643" i="59" s="1"/>
  <c r="K644" i="59" s="1"/>
  <c r="K645" i="59" s="1"/>
  <c r="K646" i="59" s="1"/>
  <c r="K647" i="59" s="1"/>
  <c r="K648" i="59" s="1"/>
  <c r="K649" i="59" s="1"/>
  <c r="K650" i="59" s="1"/>
  <c r="K651" i="59" s="1"/>
  <c r="K652" i="59" s="1"/>
  <c r="K653" i="59" s="1"/>
  <c r="K654" i="59" s="1"/>
  <c r="K655" i="59" s="1"/>
  <c r="K656" i="59"/>
  <c r="K657" i="59" s="1"/>
  <c r="K658" i="59" s="1"/>
  <c r="K659" i="59" s="1"/>
  <c r="K660" i="59" s="1"/>
  <c r="K661" i="59" s="1"/>
  <c r="K662" i="59" s="1"/>
  <c r="K663" i="59" s="1"/>
  <c r="K664" i="59" s="1"/>
  <c r="K665" i="59" s="1"/>
  <c r="K666" i="59" s="1"/>
  <c r="K667" i="59" s="1"/>
  <c r="K668" i="59" s="1"/>
  <c r="K669" i="59" s="1"/>
  <c r="K670" i="59" s="1"/>
  <c r="K732" i="59"/>
  <c r="K733" i="59" s="1"/>
  <c r="K734" i="59" s="1"/>
  <c r="K735" i="59" s="1"/>
  <c r="K736" i="59" s="1"/>
  <c r="K737" i="59" s="1"/>
  <c r="K794" i="59"/>
  <c r="K795" i="59" s="1"/>
  <c r="K796" i="59" s="1"/>
  <c r="K797" i="59" s="1"/>
  <c r="K798" i="59" s="1"/>
  <c r="K799" i="59" s="1"/>
  <c r="K800" i="59" s="1"/>
  <c r="K801" i="59" s="1"/>
  <c r="K802" i="59" s="1"/>
  <c r="K803" i="59" s="1"/>
  <c r="K804" i="59" s="1"/>
  <c r="K805" i="59" s="1"/>
  <c r="K850" i="59"/>
  <c r="K851" i="59" s="1"/>
  <c r="K852" i="59" s="1"/>
  <c r="K853" i="59" s="1"/>
  <c r="K854" i="59" s="1"/>
  <c r="K855" i="59" s="1"/>
  <c r="K856" i="59" s="1"/>
  <c r="K857" i="59" s="1"/>
  <c r="K858" i="59" s="1"/>
  <c r="K859" i="59" s="1"/>
  <c r="K860" i="59" s="1"/>
  <c r="K861" i="59" s="1"/>
  <c r="K862" i="59" s="1"/>
  <c r="K863" i="59" s="1"/>
  <c r="K864" i="59" s="1"/>
  <c r="K865" i="59" s="1"/>
  <c r="K866" i="59" s="1"/>
  <c r="K867" i="59" s="1"/>
  <c r="K868" i="59" s="1"/>
  <c r="K137" i="59"/>
  <c r="K138" i="59" s="1"/>
  <c r="K139" i="59" s="1"/>
  <c r="K140" i="59" s="1"/>
  <c r="K141" i="59" s="1"/>
  <c r="K142" i="59" s="1"/>
  <c r="K143" i="59" s="1"/>
  <c r="K144" i="59" s="1"/>
  <c r="K145" i="59" s="1"/>
  <c r="K146" i="59" s="1"/>
  <c r="K147" i="59" s="1"/>
  <c r="K148" i="59" s="1"/>
  <c r="K149" i="59" s="1"/>
  <c r="K829" i="59"/>
  <c r="K830" i="59" s="1"/>
  <c r="K831" i="59" s="1"/>
  <c r="K832" i="59" s="1"/>
  <c r="K833" i="59" s="1"/>
  <c r="K834" i="59" s="1"/>
  <c r="K835" i="59" s="1"/>
  <c r="K836" i="59" s="1"/>
  <c r="K837" i="59" s="1"/>
  <c r="K838" i="59" s="1"/>
  <c r="K839" i="59" s="1"/>
  <c r="K840" i="59" s="1"/>
  <c r="K841" i="59" s="1"/>
  <c r="K842" i="59" s="1"/>
  <c r="K843" i="59" s="1"/>
  <c r="K844" i="59" s="1"/>
  <c r="K845" i="59" s="1"/>
  <c r="K846" i="59" s="1"/>
  <c r="K847" i="59" s="1"/>
  <c r="K848" i="59" s="1"/>
  <c r="K849" i="59" s="1"/>
  <c r="K313" i="59"/>
  <c r="K314" i="59" s="1"/>
  <c r="K315" i="59" s="1"/>
  <c r="K316" i="59" s="1"/>
  <c r="K317" i="59" s="1"/>
  <c r="K318" i="59" s="1"/>
  <c r="K319" i="59" s="1"/>
  <c r="K320" i="59" s="1"/>
  <c r="K321" i="59" s="1"/>
  <c r="K322" i="59" s="1"/>
  <c r="K323" i="59" s="1"/>
  <c r="K324" i="59" s="1"/>
  <c r="K325" i="59" s="1"/>
  <c r="K326" i="59" s="1"/>
  <c r="K327" i="59" s="1"/>
  <c r="K328" i="59" s="1"/>
  <c r="K426" i="59"/>
  <c r="K427" i="59" s="1"/>
  <c r="K428" i="59" s="1"/>
  <c r="K429" i="59" s="1"/>
  <c r="K430" i="59" s="1"/>
  <c r="K431" i="59" s="1"/>
  <c r="K432" i="59" s="1"/>
  <c r="K433" i="59" s="1"/>
  <c r="K434" i="59" s="1"/>
  <c r="K435" i="59" s="1"/>
  <c r="K436" i="59" s="1"/>
  <c r="K437" i="59" s="1"/>
  <c r="K438" i="59" s="1"/>
  <c r="K439" i="59" s="1"/>
  <c r="K440" i="59" s="1"/>
  <c r="K441" i="59" s="1"/>
  <c r="K442" i="59" s="1"/>
  <c r="K443" i="59" s="1"/>
  <c r="K444" i="59" s="1"/>
  <c r="K445" i="59"/>
  <c r="K446" i="59" s="1"/>
  <c r="K447" i="59" s="1"/>
  <c r="K448" i="59" s="1"/>
  <c r="K449" i="59" s="1"/>
  <c r="K450" i="59" s="1"/>
  <c r="K451" i="59" s="1"/>
  <c r="K452" i="59" s="1"/>
  <c r="K453" i="59" s="1"/>
  <c r="K454" i="59" s="1"/>
  <c r="K455" i="59" s="1"/>
  <c r="K456" i="59" s="1"/>
  <c r="K457" i="59" s="1"/>
  <c r="K458" i="59" s="1"/>
  <c r="K459" i="59" s="1"/>
  <c r="K460" i="59" s="1"/>
  <c r="K461" i="59" s="1"/>
  <c r="K462" i="59" s="1"/>
  <c r="K488" i="59"/>
  <c r="K489" i="59" s="1"/>
  <c r="K490" i="59" s="1"/>
  <c r="K491" i="59" s="1"/>
  <c r="K492" i="59" s="1"/>
  <c r="K493" i="59" s="1"/>
  <c r="K494" i="59" s="1"/>
  <c r="K495" i="59" s="1"/>
  <c r="K496" i="59" s="1"/>
  <c r="K497" i="59" s="1"/>
  <c r="K498" i="59" s="1"/>
  <c r="K499" i="59" s="1"/>
  <c r="K500" i="59" s="1"/>
  <c r="K501" i="59" s="1"/>
  <c r="K567" i="59"/>
  <c r="K568" i="59" s="1"/>
  <c r="K569" i="59" s="1"/>
  <c r="K570" i="59" s="1"/>
  <c r="K571" i="59" s="1"/>
  <c r="K572" i="59" s="1"/>
  <c r="K573" i="59" s="1"/>
  <c r="K574" i="59" s="1"/>
  <c r="K575" i="59" s="1"/>
  <c r="K576" i="59" s="1"/>
  <c r="K577" i="59" s="1"/>
  <c r="K578" i="59" s="1"/>
  <c r="K579" i="59" s="1"/>
  <c r="K623" i="59"/>
  <c r="K624" i="59" s="1"/>
  <c r="K625" i="59" s="1"/>
  <c r="K626" i="59" s="1"/>
  <c r="K627" i="59" s="1"/>
  <c r="K628" i="59" s="1"/>
  <c r="K629" i="59" s="1"/>
  <c r="K630" i="59" s="1"/>
  <c r="K631" i="59" s="1"/>
  <c r="K632" i="59" s="1"/>
  <c r="K633" i="59" s="1"/>
  <c r="K634" i="59" s="1"/>
  <c r="K635" i="59" s="1"/>
  <c r="K636" i="59" s="1"/>
  <c r="K637" i="59" s="1"/>
  <c r="K638" i="59" s="1"/>
  <c r="K639" i="59" s="1"/>
  <c r="K682" i="59"/>
  <c r="K683" i="59" s="1"/>
  <c r="K684" i="59" s="1"/>
  <c r="K685" i="59" s="1"/>
  <c r="K686" i="59" s="1"/>
  <c r="K687" i="59" s="1"/>
  <c r="K688" i="59" s="1"/>
  <c r="K689" i="59" s="1"/>
  <c r="K690" i="59" s="1"/>
  <c r="K691" i="59" s="1"/>
  <c r="K692" i="59" s="1"/>
  <c r="K693" i="59" s="1"/>
  <c r="K694" i="59" s="1"/>
  <c r="K695" i="59" s="1"/>
  <c r="K696" i="59" s="1"/>
  <c r="K697" i="59" s="1"/>
  <c r="K698" i="59" s="1"/>
  <c r="K699" i="59" s="1"/>
  <c r="K700" i="59" s="1"/>
  <c r="K701" i="59" s="1"/>
  <c r="K702" i="59" s="1"/>
  <c r="K703" i="59" s="1"/>
  <c r="K704" i="59" s="1"/>
  <c r="K869" i="59"/>
  <c r="K870" i="59" s="1"/>
  <c r="K871" i="59" s="1"/>
  <c r="K872" i="59" s="1"/>
  <c r="K873" i="59" s="1"/>
  <c r="K874" i="59" s="1"/>
  <c r="K875" i="59" s="1"/>
  <c r="K876" i="59" s="1"/>
  <c r="K877" i="59" s="1"/>
  <c r="K878" i="59" s="1"/>
  <c r="K879" i="59" s="1"/>
  <c r="K880" i="59" s="1"/>
  <c r="K881" i="59" s="1"/>
  <c r="K882" i="59" s="1"/>
  <c r="K883" i="59" s="1"/>
  <c r="K884" i="59" s="1"/>
  <c r="K885" i="59" s="1"/>
  <c r="K886" i="59" s="1"/>
  <c r="K887" i="59" s="1"/>
  <c r="K888" i="59"/>
  <c r="K889" i="59" s="1"/>
  <c r="K890" i="59" s="1"/>
  <c r="K891" i="59" s="1"/>
  <c r="K892" i="59" s="1"/>
  <c r="K893" i="59" s="1"/>
  <c r="K894" i="59" s="1"/>
  <c r="K895" i="59" s="1"/>
  <c r="K896" i="59" s="1"/>
  <c r="K897" i="59" s="1"/>
  <c r="K898" i="59" s="1"/>
  <c r="K899" i="59" s="1"/>
  <c r="K900" i="59" s="1"/>
  <c r="K901" i="59" s="1"/>
  <c r="K902" i="59" s="1"/>
  <c r="K903" i="59" s="1"/>
  <c r="K904" i="59" s="1"/>
  <c r="K905" i="59" s="1"/>
  <c r="K906" i="59" s="1"/>
  <c r="K907" i="59" s="1"/>
  <c r="K908" i="59" s="1"/>
  <c r="K909" i="59" s="1"/>
  <c r="K910" i="59" s="1"/>
  <c r="K911" i="59" s="1"/>
  <c r="K912" i="59" s="1"/>
  <c r="K913" i="59" s="1"/>
  <c r="K914" i="59" s="1"/>
  <c r="K46" i="59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220" i="59"/>
  <c r="K221" i="59" s="1"/>
  <c r="K222" i="59" s="1"/>
  <c r="K223" i="59" s="1"/>
  <c r="K224" i="59" s="1"/>
  <c r="K297" i="59"/>
  <c r="K298" i="59" s="1"/>
  <c r="K299" i="59" s="1"/>
  <c r="K300" i="59" s="1"/>
  <c r="K301" i="59" s="1"/>
  <c r="K302" i="59" s="1"/>
  <c r="K303" i="59" s="1"/>
  <c r="K304" i="59" s="1"/>
  <c r="K305" i="59" s="1"/>
  <c r="K306" i="59" s="1"/>
  <c r="K307" i="59" s="1"/>
  <c r="K308" i="59" s="1"/>
  <c r="K309" i="59" s="1"/>
  <c r="K310" i="59" s="1"/>
  <c r="K311" i="59" s="1"/>
  <c r="K312" i="59" s="1"/>
  <c r="K166" i="59"/>
  <c r="K167" i="59" s="1"/>
  <c r="K168" i="59" s="1"/>
  <c r="K169" i="59" s="1"/>
  <c r="K170" i="59" s="1"/>
  <c r="K171" i="59" s="1"/>
  <c r="K172" i="59" s="1"/>
  <c r="K173" i="59" s="1"/>
  <c r="K174" i="59" s="1"/>
  <c r="K175" i="59" s="1"/>
  <c r="K176" i="59" s="1"/>
  <c r="K177" i="59" s="1"/>
  <c r="K178" i="59" s="1"/>
  <c r="K179" i="59" s="1"/>
  <c r="K180" i="59" s="1"/>
  <c r="K181" i="59" s="1"/>
  <c r="K182" i="59" s="1"/>
  <c r="K206" i="59"/>
  <c r="K207" i="59" s="1"/>
  <c r="K208" i="59" s="1"/>
  <c r="K209" i="59" s="1"/>
  <c r="K210" i="59" s="1"/>
  <c r="K211" i="59" s="1"/>
  <c r="K212" i="59" s="1"/>
  <c r="K213" i="59" s="1"/>
  <c r="K214" i="59" s="1"/>
  <c r="K215" i="59" s="1"/>
  <c r="K216" i="59" s="1"/>
  <c r="K217" i="59" s="1"/>
  <c r="K218" i="59" s="1"/>
  <c r="K219" i="59" s="1"/>
  <c r="K527" i="59"/>
  <c r="K528" i="59" s="1"/>
  <c r="K529" i="59" s="1"/>
  <c r="K530" i="59" s="1"/>
  <c r="K531" i="59" s="1"/>
  <c r="K532" i="59" s="1"/>
  <c r="K533" i="59" s="1"/>
  <c r="K534" i="59" s="1"/>
  <c r="K535" i="59" s="1"/>
  <c r="K536" i="59" s="1"/>
  <c r="K537" i="59" s="1"/>
  <c r="K538" i="59" s="1"/>
  <c r="K539" i="59" s="1"/>
  <c r="K540" i="59" s="1"/>
  <c r="K541" i="59" s="1"/>
  <c r="K542" i="59" s="1"/>
  <c r="K543" i="59" s="1"/>
  <c r="K544" i="59" s="1"/>
  <c r="K545" i="59" s="1"/>
  <c r="K815" i="59"/>
  <c r="K816" i="59" s="1"/>
  <c r="K817" i="59" s="1"/>
  <c r="K818" i="59" s="1"/>
  <c r="K819" i="59" s="1"/>
  <c r="K820" i="59" s="1"/>
  <c r="K821" i="59" s="1"/>
  <c r="K822" i="59" s="1"/>
  <c r="K823" i="59" s="1"/>
  <c r="K824" i="59" s="1"/>
  <c r="K825" i="59" s="1"/>
  <c r="K826" i="59" s="1"/>
  <c r="K827" i="59" s="1"/>
  <c r="K828" i="59" s="1"/>
  <c r="K265" i="59"/>
  <c r="K266" i="59" s="1"/>
  <c r="K267" i="59" s="1"/>
  <c r="K268" i="59" s="1"/>
  <c r="K269" i="59" s="1"/>
  <c r="K270" i="59" s="1"/>
  <c r="K271" i="59" s="1"/>
  <c r="K272" i="59" s="1"/>
  <c r="K273" i="59" s="1"/>
  <c r="K274" i="59" s="1"/>
  <c r="K275" i="59" s="1"/>
  <c r="K276" i="59" s="1"/>
  <c r="K277" i="59" s="1"/>
  <c r="K278" i="59" s="1"/>
  <c r="K279" i="59" s="1"/>
  <c r="K280" i="59" s="1"/>
  <c r="K281" i="59"/>
  <c r="K282" i="59" s="1"/>
  <c r="K283" i="59" s="1"/>
  <c r="K284" i="59" s="1"/>
  <c r="K285" i="59" s="1"/>
  <c r="K286" i="59" s="1"/>
  <c r="K287" i="59" s="1"/>
  <c r="K288" i="59" s="1"/>
  <c r="K289" i="59" s="1"/>
  <c r="K290" i="59" s="1"/>
  <c r="K291" i="59" s="1"/>
  <c r="K292" i="59" s="1"/>
  <c r="K293" i="59" s="1"/>
  <c r="K294" i="59" s="1"/>
  <c r="K295" i="59" s="1"/>
  <c r="K296" i="59" s="1"/>
  <c r="K418" i="59"/>
  <c r="K419" i="59" s="1"/>
  <c r="K420" i="59" s="1"/>
  <c r="K421" i="59" s="1"/>
  <c r="K422" i="59" s="1"/>
  <c r="K423" i="59" s="1"/>
  <c r="K424" i="59" s="1"/>
  <c r="K425" i="59" s="1"/>
  <c r="K463" i="59"/>
  <c r="K464" i="59" s="1"/>
  <c r="K465" i="59" s="1"/>
  <c r="K466" i="59" s="1"/>
  <c r="K467" i="59" s="1"/>
  <c r="K468" i="59" s="1"/>
  <c r="K469" i="59" s="1"/>
  <c r="K470" i="59" s="1"/>
  <c r="K471" i="59" s="1"/>
  <c r="K472" i="59" s="1"/>
  <c r="K473" i="59" s="1"/>
  <c r="K474" i="59" s="1"/>
  <c r="K475" i="59" s="1"/>
  <c r="K476" i="59" s="1"/>
  <c r="K477" i="59" s="1"/>
  <c r="K478" i="59" s="1"/>
  <c r="K479" i="59" s="1"/>
  <c r="K480" i="59" s="1"/>
  <c r="K481" i="59" s="1"/>
  <c r="K482" i="59" s="1"/>
  <c r="K483" i="59" s="1"/>
  <c r="K484" i="59" s="1"/>
  <c r="K485" i="59" s="1"/>
  <c r="K486" i="59" s="1"/>
  <c r="K487" i="59" s="1"/>
  <c r="K601" i="59"/>
  <c r="K602" i="59" s="1"/>
  <c r="K603" i="59" s="1"/>
  <c r="K604" i="59" s="1"/>
  <c r="K605" i="59" s="1"/>
  <c r="K606" i="59" s="1"/>
  <c r="K607" i="59" s="1"/>
  <c r="K608" i="59" s="1"/>
  <c r="K609" i="59" s="1"/>
  <c r="K610" i="59" s="1"/>
  <c r="K611" i="59" s="1"/>
  <c r="K612" i="59" s="1"/>
  <c r="K613" i="59" s="1"/>
  <c r="K614" i="59" s="1"/>
  <c r="K615" i="59" s="1"/>
  <c r="K616" i="59" s="1"/>
  <c r="K617" i="59" s="1"/>
  <c r="K618" i="59" s="1"/>
  <c r="K619" i="59" s="1"/>
  <c r="K620" i="59" s="1"/>
  <c r="K621" i="59" s="1"/>
  <c r="K622" i="59" s="1"/>
  <c r="K806" i="59"/>
  <c r="K807" i="59" s="1"/>
  <c r="K808" i="59" s="1"/>
  <c r="K809" i="59" s="1"/>
  <c r="K810" i="59" s="1"/>
  <c r="K811" i="59" s="1"/>
  <c r="K812" i="59" s="1"/>
  <c r="K813" i="59" s="1"/>
  <c r="K814" i="59" s="1"/>
  <c r="K65" i="59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245" i="59"/>
  <c r="K246" i="59" s="1"/>
  <c r="K247" i="59" s="1"/>
  <c r="K248" i="59" s="1"/>
  <c r="K249" i="59" s="1"/>
  <c r="K250" i="59" s="1"/>
  <c r="K251" i="59" s="1"/>
  <c r="K252" i="59" s="1"/>
  <c r="K253" i="59" s="1"/>
  <c r="K254" i="59" s="1"/>
  <c r="K255" i="59" s="1"/>
  <c r="K256" i="59" s="1"/>
  <c r="K257" i="59" s="1"/>
  <c r="K258" i="59" s="1"/>
  <c r="K259" i="59" s="1"/>
  <c r="K260" i="59" s="1"/>
  <c r="K261" i="59" s="1"/>
  <c r="K262" i="59" s="1"/>
  <c r="K263" i="59" s="1"/>
  <c r="K264" i="59" s="1"/>
  <c r="K37" i="59"/>
  <c r="K38" i="59" s="1"/>
  <c r="K39" i="59" s="1"/>
  <c r="K40" i="59" s="1"/>
  <c r="K41" i="59" s="1"/>
  <c r="K42" i="59" s="1"/>
  <c r="K43" i="59" s="1"/>
  <c r="K44" i="59" s="1"/>
  <c r="K45" i="59" s="1"/>
  <c r="K85" i="59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50" i="59"/>
  <c r="K151" i="59" s="1"/>
  <c r="K152" i="59" s="1"/>
  <c r="K153" i="59" s="1"/>
  <c r="K154" i="59" s="1"/>
  <c r="K155" i="59" s="1"/>
  <c r="K156" i="59" s="1"/>
  <c r="K157" i="59" s="1"/>
  <c r="K158" i="59" s="1"/>
  <c r="K159" i="59" s="1"/>
  <c r="K160" i="59" s="1"/>
  <c r="K161" i="59" s="1"/>
  <c r="K162" i="59" s="1"/>
  <c r="K163" i="59" s="1"/>
  <c r="K164" i="59" s="1"/>
  <c r="K165" i="59" s="1"/>
  <c r="K225" i="59"/>
  <c r="K226" i="59" s="1"/>
  <c r="K227" i="59" s="1"/>
  <c r="K228" i="59" s="1"/>
  <c r="K229" i="59" s="1"/>
  <c r="K230" i="59" s="1"/>
  <c r="K231" i="59" s="1"/>
  <c r="K232" i="59" s="1"/>
  <c r="K233" i="59" s="1"/>
  <c r="K234" i="59" s="1"/>
  <c r="K235" i="59" s="1"/>
  <c r="K236" i="59" s="1"/>
  <c r="K237" i="59" s="1"/>
  <c r="K238" i="59" s="1"/>
  <c r="K239" i="59" s="1"/>
  <c r="K240" i="59" s="1"/>
  <c r="K241" i="59" s="1"/>
  <c r="K242" i="59" s="1"/>
  <c r="K243" i="59" s="1"/>
  <c r="K244" i="59" s="1"/>
  <c r="K329" i="59"/>
  <c r="K330" i="59" s="1"/>
  <c r="K331" i="59" s="1"/>
  <c r="K332" i="59" s="1"/>
  <c r="K333" i="59" s="1"/>
  <c r="K334" i="59" s="1"/>
  <c r="K335" i="59" s="1"/>
  <c r="K336" i="59" s="1"/>
  <c r="K337" i="59" s="1"/>
  <c r="K338" i="59" s="1"/>
  <c r="K339" i="59" s="1"/>
  <c r="K340" i="59" s="1"/>
  <c r="K341" i="59" s="1"/>
  <c r="K342" i="59" s="1"/>
  <c r="K343" i="59" s="1"/>
  <c r="K344" i="59" s="1"/>
  <c r="K345" i="59" s="1"/>
  <c r="K346" i="59"/>
  <c r="K347" i="59" s="1"/>
  <c r="K348" i="59" s="1"/>
  <c r="K349" i="59" s="1"/>
  <c r="K350" i="59" s="1"/>
  <c r="K351" i="59" s="1"/>
  <c r="K352" i="59" s="1"/>
  <c r="K353" i="59" s="1"/>
  <c r="K354" i="59" s="1"/>
  <c r="K355" i="59" s="1"/>
  <c r="K356" i="59" s="1"/>
  <c r="K357" i="59" s="1"/>
  <c r="K358" i="59" s="1"/>
  <c r="K359" i="59" s="1"/>
  <c r="K360" i="59" s="1"/>
  <c r="K361" i="59" s="1"/>
  <c r="K362" i="59" s="1"/>
  <c r="K363" i="59"/>
  <c r="K364" i="59" s="1"/>
  <c r="K365" i="59" s="1"/>
  <c r="K366" i="59" s="1"/>
  <c r="K367" i="59" s="1"/>
  <c r="K368" i="59" s="1"/>
  <c r="K369" i="59" s="1"/>
  <c r="K370" i="59" s="1"/>
  <c r="K371" i="59" s="1"/>
  <c r="K372" i="59" s="1"/>
  <c r="K373" i="59" s="1"/>
  <c r="K374" i="59" s="1"/>
  <c r="K375" i="59" s="1"/>
  <c r="K376" i="59" s="1"/>
  <c r="K377" i="59" s="1"/>
  <c r="K378" i="59" s="1"/>
  <c r="K379" i="59" s="1"/>
  <c r="K503" i="59"/>
  <c r="K504" i="59" s="1"/>
  <c r="K505" i="59" s="1"/>
  <c r="K506" i="59" s="1"/>
  <c r="K507" i="59" s="1"/>
  <c r="K508" i="59" s="1"/>
  <c r="K546" i="59"/>
  <c r="K547" i="59" s="1"/>
  <c r="K548" i="59" s="1"/>
  <c r="K549" i="59" s="1"/>
  <c r="K550" i="59" s="1"/>
  <c r="K551" i="59" s="1"/>
  <c r="K552" i="59" s="1"/>
  <c r="K553" i="59" s="1"/>
  <c r="K554" i="59" s="1"/>
  <c r="K555" i="59" s="1"/>
  <c r="K556" i="59" s="1"/>
  <c r="K557" i="59" s="1"/>
  <c r="K558" i="59" s="1"/>
  <c r="K559" i="59" s="1"/>
  <c r="K560" i="59" s="1"/>
  <c r="K561" i="59" s="1"/>
  <c r="K562" i="59" s="1"/>
  <c r="K563" i="59" s="1"/>
  <c r="K564" i="59" s="1"/>
  <c r="K565" i="59" s="1"/>
  <c r="K566" i="59" s="1"/>
  <c r="K580" i="59"/>
  <c r="K581" i="59" s="1"/>
  <c r="K582" i="59" s="1"/>
  <c r="K583" i="59" s="1"/>
  <c r="K584" i="59" s="1"/>
  <c r="K585" i="59" s="1"/>
  <c r="K586" i="59" s="1"/>
  <c r="K587" i="59" s="1"/>
  <c r="K588" i="59" s="1"/>
  <c r="K589" i="59" s="1"/>
  <c r="K590" i="59" s="1"/>
  <c r="K591" i="59" s="1"/>
  <c r="K592" i="59" s="1"/>
  <c r="K593" i="59" s="1"/>
  <c r="K594" i="59" s="1"/>
  <c r="K595" i="59" s="1"/>
  <c r="K596" i="59" s="1"/>
  <c r="K597" i="59" s="1"/>
  <c r="K598" i="59" s="1"/>
  <c r="K599" i="59" s="1"/>
  <c r="K600" i="59" s="1"/>
  <c r="K671" i="59"/>
  <c r="K672" i="59" s="1"/>
  <c r="K673" i="59" s="1"/>
  <c r="K674" i="59" s="1"/>
  <c r="K675" i="59" s="1"/>
  <c r="K676" i="59" s="1"/>
  <c r="K677" i="59" s="1"/>
  <c r="K678" i="59" s="1"/>
  <c r="K679" i="59" s="1"/>
  <c r="K680" i="59" s="1"/>
  <c r="K681" i="59" s="1"/>
  <c r="K705" i="59"/>
  <c r="K706" i="59" s="1"/>
  <c r="K707" i="59" s="1"/>
  <c r="K708" i="59" s="1"/>
  <c r="K709" i="59" s="1"/>
  <c r="K775" i="59"/>
  <c r="K776" i="59" s="1"/>
  <c r="K777" i="59" s="1"/>
  <c r="K778" i="59" s="1"/>
  <c r="K779" i="59" s="1"/>
  <c r="K780" i="59" s="1"/>
  <c r="K781" i="59" s="1"/>
  <c r="K782" i="59" s="1"/>
  <c r="K783" i="59" s="1"/>
  <c r="K784" i="59" s="1"/>
  <c r="K785" i="59" s="1"/>
  <c r="K786" i="59" s="1"/>
  <c r="K787" i="59" s="1"/>
  <c r="K788" i="59" s="1"/>
  <c r="K789" i="59" s="1"/>
  <c r="K790" i="59" s="1"/>
  <c r="K791" i="59" s="1"/>
  <c r="K792" i="59" s="1"/>
  <c r="K915" i="59"/>
  <c r="K916" i="59" s="1"/>
  <c r="K917" i="59" s="1"/>
  <c r="K918" i="59" s="1"/>
  <c r="K919" i="59" s="1"/>
  <c r="K920" i="59" s="1"/>
  <c r="K921" i="59" s="1"/>
  <c r="K922" i="59" s="1"/>
  <c r="K923" i="59" s="1"/>
  <c r="K924" i="59" s="1"/>
  <c r="K925" i="59" s="1"/>
  <c r="K926" i="59" s="1"/>
  <c r="K927" i="59" s="1"/>
  <c r="K928" i="59" s="1"/>
  <c r="K929" i="59" s="1"/>
  <c r="K930" i="59" s="1"/>
  <c r="K931" i="59" s="1"/>
  <c r="K932" i="59" s="1"/>
  <c r="K933" i="59" s="1"/>
  <c r="K934" i="59" s="1"/>
  <c r="K935" i="59" s="1"/>
  <c r="K936" i="59" s="1"/>
  <c r="K937" i="59" s="1"/>
  <c r="K938" i="59" s="1"/>
  <c r="K124" i="59"/>
  <c r="K125" i="59" s="1"/>
  <c r="K126" i="59" s="1"/>
  <c r="K127" i="59" s="1"/>
  <c r="K128" i="59" s="1"/>
  <c r="K129" i="59" s="1"/>
  <c r="K130" i="59" s="1"/>
  <c r="K131" i="59" s="1"/>
  <c r="K132" i="59" s="1"/>
  <c r="K133" i="59" s="1"/>
  <c r="K134" i="59" s="1"/>
  <c r="K135" i="59" s="1"/>
  <c r="K136" i="59" s="1"/>
  <c r="K183" i="59"/>
  <c r="K184" i="59" s="1"/>
  <c r="K185" i="59" s="1"/>
  <c r="K186" i="59" s="1"/>
  <c r="K187" i="59" s="1"/>
  <c r="K188" i="59" s="1"/>
  <c r="K189" i="59" s="1"/>
  <c r="K190" i="59" s="1"/>
  <c r="K191" i="59" s="1"/>
  <c r="K192" i="59" s="1"/>
  <c r="K193" i="59" s="1"/>
  <c r="K194" i="59" s="1"/>
  <c r="K195" i="59" s="1"/>
  <c r="K196" i="59" s="1"/>
  <c r="K197" i="59" s="1"/>
  <c r="K198" i="59" s="1"/>
  <c r="K199" i="59" s="1"/>
  <c r="K200" i="59" s="1"/>
  <c r="K201" i="59" s="1"/>
  <c r="K202" i="59" s="1"/>
  <c r="K203" i="59" s="1"/>
  <c r="K204" i="59" s="1"/>
  <c r="K205" i="59" s="1"/>
  <c r="K403" i="59"/>
  <c r="K404" i="59" s="1"/>
  <c r="K405" i="59" s="1"/>
  <c r="K406" i="59" s="1"/>
  <c r="K407" i="59" s="1"/>
  <c r="K408" i="59" s="1"/>
  <c r="K409" i="59" s="1"/>
  <c r="K410" i="59" s="1"/>
  <c r="K411" i="59" s="1"/>
  <c r="K412" i="59" s="1"/>
  <c r="K413" i="59" s="1"/>
  <c r="K414" i="59" s="1"/>
  <c r="K415" i="59" s="1"/>
  <c r="K416" i="59" s="1"/>
  <c r="K417" i="59" s="1"/>
  <c r="K510" i="59"/>
  <c r="K511" i="59" s="1"/>
  <c r="K512" i="59" s="1"/>
  <c r="K513" i="59" s="1"/>
  <c r="K514" i="59" s="1"/>
  <c r="K515" i="59" s="1"/>
  <c r="K516" i="59" s="1"/>
  <c r="K517" i="59" s="1"/>
  <c r="K518" i="59" s="1"/>
  <c r="K519" i="59" s="1"/>
  <c r="K520" i="59" s="1"/>
  <c r="K521" i="59" s="1"/>
  <c r="K522" i="59" s="1"/>
  <c r="K523" i="59" s="1"/>
  <c r="K524" i="59" s="1"/>
  <c r="K525" i="59" s="1"/>
  <c r="K526" i="59" s="1"/>
  <c r="K739" i="59"/>
  <c r="K740" i="59" s="1"/>
  <c r="K741" i="59" s="1"/>
  <c r="K742" i="59" s="1"/>
  <c r="K743" i="59" s="1"/>
  <c r="K744" i="59" s="1"/>
  <c r="K745" i="59" s="1"/>
  <c r="K746" i="59" s="1"/>
  <c r="K747" i="59" s="1"/>
  <c r="K748" i="59" s="1"/>
  <c r="K749" i="59" s="1"/>
  <c r="K750" i="59" s="1"/>
  <c r="K751" i="59" s="1"/>
  <c r="K752" i="59" s="1"/>
  <c r="K753" i="59" s="1"/>
  <c r="K754" i="59" s="1"/>
  <c r="K755" i="59" s="1"/>
  <c r="K756" i="59" s="1"/>
  <c r="K757" i="59" s="1"/>
  <c r="K758" i="59" s="1"/>
  <c r="K107" i="59"/>
  <c r="K108" i="59" s="1"/>
  <c r="K109" i="59" s="1"/>
  <c r="K110" i="59" s="1"/>
  <c r="K111" i="59" s="1"/>
  <c r="K112" i="59" s="1"/>
  <c r="K113" i="59" s="1"/>
  <c r="K114" i="59" s="1"/>
  <c r="K115" i="59" s="1"/>
  <c r="K116" i="59" s="1"/>
  <c r="K117" i="59" s="1"/>
  <c r="K118" i="59" s="1"/>
  <c r="K119" i="59" s="1"/>
  <c r="K120" i="59" s="1"/>
  <c r="K121" i="59" s="1"/>
  <c r="K122" i="59" s="1"/>
  <c r="K123" i="59" s="1"/>
  <c r="K759" i="59"/>
  <c r="K760" i="59" s="1"/>
  <c r="K761" i="59" s="1"/>
  <c r="K762" i="59" s="1"/>
  <c r="K763" i="59" s="1"/>
  <c r="K764" i="59" s="1"/>
  <c r="K765" i="59" s="1"/>
  <c r="K766" i="59" s="1"/>
  <c r="K767" i="59" s="1"/>
  <c r="K768" i="59" s="1"/>
  <c r="K769" i="59" s="1"/>
  <c r="K770" i="59" s="1"/>
  <c r="K771" i="59" s="1"/>
  <c r="K772" i="59" s="1"/>
  <c r="K773" i="59" s="1"/>
  <c r="K774" i="59" s="1"/>
  <c r="K6" i="59" l="1"/>
  <c r="L5" i="59"/>
  <c r="K7" i="59" l="1"/>
  <c r="L6" i="59"/>
  <c r="L7" i="59" l="1"/>
  <c r="K8" i="59"/>
  <c r="K9" i="59" l="1"/>
  <c r="L8" i="59"/>
  <c r="K10" i="59" l="1"/>
  <c r="L9" i="59"/>
  <c r="K11" i="59" l="1"/>
  <c r="K12" i="59" s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L10" i="59"/>
  <c r="L11" i="59" s="1"/>
  <c r="L12" i="59" s="1"/>
  <c r="L13" i="59" s="1"/>
  <c r="L14" i="59" s="1"/>
  <c r="L15" i="59" s="1"/>
  <c r="L16" i="59" s="1"/>
  <c r="L17" i="59" s="1"/>
  <c r="L18" i="59" s="1"/>
  <c r="L19" i="59" s="1"/>
  <c r="L20" i="59" s="1"/>
  <c r="L21" i="59" s="1"/>
  <c r="L22" i="59" s="1"/>
  <c r="L23" i="59" s="1"/>
  <c r="L24" i="59" s="1"/>
  <c r="L25" i="59" s="1"/>
  <c r="L26" i="59" s="1"/>
  <c r="L27" i="59" s="1"/>
  <c r="L28" i="59" s="1"/>
  <c r="L29" i="59" s="1"/>
  <c r="L30" i="59" s="1"/>
  <c r="L31" i="59" s="1"/>
  <c r="L32" i="59" s="1"/>
  <c r="L33" i="59" s="1"/>
  <c r="L34" i="59" s="1"/>
  <c r="L35" i="59" s="1"/>
  <c r="L36" i="59" s="1"/>
  <c r="L37" i="59" s="1"/>
  <c r="L38" i="59" s="1"/>
  <c r="L39" i="59" s="1"/>
  <c r="L40" i="59" s="1"/>
  <c r="L41" i="59" s="1"/>
  <c r="L42" i="59" s="1"/>
  <c r="L43" i="59" s="1"/>
  <c r="L44" i="59" s="1"/>
  <c r="L45" i="59" s="1"/>
  <c r="L46" i="59" s="1"/>
  <c r="L47" i="59" s="1"/>
  <c r="L48" i="59" s="1"/>
  <c r="L49" i="59" s="1"/>
  <c r="L50" i="59" s="1"/>
  <c r="L51" i="59" s="1"/>
  <c r="L52" i="59" s="1"/>
  <c r="L53" i="59" s="1"/>
  <c r="L54" i="59" s="1"/>
  <c r="L55" i="59" s="1"/>
  <c r="L56" i="59" s="1"/>
  <c r="L57" i="59" s="1"/>
  <c r="L58" i="59" s="1"/>
  <c r="L59" i="59" s="1"/>
  <c r="L60" i="59" s="1"/>
  <c r="L61" i="59" s="1"/>
  <c r="L62" i="59" s="1"/>
  <c r="L63" i="59" s="1"/>
  <c r="L64" i="59" s="1"/>
  <c r="L65" i="59" s="1"/>
  <c r="L66" i="59" s="1"/>
  <c r="L67" i="59" s="1"/>
  <c r="L68" i="59" s="1"/>
  <c r="L69" i="59" s="1"/>
  <c r="L70" i="59" s="1"/>
  <c r="L71" i="59" s="1"/>
  <c r="L72" i="59" s="1"/>
  <c r="L73" i="59" s="1"/>
  <c r="L74" i="59" s="1"/>
  <c r="L75" i="59" s="1"/>
  <c r="L76" i="59" s="1"/>
  <c r="L77" i="59" s="1"/>
  <c r="L78" i="59" s="1"/>
  <c r="L79" i="59" s="1"/>
  <c r="L80" i="59" s="1"/>
  <c r="L81" i="59" s="1"/>
  <c r="L82" i="59" s="1"/>
</calcChain>
</file>

<file path=xl/sharedStrings.xml><?xml version="1.0" encoding="utf-8"?>
<sst xmlns="http://schemas.openxmlformats.org/spreadsheetml/2006/main" count="6788" uniqueCount="861">
  <si>
    <t>Date</t>
  </si>
  <si>
    <t>Task</t>
  </si>
  <si>
    <t>Start</t>
  </si>
  <si>
    <t>Stop</t>
  </si>
  <si>
    <t>Hours</t>
  </si>
  <si>
    <t>Code</t>
  </si>
  <si>
    <t>Admin</t>
  </si>
  <si>
    <t>Leave</t>
  </si>
  <si>
    <t>General</t>
  </si>
  <si>
    <t>Charges</t>
  </si>
  <si>
    <t>Bayesian course set up</t>
  </si>
  <si>
    <t>Bayesian course</t>
  </si>
  <si>
    <t>Team meeting, set up</t>
  </si>
  <si>
    <t>Period</t>
  </si>
  <si>
    <t>Set up</t>
  </si>
  <si>
    <t>Project</t>
  </si>
  <si>
    <t>McCall and Mubashir</t>
  </si>
  <si>
    <t>FVI</t>
  </si>
  <si>
    <t>Prepare for meeting</t>
  </si>
  <si>
    <t>GHG</t>
  </si>
  <si>
    <t>Mark N</t>
  </si>
  <si>
    <t>DynamicN</t>
  </si>
  <si>
    <t>Auto</t>
  </si>
  <si>
    <t>Solvers</t>
  </si>
  <si>
    <t>FVI trial meeting</t>
  </si>
  <si>
    <t>Week</t>
  </si>
  <si>
    <t>Background</t>
  </si>
  <si>
    <t>Day</t>
  </si>
  <si>
    <t>Basgra</t>
  </si>
  <si>
    <t>McCall</t>
  </si>
  <si>
    <t>Channa Smap paper</t>
  </si>
  <si>
    <t>Wendy</t>
  </si>
  <si>
    <t>Wayne</t>
  </si>
  <si>
    <t>Mubashir problem</t>
  </si>
  <si>
    <t>Wayne thesis</t>
  </si>
  <si>
    <t>Timesheet, team meeting</t>
  </si>
  <si>
    <t>Ctrl-;</t>
  </si>
  <si>
    <t>Ctrl-Shift-;</t>
  </si>
  <si>
    <t>Wendy, model</t>
  </si>
  <si>
    <t>Jing Forest Flows</t>
  </si>
  <si>
    <t>Graeme's model</t>
  </si>
  <si>
    <t>Behaviour data meeting</t>
  </si>
  <si>
    <t>Science team meeting</t>
  </si>
  <si>
    <t>Get rstan running</t>
  </si>
  <si>
    <t>Meeting</t>
  </si>
  <si>
    <t>Forage meeting</t>
  </si>
  <si>
    <t>Spreadsheet model</t>
  </si>
  <si>
    <t>Rstudio Workbench set up</t>
  </si>
  <si>
    <t>Snowflake with Mark</t>
  </si>
  <si>
    <t>Snowflake Econ meeting</t>
  </si>
  <si>
    <t>Planning</t>
  </si>
  <si>
    <t>Interview candidate</t>
  </si>
  <si>
    <t>Thinking</t>
  </si>
  <si>
    <t>Neos</t>
  </si>
  <si>
    <t>Jouven</t>
  </si>
  <si>
    <t>Meet Wendy and Chappie</t>
  </si>
  <si>
    <t>Flexible milking</t>
  </si>
  <si>
    <t>Desk set up</t>
  </si>
  <si>
    <t>Team meeting</t>
  </si>
  <si>
    <t>Meeting with Mark</t>
  </si>
  <si>
    <t>Cristy video and Ben stuff</t>
  </si>
  <si>
    <t>Staff benefits</t>
  </si>
  <si>
    <t>Toenepi BACH</t>
  </si>
  <si>
    <t>Snowflake and Rstudio</t>
  </si>
  <si>
    <t>Graeme Doole</t>
  </si>
  <si>
    <t>Jouven model</t>
  </si>
  <si>
    <t>Sharepoint</t>
  </si>
  <si>
    <t>Wayne's project</t>
  </si>
  <si>
    <t>Chat to Josiah</t>
  </si>
  <si>
    <t>Animal model</t>
  </si>
  <si>
    <t>Intake</t>
  </si>
  <si>
    <t>Staff update</t>
  </si>
  <si>
    <t>Snowflake</t>
  </si>
  <si>
    <t>Model</t>
  </si>
  <si>
    <t>Coding options</t>
  </si>
  <si>
    <t>Meet candidate</t>
  </si>
  <si>
    <t>NZ Ag GHG Inv workshop</t>
  </si>
  <si>
    <t>Wayne's paper</t>
  </si>
  <si>
    <t>Denitrification</t>
  </si>
  <si>
    <t>Ruelle model</t>
  </si>
  <si>
    <t>Database access</t>
  </si>
  <si>
    <t>Concepts</t>
  </si>
  <si>
    <t>Meetings</t>
  </si>
  <si>
    <t>Andrea</t>
  </si>
  <si>
    <t>DairyBase tidy</t>
  </si>
  <si>
    <t>Good Friday</t>
  </si>
  <si>
    <t>Easter Monday</t>
  </si>
  <si>
    <t>Fortran</t>
  </si>
  <si>
    <t>Rcpp</t>
  </si>
  <si>
    <t>Meet Mark</t>
  </si>
  <si>
    <t>Report</t>
  </si>
  <si>
    <t>ANZAC Day</t>
  </si>
  <si>
    <t>Various</t>
  </si>
  <si>
    <t>Various, team meeting</t>
  </si>
  <si>
    <t>Tai's paper</t>
  </si>
  <si>
    <t>McCall farewell</t>
  </si>
  <si>
    <t>NCS meeting</t>
  </si>
  <si>
    <t>Came home sick</t>
  </si>
  <si>
    <t>Wayne paper</t>
  </si>
  <si>
    <t>Andrea paper</t>
  </si>
  <si>
    <t>Calibrate</t>
  </si>
  <si>
    <t>R presentation</t>
  </si>
  <si>
    <t xml:space="preserve">Timesheet </t>
  </si>
  <si>
    <t>R Community</t>
  </si>
  <si>
    <t>Timesheet</t>
  </si>
  <si>
    <t>Month</t>
  </si>
  <si>
    <t>Length</t>
  </si>
  <si>
    <t>Paper</t>
  </si>
  <si>
    <t>Forages meeting</t>
  </si>
  <si>
    <t>Auckland</t>
  </si>
  <si>
    <t>Meet Mario</t>
  </si>
  <si>
    <t>Mitchell</t>
  </si>
  <si>
    <t>Econ</t>
  </si>
  <si>
    <t>Economics</t>
  </si>
  <si>
    <t xml:space="preserve">Data </t>
  </si>
  <si>
    <t>Stuff</t>
  </si>
  <si>
    <t>Andrea's paper</t>
  </si>
  <si>
    <t>Roland</t>
  </si>
  <si>
    <t>Toenepi data</t>
  </si>
  <si>
    <t>Alvaro re pasture potential</t>
  </si>
  <si>
    <t>Driving test</t>
  </si>
  <si>
    <t>Virus</t>
  </si>
  <si>
    <t>Queen's Birthday</t>
  </si>
  <si>
    <t>Management rules</t>
  </si>
  <si>
    <t>Econ team meeting</t>
  </si>
  <si>
    <t>2532.BACH</t>
  </si>
  <si>
    <t>BACH</t>
  </si>
  <si>
    <t>Lotus in R</t>
  </si>
  <si>
    <t>Meet NIWA and GNS</t>
  </si>
  <si>
    <t>Meet Wayne</t>
  </si>
  <si>
    <t>Mark Storey</t>
  </si>
  <si>
    <t>Silage rules</t>
  </si>
  <si>
    <t>Wayne and Nicole</t>
  </si>
  <si>
    <t>Rotation rules</t>
  </si>
  <si>
    <t>Time sheet and Econ</t>
  </si>
  <si>
    <t>DIGAD meeting</t>
  </si>
  <si>
    <t>Farmax data</t>
  </si>
  <si>
    <t>Wayne and Mark</t>
  </si>
  <si>
    <t>Emails</t>
  </si>
  <si>
    <t>List projects</t>
  </si>
  <si>
    <t>Milksolids data</t>
  </si>
  <si>
    <t>Farmax and meeting</t>
  </si>
  <si>
    <t>Dairybase matching</t>
  </si>
  <si>
    <t>Farmax seasonality</t>
  </si>
  <si>
    <t>HWEN Seminar</t>
  </si>
  <si>
    <t>Tidy up</t>
  </si>
  <si>
    <t>Rules</t>
  </si>
  <si>
    <t>Econ workshop</t>
  </si>
  <si>
    <t>Management data</t>
  </si>
  <si>
    <t>Silage area</t>
  </si>
  <si>
    <t>Matariki</t>
  </si>
  <si>
    <t xml:space="preserve">Econ </t>
  </si>
  <si>
    <t>Chris and Laura</t>
  </si>
  <si>
    <t>Run example</t>
  </si>
  <si>
    <t>Methane meeting</t>
  </si>
  <si>
    <t>Jess meeting</t>
  </si>
  <si>
    <t>Update pasture potential</t>
  </si>
  <si>
    <t>Talk to McCall</t>
  </si>
  <si>
    <t>Powerpoint</t>
  </si>
  <si>
    <t>Data timing</t>
  </si>
  <si>
    <t>Workshop</t>
  </si>
  <si>
    <t>Fit prepost</t>
  </si>
  <si>
    <t>Lee Burbery</t>
  </si>
  <si>
    <t>GPS tags meeting</t>
  </si>
  <si>
    <t>Online training</t>
  </si>
  <si>
    <t>Get it running</t>
  </si>
  <si>
    <t>Join databases</t>
  </si>
  <si>
    <t>Selection</t>
  </si>
  <si>
    <t>Calibration</t>
  </si>
  <si>
    <t>Meeting with McCall and Chapman</t>
  </si>
  <si>
    <t>Fourth year data</t>
  </si>
  <si>
    <t>Milestones</t>
  </si>
  <si>
    <t>Calving spread</t>
  </si>
  <si>
    <t>NSC meeting</t>
  </si>
  <si>
    <t>Timesheet, Econ</t>
  </si>
  <si>
    <t>Jing</t>
  </si>
  <si>
    <t>Calib data</t>
  </si>
  <si>
    <t>Sharepoint training</t>
  </si>
  <si>
    <t>AFF meeting</t>
  </si>
  <si>
    <t>Pierre lunch</t>
  </si>
  <si>
    <t>Mario model meeting</t>
  </si>
  <si>
    <t>Liveweight interpolation</t>
  </si>
  <si>
    <t>Wendy and McCall</t>
  </si>
  <si>
    <t>DSP model meeting</t>
  </si>
  <si>
    <t>Imputation</t>
  </si>
  <si>
    <t>Catherine and Paul</t>
  </si>
  <si>
    <t>Australia</t>
  </si>
  <si>
    <t xml:space="preserve">Ina </t>
  </si>
  <si>
    <t>Mark questionnaire</t>
  </si>
  <si>
    <t>ADSS paper meeting</t>
  </si>
  <si>
    <t>Christian Smap paper</t>
  </si>
  <si>
    <t>Staff broadcast</t>
  </si>
  <si>
    <t>Hospital</t>
  </si>
  <si>
    <t>Validation</t>
  </si>
  <si>
    <t>Paul Marshall</t>
  </si>
  <si>
    <t>Biosecurity training</t>
  </si>
  <si>
    <t>Jing's data</t>
  </si>
  <si>
    <t>FVIV data</t>
  </si>
  <si>
    <t>SDH meeting</t>
  </si>
  <si>
    <t>FVI design</t>
  </si>
  <si>
    <t>Queen Elizabeth Memorial</t>
  </si>
  <si>
    <t>Covid</t>
  </si>
  <si>
    <t>Cow model</t>
  </si>
  <si>
    <t>Tags meeting</t>
  </si>
  <si>
    <t>Time sheet, paper</t>
  </si>
  <si>
    <t>RPM calibration</t>
  </si>
  <si>
    <t>Staff Update</t>
  </si>
  <si>
    <t>Calib milkers and dries</t>
  </si>
  <si>
    <t>Debugging</t>
  </si>
  <si>
    <t>Calibration report</t>
  </si>
  <si>
    <t>Jing's results</t>
  </si>
  <si>
    <t>Paul's results</t>
  </si>
  <si>
    <t>Feeding data</t>
  </si>
  <si>
    <t>Energy balance</t>
  </si>
  <si>
    <t>Calibration meeting</t>
  </si>
  <si>
    <t>Labour Day</t>
  </si>
  <si>
    <t>Optimisation</t>
  </si>
  <si>
    <t>UX design</t>
  </si>
  <si>
    <t>Meeting Roland</t>
  </si>
  <si>
    <t>Presentation</t>
  </si>
  <si>
    <t>Wayne manuscript</t>
  </si>
  <si>
    <t>Cumulative calibration</t>
  </si>
  <si>
    <t>Databases</t>
  </si>
  <si>
    <t>Spatial with Mark</t>
  </si>
  <si>
    <t>Meet Brian and Wayne</t>
  </si>
  <si>
    <t>Online seminars</t>
  </si>
  <si>
    <t>Mark Storey and Goals</t>
  </si>
  <si>
    <t>Open Access Seminar</t>
  </si>
  <si>
    <t>Andrea Paper</t>
  </si>
  <si>
    <t>Cluster analysis on DairyBase</t>
  </si>
  <si>
    <t>Paul</t>
  </si>
  <si>
    <t>Staff conference</t>
  </si>
  <si>
    <t>Jing report</t>
  </si>
  <si>
    <t>Christian poster</t>
  </si>
  <si>
    <t>Science meeting</t>
  </si>
  <si>
    <t>Briefing paper</t>
  </si>
  <si>
    <t>Farmax</t>
  </si>
  <si>
    <t>Simulation report</t>
  </si>
  <si>
    <t>Ethics meeting</t>
  </si>
  <si>
    <t>Meeting prep</t>
  </si>
  <si>
    <t>Districts</t>
  </si>
  <si>
    <t>Mark S</t>
  </si>
  <si>
    <t>Meeting with Bruce</t>
  </si>
  <si>
    <t>Write up</t>
  </si>
  <si>
    <t>FVIV fit</t>
  </si>
  <si>
    <t>DairyBase</t>
  </si>
  <si>
    <t>Remove duplicates</t>
  </si>
  <si>
    <t>Plot districts</t>
  </si>
  <si>
    <t>DairyBase data</t>
  </si>
  <si>
    <t>ME curve</t>
  </si>
  <si>
    <t xml:space="preserve">Admin </t>
  </si>
  <si>
    <t>Building tools</t>
  </si>
  <si>
    <t>Peter Raedts meeting</t>
  </si>
  <si>
    <t>Catch up meeting</t>
  </si>
  <si>
    <t>Paper draft</t>
  </si>
  <si>
    <t>Mid year review</t>
  </si>
  <si>
    <t>MPI data</t>
  </si>
  <si>
    <t>DairyStats notes</t>
  </si>
  <si>
    <t>MPI notes</t>
  </si>
  <si>
    <t>Mark</t>
  </si>
  <si>
    <t>Farmax filter</t>
  </si>
  <si>
    <t>Compare totals</t>
  </si>
  <si>
    <t>Susan Stokes</t>
  </si>
  <si>
    <t>Digad data</t>
  </si>
  <si>
    <t>Anniversary Day</t>
  </si>
  <si>
    <t>Presentations for NZAGRC Inv</t>
  </si>
  <si>
    <t>DairyBase totals</t>
  </si>
  <si>
    <t>Slicing</t>
  </si>
  <si>
    <t>MPI report</t>
  </si>
  <si>
    <t>AARES talks</t>
  </si>
  <si>
    <t>DairyBase feeds</t>
  </si>
  <si>
    <t>Mark re Digad</t>
  </si>
  <si>
    <t>Barbara's data</t>
  </si>
  <si>
    <t>Multivariate normal</t>
  </si>
  <si>
    <t>Reading MPI docs</t>
  </si>
  <si>
    <t>Modelling</t>
  </si>
  <si>
    <t>Report skeleton</t>
  </si>
  <si>
    <t>Planning trip to Dunedin</t>
  </si>
  <si>
    <t>Farmax modelability</t>
  </si>
  <si>
    <t>Dunedin</t>
  </si>
  <si>
    <t>Photo</t>
  </si>
  <si>
    <t>Dave Evans</t>
  </si>
  <si>
    <t>Snowflake seminar</t>
  </si>
  <si>
    <t xml:space="preserve">Report   </t>
  </si>
  <si>
    <t>Prepare seminar</t>
  </si>
  <si>
    <t>Dairy statistics check</t>
  </si>
  <si>
    <t>Paul Edwards</t>
  </si>
  <si>
    <t>Digad check</t>
  </si>
  <si>
    <t>Catchment level solutions</t>
  </si>
  <si>
    <t>Report outline</t>
  </si>
  <si>
    <t>Mark Neal</t>
  </si>
  <si>
    <t>DairyBase model</t>
  </si>
  <si>
    <t>Catchment</t>
  </si>
  <si>
    <t>Feeds</t>
  </si>
  <si>
    <t>Econ workshop planning</t>
  </si>
  <si>
    <t>R workshop prep</t>
  </si>
  <si>
    <t>Modern Science Workflow</t>
  </si>
  <si>
    <t>Fodder</t>
  </si>
  <si>
    <t>Fodder beet analysis for Barbara</t>
  </si>
  <si>
    <t>Nicole and Roshean</t>
  </si>
  <si>
    <t>Meet Barbara</t>
  </si>
  <si>
    <t>Cristy's Rmd</t>
  </si>
  <si>
    <t>DSP model tutorial</t>
  </si>
  <si>
    <t>Digad</t>
  </si>
  <si>
    <t>Barbara morning tea</t>
  </si>
  <si>
    <t>Econ Workshop Planning</t>
  </si>
  <si>
    <t>Catchup</t>
  </si>
  <si>
    <t>Weather</t>
  </si>
  <si>
    <t>Weather, prediction</t>
  </si>
  <si>
    <t>NZBIDA</t>
  </si>
  <si>
    <t>Tables</t>
  </si>
  <si>
    <t>MSW</t>
  </si>
  <si>
    <t>Mubashir</t>
  </si>
  <si>
    <t>Pulse survey</t>
  </si>
  <si>
    <t>Catchment level solutions (6 Mar)</t>
  </si>
  <si>
    <t>Catchment level solutions (10 Mar)</t>
  </si>
  <si>
    <t>Code for Wendy</t>
  </si>
  <si>
    <t>Values workshop</t>
  </si>
  <si>
    <t>Expense claim</t>
  </si>
  <si>
    <t>Alan, Robbie, Mickey</t>
  </si>
  <si>
    <t>Mike Rollo</t>
  </si>
  <si>
    <t>Grab data</t>
  </si>
  <si>
    <t>Charts</t>
  </si>
  <si>
    <t>Econ strategy day</t>
  </si>
  <si>
    <t>Econ team day planning</t>
  </si>
  <si>
    <t xml:space="preserve">Econ team day </t>
  </si>
  <si>
    <t>Anzac Day</t>
  </si>
  <si>
    <t>Econ etc</t>
  </si>
  <si>
    <t>Meeting, report</t>
  </si>
  <si>
    <t>Check data</t>
  </si>
  <si>
    <t>Mohio</t>
  </si>
  <si>
    <t>Cow comfort meeting</t>
  </si>
  <si>
    <t xml:space="preserve">Mark N </t>
  </si>
  <si>
    <t>Stats</t>
  </si>
  <si>
    <t>Brandon paper</t>
  </si>
  <si>
    <t>Performance review</t>
  </si>
  <si>
    <t>LW</t>
  </si>
  <si>
    <t>Tangata</t>
  </si>
  <si>
    <t>Join data</t>
  </si>
  <si>
    <t>Document</t>
  </si>
  <si>
    <t>Reading papers</t>
  </si>
  <si>
    <t>Summarise data</t>
  </si>
  <si>
    <t>Plan</t>
  </si>
  <si>
    <t xml:space="preserve">Values   </t>
  </si>
  <si>
    <t>Data ranges</t>
  </si>
  <si>
    <t>NSC</t>
  </si>
  <si>
    <t>Identify heat stress</t>
  </si>
  <si>
    <t>MPI Ireland seminar</t>
  </si>
  <si>
    <t>Catch up</t>
  </si>
  <si>
    <t>Farmers Forum Talks</t>
  </si>
  <si>
    <t>Herd testing report</t>
  </si>
  <si>
    <t>Curiosity session</t>
  </si>
  <si>
    <t>King's Birthday</t>
  </si>
  <si>
    <t>Work with snowflake</t>
  </si>
  <si>
    <t>Tim farewell</t>
  </si>
  <si>
    <t>Sample data</t>
  </si>
  <si>
    <t>Fodder seminar</t>
  </si>
  <si>
    <t>Look for heat stress</t>
  </si>
  <si>
    <t>Teams meeting</t>
  </si>
  <si>
    <t>Data sampling</t>
  </si>
  <si>
    <t>Simple prediction</t>
  </si>
  <si>
    <t>Progress report</t>
  </si>
  <si>
    <t>Machine learning</t>
  </si>
  <si>
    <t>Herd testing meeting</t>
  </si>
  <si>
    <t>Look at herd testing material</t>
  </si>
  <si>
    <t>Carla review</t>
  </si>
  <si>
    <t>Clustering</t>
  </si>
  <si>
    <t>ILMM code</t>
  </si>
  <si>
    <t>R community loops</t>
  </si>
  <si>
    <t>ILMM meeting</t>
  </si>
  <si>
    <t>ILMM data pull</t>
  </si>
  <si>
    <t>Rebecca and David</t>
  </si>
  <si>
    <t>Jeremy manuscript</t>
  </si>
  <si>
    <t>Revise report</t>
  </si>
  <si>
    <t>Seminar</t>
  </si>
  <si>
    <t>Finalise report</t>
  </si>
  <si>
    <t>New office layout</t>
  </si>
  <si>
    <t xml:space="preserve">Econ workshop   </t>
  </si>
  <si>
    <t>Wendy and Mark</t>
  </si>
  <si>
    <t>DSP meeting</t>
  </si>
  <si>
    <t>Data documentation</t>
  </si>
  <si>
    <t>ILMM</t>
  </si>
  <si>
    <t>Try to run script</t>
  </si>
  <si>
    <t>Meeting and run script</t>
  </si>
  <si>
    <t>Data</t>
  </si>
  <si>
    <t>Report tidy up</t>
  </si>
  <si>
    <t>Data files</t>
  </si>
  <si>
    <t>Timesheet, Econ, Email</t>
  </si>
  <si>
    <t>Documentation</t>
  </si>
  <si>
    <t>Docs</t>
  </si>
  <si>
    <t>Ranking</t>
  </si>
  <si>
    <t>Mark S and Mark N</t>
  </si>
  <si>
    <t xml:space="preserve">Reading </t>
  </si>
  <si>
    <t>Update data</t>
  </si>
  <si>
    <t>Matariki holiday</t>
  </si>
  <si>
    <t>Data files, meeting</t>
  </si>
  <si>
    <t>Bid planning</t>
  </si>
  <si>
    <t>Run scripts</t>
  </si>
  <si>
    <t>DairyBase meeting</t>
  </si>
  <si>
    <t>David meeting</t>
  </si>
  <si>
    <t>LW bid, Mark S</t>
  </si>
  <si>
    <t>Ireland bid</t>
  </si>
  <si>
    <t>Review code, Meeting</t>
  </si>
  <si>
    <t>Changes to modelling</t>
  </si>
  <si>
    <t>Review code</t>
  </si>
  <si>
    <t>Review code, meeting</t>
  </si>
  <si>
    <t>Review StatsNZ survey</t>
  </si>
  <si>
    <t>Try again</t>
  </si>
  <si>
    <t>Workshop at Zenders</t>
  </si>
  <si>
    <t>Check code and documentation</t>
  </si>
  <si>
    <t>Elena meeting</t>
  </si>
  <si>
    <t>Comfort</t>
  </si>
  <si>
    <t>Timesheet, Meeting prep</t>
  </si>
  <si>
    <t>Keep trying</t>
  </si>
  <si>
    <t>NIWA paper</t>
  </si>
  <si>
    <t>Photos at Lye farm</t>
  </si>
  <si>
    <t>8004.NPT</t>
  </si>
  <si>
    <t xml:space="preserve">8004.NPT </t>
  </si>
  <si>
    <t>Plot rumen temp</t>
  </si>
  <si>
    <t>Reviewer comments</t>
  </si>
  <si>
    <t>Normalise rumen temp</t>
  </si>
  <si>
    <t>Check events</t>
  </si>
  <si>
    <t>False positives</t>
  </si>
  <si>
    <t>Weather only model</t>
  </si>
  <si>
    <t>Resilient pasture meeting</t>
  </si>
  <si>
    <t>FVI recoding</t>
  </si>
  <si>
    <t>DairyStats</t>
  </si>
  <si>
    <t>Dairy stats code</t>
  </si>
  <si>
    <t>Wayne intake meeting</t>
  </si>
  <si>
    <t>Wayne zeddy meeting</t>
  </si>
  <si>
    <t>Ellie's thesis</t>
  </si>
  <si>
    <t>Paper meeting</t>
  </si>
  <si>
    <t>Value meeting</t>
  </si>
  <si>
    <t>Figure</t>
  </si>
  <si>
    <t>FVI ranking recoding</t>
  </si>
  <si>
    <t>Annual</t>
  </si>
  <si>
    <t>Paper (Saturday)</t>
  </si>
  <si>
    <t>Timesheet and admin</t>
  </si>
  <si>
    <t>Slideshow</t>
  </si>
  <si>
    <t>New model</t>
  </si>
  <si>
    <t>Dairy statistics meeting</t>
  </si>
  <si>
    <t>Timesheet and emails</t>
  </si>
  <si>
    <t>Values</t>
  </si>
  <si>
    <t>Check scripts</t>
  </si>
  <si>
    <t>Dairybase for Mario</t>
  </si>
  <si>
    <t>Meeting with Jessie</t>
  </si>
  <si>
    <t>Timesheet, Econ, Goals</t>
  </si>
  <si>
    <t>Goals</t>
  </si>
  <si>
    <t>Farm opt paper</t>
  </si>
  <si>
    <t>Restart farm opt model</t>
  </si>
  <si>
    <t>Output tables</t>
  </si>
  <si>
    <t>Meeting re feed report</t>
  </si>
  <si>
    <t>Heat stress project meeting</t>
  </si>
  <si>
    <t>Heat stress models</t>
  </si>
  <si>
    <t>Timesheet, Econ, email</t>
  </si>
  <si>
    <t>Back calculation meeting</t>
  </si>
  <si>
    <t>Pasture potential meeting</t>
  </si>
  <si>
    <t>Chris Glassey paper</t>
  </si>
  <si>
    <t>Pasture potential</t>
  </si>
  <si>
    <t>Meeting and check data</t>
  </si>
  <si>
    <t>Meeting with Andrea</t>
  </si>
  <si>
    <t>Diurnal patterns</t>
  </si>
  <si>
    <t>Classification</t>
  </si>
  <si>
    <t>Andrea's project</t>
  </si>
  <si>
    <t>Pasture</t>
  </si>
  <si>
    <t>Intake meeting</t>
  </si>
  <si>
    <t>Literature review</t>
  </si>
  <si>
    <t>Coding</t>
  </si>
  <si>
    <t>JDSC paper</t>
  </si>
  <si>
    <t>Ireland seminar</t>
  </si>
  <si>
    <t>Check plots</t>
  </si>
  <si>
    <t>VCS locations</t>
  </si>
  <si>
    <t>Meeting and coding</t>
  </si>
  <si>
    <t>Don't know</t>
  </si>
  <si>
    <t>Recommendations</t>
  </si>
  <si>
    <t>Data request</t>
  </si>
  <si>
    <t>Graph tables</t>
  </si>
  <si>
    <t>Paul's code</t>
  </si>
  <si>
    <t>Jenny's presentation</t>
  </si>
  <si>
    <t>Rerun tables</t>
  </si>
  <si>
    <t>Deep south meeting</t>
  </si>
  <si>
    <t>Mock data</t>
  </si>
  <si>
    <t>Questions</t>
  </si>
  <si>
    <t>Meeting and stuff</t>
  </si>
  <si>
    <t>Maps</t>
  </si>
  <si>
    <t xml:space="preserve">Data   </t>
  </si>
  <si>
    <t>Resilient pasture bid</t>
  </si>
  <si>
    <t>Mockup plots</t>
  </si>
  <si>
    <t>Meeting and editing</t>
  </si>
  <si>
    <t>Editing</t>
  </si>
  <si>
    <t>Data request sent</t>
  </si>
  <si>
    <t>Run David's code</t>
  </si>
  <si>
    <t>Plots</t>
  </si>
  <si>
    <t>Sam</t>
  </si>
  <si>
    <t>Check Paul's code</t>
  </si>
  <si>
    <t>Check code</t>
  </si>
  <si>
    <t>Archive code</t>
  </si>
  <si>
    <t>Mock plots</t>
  </si>
  <si>
    <t>Mock results</t>
  </si>
  <si>
    <t>Econ hui</t>
  </si>
  <si>
    <t>Review</t>
  </si>
  <si>
    <t>DairyBase bias</t>
  </si>
  <si>
    <t>DairyBase recommendation</t>
  </si>
  <si>
    <t>Cliflo</t>
  </si>
  <si>
    <t>Smax weather</t>
  </si>
  <si>
    <t>Curiosity</t>
  </si>
  <si>
    <t>Mockup data</t>
  </si>
  <si>
    <t>Metrics</t>
  </si>
  <si>
    <t>Feed consumed meeting</t>
  </si>
  <si>
    <t>Birthday leave</t>
  </si>
  <si>
    <t xml:space="preserve">DairyBase </t>
  </si>
  <si>
    <t>Email</t>
  </si>
  <si>
    <t>Coffee</t>
  </si>
  <si>
    <t>Discussion</t>
  </si>
  <si>
    <t>Stat</t>
  </si>
  <si>
    <t>Annual leave</t>
  </si>
  <si>
    <t>DairyNZ day</t>
  </si>
  <si>
    <t>NIWA data</t>
  </si>
  <si>
    <t>DairyBase weighting</t>
  </si>
  <si>
    <t>Dairy calf oppoprtunities</t>
  </si>
  <si>
    <t>Fix GHLI in JDSC</t>
  </si>
  <si>
    <t>Econ and Feed consumed</t>
  </si>
  <si>
    <t>Future work</t>
  </si>
  <si>
    <t>Dairybase weighting</t>
  </si>
  <si>
    <t>Wind speed</t>
  </si>
  <si>
    <t>Mario</t>
  </si>
  <si>
    <t>Vikki</t>
  </si>
  <si>
    <t>Plantain meeting</t>
  </si>
  <si>
    <t>Meeting at AgResearch</t>
  </si>
  <si>
    <t>Waitangi Day</t>
  </si>
  <si>
    <t>Timesheet, emails</t>
  </si>
  <si>
    <t>Sick</t>
  </si>
  <si>
    <t>New smaxtec model</t>
  </si>
  <si>
    <t>Restructure catchup</t>
  </si>
  <si>
    <t>Stats course catchup</t>
  </si>
  <si>
    <t>8205.AT</t>
  </si>
  <si>
    <t>Learning</t>
  </si>
  <si>
    <t>New ghli</t>
  </si>
  <si>
    <t>Review paper</t>
  </si>
  <si>
    <t>Revise Deep South paper</t>
  </si>
  <si>
    <t>Wayne's abstract</t>
  </si>
  <si>
    <t>Backcalc meeting</t>
  </si>
  <si>
    <t>Modelling team</t>
  </si>
  <si>
    <t xml:space="preserve">Stats course </t>
  </si>
  <si>
    <t>Liveweight meeting</t>
  </si>
  <si>
    <t>GHG meeting recording</t>
  </si>
  <si>
    <t>Wayne's GPS paper</t>
  </si>
  <si>
    <t>Wayne's smaXtec paper</t>
  </si>
  <si>
    <t>Belinda</t>
  </si>
  <si>
    <t>Chanatda meeting</t>
  </si>
  <si>
    <t>Paper errata</t>
  </si>
  <si>
    <t>Shade</t>
  </si>
  <si>
    <t>Shade meeting</t>
  </si>
  <si>
    <t>Team</t>
  </si>
  <si>
    <t>Revise JDSC proof.</t>
  </si>
  <si>
    <t>Shade data</t>
  </si>
  <si>
    <t>Forecast seminar</t>
  </si>
  <si>
    <t>Kirsty powerpoint</t>
  </si>
  <si>
    <t>Temuka anomaly</t>
  </si>
  <si>
    <t>Coffee, Mark Neal</t>
  </si>
  <si>
    <t>Feed report meeting</t>
  </si>
  <si>
    <t>DairyBase bias meeting</t>
  </si>
  <si>
    <t xml:space="preserve">DairyBase bias </t>
  </si>
  <si>
    <t>ADSS abstract</t>
  </si>
  <si>
    <t>GPS meeting</t>
  </si>
  <si>
    <t>Easter</t>
  </si>
  <si>
    <t>Refereeing</t>
  </si>
  <si>
    <t>Revise heat stress papers</t>
  </si>
  <si>
    <t>Stacey's paper</t>
  </si>
  <si>
    <t>GHG Presentation</t>
  </si>
  <si>
    <t>Shade results</t>
  </si>
  <si>
    <t>Dairybase weighting meeting</t>
  </si>
  <si>
    <t>R&amp;S meeting</t>
  </si>
  <si>
    <t>Profiling</t>
  </si>
  <si>
    <t>Analysis</t>
  </si>
  <si>
    <t>Submit Deep South paper</t>
  </si>
  <si>
    <t>Plot MRZ maps</t>
  </si>
  <si>
    <t>GHLI meeting</t>
  </si>
  <si>
    <t xml:space="preserve">Modelling </t>
  </si>
  <si>
    <t>Liveweight</t>
  </si>
  <si>
    <t>Ecosys seminar</t>
  </si>
  <si>
    <t>Review feed consumed report</t>
  </si>
  <si>
    <t>Feed</t>
  </si>
  <si>
    <t>Susanne re Iceqube</t>
  </si>
  <si>
    <t>Modelling and presentation</t>
  </si>
  <si>
    <t>Time sheet</t>
  </si>
  <si>
    <t>Data and code</t>
  </si>
  <si>
    <t>Models</t>
  </si>
  <si>
    <t>Plantain</t>
  </si>
  <si>
    <t>Look at data</t>
  </si>
  <si>
    <t>Irish bid</t>
  </si>
  <si>
    <t>King's birthday</t>
  </si>
  <si>
    <t>Meeting (new code)</t>
  </si>
  <si>
    <t>Strategy stuff</t>
  </si>
  <si>
    <t>Snowflake data</t>
  </si>
  <si>
    <t>Improvements</t>
  </si>
  <si>
    <t>Meeting and data</t>
  </si>
  <si>
    <t>Feature scaling</t>
  </si>
  <si>
    <t>Fertility</t>
  </si>
  <si>
    <t xml:space="preserve">Filter data   </t>
  </si>
  <si>
    <t>Wayne meeting</t>
  </si>
  <si>
    <t>Less predictors</t>
  </si>
  <si>
    <t>Deviations</t>
  </si>
  <si>
    <t>Update PP Tool</t>
  </si>
  <si>
    <t>MSW meeting</t>
  </si>
  <si>
    <t>Econ strategy meeting</t>
  </si>
  <si>
    <t>Read data</t>
  </si>
  <si>
    <t>Abacus meeting</t>
  </si>
  <si>
    <t>Pairs plot</t>
  </si>
  <si>
    <t>Map for website</t>
  </si>
  <si>
    <t>Performance</t>
  </si>
  <si>
    <t xml:space="preserve">Jane and Brian </t>
  </si>
  <si>
    <t>GM Meeting</t>
  </si>
  <si>
    <t>Purview</t>
  </si>
  <si>
    <t>Heat stress meeting</t>
  </si>
  <si>
    <t>AnimalBase</t>
  </si>
  <si>
    <t>Move house</t>
  </si>
  <si>
    <t>Data filtering</t>
  </si>
  <si>
    <t>Methane</t>
  </si>
  <si>
    <t>MRZ heat stress map</t>
  </si>
  <si>
    <t>Pasture potential tool</t>
  </si>
  <si>
    <t>Ethics training</t>
  </si>
  <si>
    <t>Save statistics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</si>
  <si>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</si>
  <si>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</si>
  <si>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</si>
  <si>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</si>
  <si>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</si>
  <si>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</si>
  <si>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</si>
  <si>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</si>
  <si>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</si>
  <si>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</si>
  <si>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</si>
  <si>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</si>
  <si>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Waiting</t>
  </si>
  <si>
    <t>Deep South ADSS paper 30 Aug</t>
  </si>
  <si>
    <t>Fertility detection paper No deadline</t>
  </si>
  <si>
    <t>Smaxtec ADSS paper 30 Aug</t>
  </si>
  <si>
    <t>AnimalBase Josiah</t>
  </si>
  <si>
    <t>NZAEL EV of LW Andrew F</t>
  </si>
  <si>
    <t>Resilient Pastures Elena</t>
  </si>
  <si>
    <t>Emissions 4 Pasture Jane Kay</t>
  </si>
  <si>
    <t xml:space="preserve">Plantain heat stress analysis for paper Dec </t>
  </si>
  <si>
    <t>Fertility science panel talk 6 Aug 1 week</t>
  </si>
  <si>
    <t>Deep South JDS paper in review 27 Jul</t>
  </si>
  <si>
    <t>Deep South paper resubmit</t>
  </si>
  <si>
    <t>Presentation and paper</t>
  </si>
  <si>
    <t>Shade use model paper No deadline</t>
  </si>
  <si>
    <t>MPI Liveweight report 1 Dec</t>
  </si>
  <si>
    <t>Paper review</t>
  </si>
  <si>
    <t>Summaries</t>
  </si>
  <si>
    <t>ADSS paper Deep South</t>
  </si>
  <si>
    <t>ADSS paper Smaxtec</t>
  </si>
  <si>
    <t>Landcare seminar</t>
  </si>
  <si>
    <t>Science panel presentation</t>
  </si>
  <si>
    <t>Census</t>
  </si>
  <si>
    <t>Timesheet, ResearchGate</t>
  </si>
  <si>
    <t>Smaxtec data</t>
  </si>
  <si>
    <t>Planning meeting</t>
  </si>
  <si>
    <t>Canterbury data</t>
  </si>
  <si>
    <t xml:space="preserve">Paper </t>
  </si>
  <si>
    <t xml:space="preserve">Science panel </t>
  </si>
  <si>
    <t>ADSS paper</t>
  </si>
  <si>
    <t>Heifer meeting</t>
  </si>
  <si>
    <t>Mark Neal seminar</t>
  </si>
  <si>
    <t>Urine patch paper</t>
  </si>
  <si>
    <t>LowN</t>
  </si>
  <si>
    <t>Paul Edwards paper</t>
  </si>
  <si>
    <t>Wayne presentation</t>
  </si>
  <si>
    <t>Pasture Potential Tool</t>
  </si>
  <si>
    <t>Rstudio Connect</t>
  </si>
  <si>
    <t>Understand data</t>
  </si>
  <si>
    <t>AgR report</t>
  </si>
  <si>
    <t>Gam models</t>
  </si>
  <si>
    <t>Leigh visit</t>
  </si>
  <si>
    <t>Back calc</t>
  </si>
  <si>
    <t>Age</t>
  </si>
  <si>
    <t>Liveweight gain</t>
  </si>
  <si>
    <t>Age class</t>
  </si>
  <si>
    <t>Weighting</t>
  </si>
  <si>
    <t>Staff meeting</t>
  </si>
  <si>
    <t>Animalbase update</t>
  </si>
  <si>
    <t>Wayne seminar</t>
  </si>
  <si>
    <t>Population</t>
  </si>
  <si>
    <t>Review progress</t>
  </si>
  <si>
    <t>Sampling</t>
  </si>
  <si>
    <t>Komanawa Seminar</t>
  </si>
  <si>
    <t>Catch Up meeting</t>
  </si>
  <si>
    <t>Trial Proposal meeting</t>
  </si>
  <si>
    <t>Intake Bid Meeting</t>
  </si>
  <si>
    <t>Code Review Meeting</t>
  </si>
  <si>
    <t>Population model</t>
  </si>
  <si>
    <t>Supplementary Feed Meeting</t>
  </si>
  <si>
    <t>Incorporate herd test data</t>
  </si>
  <si>
    <t>Wayne catch up</t>
  </si>
  <si>
    <t>Filter cows</t>
  </si>
  <si>
    <t>Rerun predictions</t>
  </si>
  <si>
    <t>ADSS paper review</t>
  </si>
  <si>
    <t>Water Seminar</t>
  </si>
  <si>
    <t>Deep South ADSS paper</t>
  </si>
  <si>
    <t>Smaxtec ADSS paper</t>
  </si>
  <si>
    <t>David Vega meeting</t>
  </si>
  <si>
    <t>Strengths questionnaire</t>
  </si>
  <si>
    <t>Check reweighting</t>
  </si>
  <si>
    <t>ADSS papers</t>
  </si>
  <si>
    <t>Equations meeting</t>
  </si>
  <si>
    <t>Code review meeting</t>
  </si>
  <si>
    <t>Follow up</t>
  </si>
  <si>
    <t>Lit review</t>
  </si>
  <si>
    <t>GHG bids</t>
  </si>
  <si>
    <t>Meeting with Abacus</t>
  </si>
  <si>
    <t>Deep South journal paper</t>
  </si>
  <si>
    <t>Bid editing</t>
  </si>
  <si>
    <t>AGRC abstracts</t>
  </si>
  <si>
    <t>Aslan</t>
  </si>
  <si>
    <t>Labour day</t>
  </si>
  <si>
    <t>Bid budgets</t>
  </si>
  <si>
    <t>Bid writing</t>
  </si>
  <si>
    <t>NZACCC poster</t>
  </si>
  <si>
    <t>ADSS presentations</t>
  </si>
  <si>
    <t>Edited NIWA paper</t>
  </si>
  <si>
    <t>Revised Deep South paper.</t>
  </si>
  <si>
    <t>ADSS Deep South presentation</t>
  </si>
  <si>
    <t>ADSS Cow Comfort presentation</t>
  </si>
  <si>
    <t>ADSS practice</t>
  </si>
  <si>
    <t>Pasture meeting</t>
  </si>
  <si>
    <t>Scence talk</t>
  </si>
  <si>
    <t>Science day</t>
  </si>
  <si>
    <t>Staff conference follow up</t>
  </si>
  <si>
    <t>Calves</t>
  </si>
  <si>
    <t xml:space="preserve">Code    </t>
  </si>
  <si>
    <t>Travel to ADSS</t>
  </si>
  <si>
    <t>Post conference stuff</t>
  </si>
  <si>
    <t>Reading</t>
  </si>
  <si>
    <t>ADSS</t>
  </si>
  <si>
    <t>Northland data</t>
  </si>
  <si>
    <t>Liveweight report</t>
  </si>
  <si>
    <t>Team day</t>
  </si>
  <si>
    <t>Dan Garrick</t>
  </si>
  <si>
    <t>Devs</t>
  </si>
  <si>
    <t>Curiosity presentations</t>
  </si>
  <si>
    <t xml:space="preserve">Annual </t>
  </si>
  <si>
    <t>Christmas</t>
  </si>
  <si>
    <t>New Year</t>
  </si>
  <si>
    <t>Boxing</t>
  </si>
  <si>
    <t>DairyNZ</t>
  </si>
  <si>
    <t>Geoscience paper review</t>
  </si>
  <si>
    <t>Wayne report</t>
  </si>
  <si>
    <t>Revised Deep South paper</t>
  </si>
  <si>
    <t xml:space="preserve">Wayne </t>
  </si>
  <si>
    <t>Resubmitted Deep South paper</t>
  </si>
  <si>
    <t>Take stock</t>
  </si>
  <si>
    <t>Strategy day</t>
  </si>
  <si>
    <t>Symbolic regression</t>
  </si>
  <si>
    <t>Filters</t>
  </si>
  <si>
    <t>Timestamps</t>
  </si>
  <si>
    <t>Missing</t>
  </si>
  <si>
    <t>MPI meeting</t>
  </si>
  <si>
    <t>Copyright form</t>
  </si>
  <si>
    <t>Events</t>
  </si>
  <si>
    <t>AgR meeting</t>
  </si>
  <si>
    <t>Proof</t>
  </si>
  <si>
    <t>Check logic</t>
  </si>
  <si>
    <t>COMPAG article</t>
  </si>
  <si>
    <t>ECOMOD article</t>
  </si>
  <si>
    <t>Exploratory data analysis</t>
  </si>
  <si>
    <t>FarmIQ webinar</t>
  </si>
  <si>
    <t>New PC</t>
  </si>
  <si>
    <t>Cow data</t>
  </si>
  <si>
    <t>Herd data EDA</t>
  </si>
  <si>
    <t>Update R</t>
  </si>
  <si>
    <t>Deep South talk</t>
  </si>
  <si>
    <t>R community</t>
  </si>
  <si>
    <t xml:space="preserve">Staff update </t>
  </si>
  <si>
    <t>Morning tea</t>
  </si>
  <si>
    <t xml:space="preserve">Mark </t>
  </si>
  <si>
    <t>Missing dates</t>
  </si>
  <si>
    <t>Box plots</t>
  </si>
  <si>
    <t>Abstract</t>
  </si>
  <si>
    <t>Bridget</t>
  </si>
  <si>
    <t>Characteristics</t>
  </si>
  <si>
    <t>Grasslands paper</t>
  </si>
  <si>
    <t>Pairs</t>
  </si>
  <si>
    <t>Stacey review</t>
  </si>
  <si>
    <t>Site differences</t>
  </si>
  <si>
    <t>Ppt for Susanne</t>
  </si>
  <si>
    <t>GM meeting</t>
  </si>
  <si>
    <t>Long service</t>
  </si>
  <si>
    <t>Jane Kay projects</t>
  </si>
  <si>
    <t>Reviewing</t>
  </si>
  <si>
    <t>Anzac day</t>
  </si>
  <si>
    <t>Genetic scaling</t>
  </si>
  <si>
    <t>Reviewing abstracts</t>
  </si>
  <si>
    <t>Backcalc</t>
  </si>
  <si>
    <t>Team stuff</t>
  </si>
  <si>
    <t>Melissa</t>
  </si>
  <si>
    <t>Herd milk effect</t>
  </si>
  <si>
    <t>Drinking</t>
  </si>
  <si>
    <t>Set up project</t>
  </si>
  <si>
    <t>Explore data</t>
  </si>
  <si>
    <t>Josiah's report</t>
  </si>
  <si>
    <t>Milestone 6</t>
  </si>
  <si>
    <t>Refine detection logic</t>
  </si>
  <si>
    <t>GNS paper</t>
  </si>
  <si>
    <t>Milksolids effect</t>
  </si>
  <si>
    <t>Gaps</t>
  </si>
  <si>
    <t>Update plots</t>
  </si>
  <si>
    <t>Progress</t>
  </si>
  <si>
    <t>Cleaning</t>
  </si>
  <si>
    <t>Fonterra email</t>
  </si>
  <si>
    <t>Improve prediction</t>
  </si>
  <si>
    <t>Remove stripes</t>
  </si>
  <si>
    <t>Pick up Marcus</t>
  </si>
  <si>
    <t>Analyse stripes</t>
  </si>
  <si>
    <t>Revise paper</t>
  </si>
  <si>
    <t>Censoring</t>
  </si>
  <si>
    <t xml:space="preserve">Stacey </t>
  </si>
  <si>
    <t>Stripes</t>
  </si>
  <si>
    <t>Heifers</t>
  </si>
  <si>
    <t>Massey Seminar and R Community</t>
  </si>
  <si>
    <t>Wayne's paper revision</t>
  </si>
  <si>
    <t>Trace discontinuities</t>
  </si>
  <si>
    <t xml:space="preserve">Bias correction </t>
  </si>
  <si>
    <t>PPP paper review</t>
  </si>
  <si>
    <t>Age adjustment</t>
  </si>
  <si>
    <t>Knee operation</t>
  </si>
  <si>
    <t>Fix censoring</t>
  </si>
  <si>
    <t>Phenotypes</t>
  </si>
  <si>
    <t>Meet Catherine</t>
  </si>
  <si>
    <t>Polynomials</t>
  </si>
  <si>
    <t>Peer review meeting</t>
  </si>
  <si>
    <t>Charlotte's paper</t>
  </si>
  <si>
    <t xml:space="preserve">Josiah   </t>
  </si>
  <si>
    <t>Diagnostics</t>
  </si>
  <si>
    <t>Heat stress paper</t>
  </si>
  <si>
    <t>Konagh meeting</t>
  </si>
  <si>
    <t>Alpaca paper review</t>
  </si>
  <si>
    <t>Heat</t>
  </si>
  <si>
    <t>Weather meeting</t>
  </si>
  <si>
    <t>Collar data</t>
  </si>
  <si>
    <t>PCA</t>
  </si>
  <si>
    <t>Estrus paper</t>
  </si>
  <si>
    <t>Meet Fiona and Melissa</t>
  </si>
  <si>
    <t>Posit Workbench meeting</t>
  </si>
  <si>
    <t>Testing Posit</t>
  </si>
  <si>
    <t>Susanne</t>
  </si>
  <si>
    <t>Read paper</t>
  </si>
  <si>
    <t>Lucy's paper</t>
  </si>
  <si>
    <t>Elena query</t>
  </si>
  <si>
    <t>David Burger session</t>
  </si>
  <si>
    <t>Project plan</t>
  </si>
  <si>
    <t>LPA</t>
  </si>
  <si>
    <t>Decompose rumination time</t>
  </si>
  <si>
    <t>Andre Mazetto</t>
  </si>
  <si>
    <t>Timesheet, refereeing</t>
  </si>
  <si>
    <t>Something</t>
  </si>
  <si>
    <t>Draft paper</t>
  </si>
  <si>
    <t>Data for Barbara</t>
  </si>
  <si>
    <t>AnimalBase paper</t>
  </si>
  <si>
    <t>tidySEM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</si>
</sst>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/mmm/yyyy"/>
    <numFmt numFmtId="165" formatCode="h:mm;@"/>
    <numFmt numFmtId="166" formatCode="d/mmm/yyyy"/>
    <numFmt numFmtId="167" formatCode="0.0"/>
  </numFmts>
  <fonts count="9" x14ac:knownFonts="1">
    <font>
      <sz val="10"/>
      <name val="Arial"/>
    </font>
    <font>
      <sz val="10"/>
      <name val="Arial"/>
      <family val="2"/>
    </font>
    <font>
      <b/>
      <sz val="18"/>
      <color indexed="9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name val="Calibr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20" fontId="0" fillId="0" borderId="0" xfId="0" applyNumberFormat="1"/>
    <xf numFmtId="0" fontId="1" fillId="0" borderId="0" xfId="0" applyFont="1"/>
    <xf numFmtId="15" fontId="0" fillId="0" borderId="0" xfId="0" applyNumberFormat="1"/>
    <xf numFmtId="18" fontId="0" fillId="0" borderId="0" xfId="0" applyNumberFormat="1"/>
    <xf numFmtId="20" fontId="1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6" fillId="0" borderId="0" xfId="0" applyNumberFormat="1" applyFont="1" applyAlignment="1">
      <alignment horizontal="left"/>
    </xf>
    <xf numFmtId="166" fontId="0" fillId="2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20" fontId="4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20" fontId="4" fillId="4" borderId="0" xfId="0" applyNumberFormat="1" applyFont="1" applyFill="1" applyAlignment="1">
      <alignment horizontal="right"/>
    </xf>
    <xf numFmtId="165" fontId="4" fillId="4" borderId="0" xfId="0" applyNumberFormat="1" applyFont="1" applyFill="1"/>
    <xf numFmtId="166" fontId="4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166" fontId="0" fillId="5" borderId="0" xfId="0" applyNumberFormat="1" applyFill="1" applyAlignment="1">
      <alignment horizontal="right"/>
    </xf>
    <xf numFmtId="0" fontId="1" fillId="0" borderId="0" xfId="0" applyFont="1" applyAlignment="1">
      <alignment horizontal="left"/>
    </xf>
    <xf numFmtId="167" fontId="0" fillId="5" borderId="0" xfId="0" applyNumberFormat="1" applyFill="1" applyAlignment="1">
      <alignment horizontal="center"/>
    </xf>
    <xf numFmtId="0" fontId="7" fillId="0" borderId="0" xfId="0" applyFont="1" applyAlignment="1">
      <alignment vertical="center"/>
    </xf>
    <xf numFmtId="19" fontId="2" fillId="4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99FF99"/>
      <color rgb="FF33CC33"/>
      <color rgb="FF66FF33"/>
      <color rgb="FFF5F9C1"/>
      <color rgb="FFFF7C80"/>
      <color rgb="FFFDFFE5"/>
      <color rgb="FFEAE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tabColor rgb="FF33CC33"/>
    <pageSetUpPr fitToPage="1"/>
  </sheetPr>
  <dimension ref="A1:U3119"/>
  <sheetViews>
    <sheetView tabSelected="1" zoomScaleNormal="100" workbookViewId="0">
      <pane ySplit="2" topLeftCell="A2932" activePane="bottomLeft" state="frozenSplit"/>
      <selection activeCell="C5" sqref="C5"/>
      <selection pane="bottomLeft" activeCell="N2945" sqref="N2945"/>
    </sheetView>
  </sheetViews>
  <sheetFormatPr defaultColWidth="9.33203125" defaultRowHeight="13.2" x14ac:dyDescent="0.25"/>
  <cols>
    <col min="1" max="1" width="17" style="6" customWidth="1"/>
    <col min="2" max="2" width="13.33203125" customWidth="1"/>
    <col min="3" max="3" width="13.33203125" style="6" customWidth="1"/>
    <col min="4" max="4" width="29.6640625" customWidth="1"/>
    <col min="5" max="6" width="9.33203125" customWidth="1"/>
    <col min="7" max="7" width="13.6640625" style="12" customWidth="1"/>
    <col min="8" max="8" width="8.6640625" style="11" customWidth="1"/>
    <col min="9" max="9" width="8.6640625" style="10" customWidth="1"/>
    <col min="10" max="10" width="8.6640625" style="11" customWidth="1"/>
    <col min="11" max="11" width="8.6640625" style="10" customWidth="1"/>
    <col min="12" max="12" width="8.6640625" style="11" customWidth="1"/>
    <col min="15" max="15" width="0" hidden="1" customWidth="1"/>
    <col min="18" max="18" width="9.6640625" bestFit="1" customWidth="1"/>
  </cols>
  <sheetData>
    <row r="1" spans="1:12" s="18" customFormat="1" ht="22.2" x14ac:dyDescent="0.35">
      <c r="A1" s="16" t="s">
        <v>36</v>
      </c>
      <c r="B1" s="17" t="s">
        <v>9</v>
      </c>
      <c r="C1" s="27"/>
      <c r="E1" s="19" t="s">
        <v>37</v>
      </c>
      <c r="F1" s="20">
        <f ca="1">TIME(HOUR(NOW()),MINUTE(NOW()),0)</f>
        <v>0.34930555555555554</v>
      </c>
      <c r="G1" s="21"/>
      <c r="H1" s="22"/>
      <c r="I1" s="22"/>
      <c r="J1" s="22"/>
      <c r="K1" s="22"/>
      <c r="L1" s="22"/>
    </row>
    <row r="2" spans="1:12" s="14" customFormat="1" x14ac:dyDescent="0.25">
      <c r="A2" s="13" t="s">
        <v>0</v>
      </c>
      <c r="B2" s="14" t="s">
        <v>15</v>
      </c>
      <c r="C2" s="13" t="s">
        <v>5</v>
      </c>
      <c r="D2" s="14" t="s">
        <v>1</v>
      </c>
      <c r="E2" s="14" t="s">
        <v>2</v>
      </c>
      <c r="F2" s="14" t="s">
        <v>3</v>
      </c>
      <c r="G2" s="15" t="s">
        <v>13</v>
      </c>
      <c r="H2" s="15" t="s">
        <v>4</v>
      </c>
      <c r="I2" s="15" t="s">
        <v>27</v>
      </c>
      <c r="J2" s="15" t="s">
        <v>106</v>
      </c>
      <c r="K2" s="15" t="s">
        <v>25</v>
      </c>
      <c r="L2" s="15" t="s">
        <v>105</v>
      </c>
    </row>
    <row r="3" spans="1:12" x14ac:dyDescent="0.25">
      <c r="A3" s="7">
        <v>44613</v>
      </c>
      <c r="B3" t="s">
        <v>6</v>
      </c>
      <c r="C3" s="6" t="s">
        <v>416</v>
      </c>
      <c r="D3" t="s">
        <v>10</v>
      </c>
      <c r="E3" s="1">
        <v>0.36180555555555555</v>
      </c>
      <c r="F3" s="1">
        <v>0.45763888888888887</v>
      </c>
      <c r="G3" s="23">
        <v>44627</v>
      </c>
      <c r="H3" s="10">
        <f>IF(E3&gt;0,INT((IF(F3&gt;0,F3,NowTime)-E3)*24*20)/20,"")</f>
        <v>2.2999999999999998</v>
      </c>
      <c r="I3" s="10">
        <f t="shared" ref="I3:I66" si="0">IF(H3="",H3,H3+IF(A3=A2,_xlfn.NUMBERVALUE(I2),0))</f>
        <v>2.2999999999999998</v>
      </c>
      <c r="J3" s="10">
        <f t="shared" ref="J3:J66" si="1">IF(H3="",H3,7.2)</f>
        <v>7.2</v>
      </c>
      <c r="K3" s="10">
        <f t="shared" ref="K3:K66" si="2">IF(H3="",H3,H3+IF(G3=G2,_xlfn.NUMBERVALUE(K2),0))</f>
        <v>2.2999999999999998</v>
      </c>
      <c r="L3" s="25">
        <f>K3</f>
        <v>2.2999999999999998</v>
      </c>
    </row>
    <row r="4" spans="1:12" x14ac:dyDescent="0.25">
      <c r="A4" s="7">
        <v>44613</v>
      </c>
      <c r="B4" t="s">
        <v>6</v>
      </c>
      <c r="C4" s="6" t="s">
        <v>416</v>
      </c>
      <c r="D4" t="s">
        <v>10</v>
      </c>
      <c r="E4" s="1">
        <v>0.62083333333333335</v>
      </c>
      <c r="F4" s="1">
        <v>0.65694444444444444</v>
      </c>
      <c r="G4" s="23">
        <v>44627</v>
      </c>
      <c r="H4" s="11">
        <f t="shared" ref="H4:H67" si="3">IF(E4&gt;0,ROUND(24*(IF(F4&gt;0,F4,NowTime)-E4),1),"")</f>
        <v>0.9</v>
      </c>
      <c r="I4" s="10">
        <f t="shared" si="0"/>
        <v>3.1999999999999997</v>
      </c>
      <c r="J4" s="10">
        <f t="shared" si="1"/>
        <v>7.2</v>
      </c>
      <c r="K4" s="10">
        <f t="shared" si="2"/>
        <v>3.1999999999999997</v>
      </c>
      <c r="L4" s="25">
        <f t="shared" ref="L4:L10" si="4">K4</f>
        <v>3.1999999999999997</v>
      </c>
    </row>
    <row r="5" spans="1:12" x14ac:dyDescent="0.25">
      <c r="A5" s="7">
        <v>44614</v>
      </c>
      <c r="B5" t="s">
        <v>6</v>
      </c>
      <c r="C5" s="6" t="s">
        <v>416</v>
      </c>
      <c r="D5" t="s">
        <v>11</v>
      </c>
      <c r="E5" s="1">
        <v>0.36249999999999999</v>
      </c>
      <c r="F5" s="1">
        <v>0.47430555555555554</v>
      </c>
      <c r="G5" s="23">
        <v>44627</v>
      </c>
      <c r="H5" s="11">
        <f t="shared" si="3"/>
        <v>2.7</v>
      </c>
      <c r="I5" s="10">
        <f t="shared" si="0"/>
        <v>2.7</v>
      </c>
      <c r="J5" s="10">
        <f t="shared" si="1"/>
        <v>7.2</v>
      </c>
      <c r="K5" s="10">
        <f t="shared" si="2"/>
        <v>5.9</v>
      </c>
      <c r="L5" s="25">
        <f t="shared" si="4"/>
        <v>5.9</v>
      </c>
    </row>
    <row r="6" spans="1:12" x14ac:dyDescent="0.25">
      <c r="A6" s="7">
        <v>44614</v>
      </c>
      <c r="B6" t="s">
        <v>6</v>
      </c>
      <c r="C6" s="6" t="s">
        <v>416</v>
      </c>
      <c r="D6" t="s">
        <v>11</v>
      </c>
      <c r="E6" s="1">
        <v>0.57291666666666663</v>
      </c>
      <c r="F6" s="1">
        <v>0.59861111111111109</v>
      </c>
      <c r="G6" s="23">
        <v>44627</v>
      </c>
      <c r="H6" s="11">
        <f t="shared" si="3"/>
        <v>0.6</v>
      </c>
      <c r="I6" s="10">
        <f t="shared" si="0"/>
        <v>3.3000000000000003</v>
      </c>
      <c r="J6" s="10">
        <f t="shared" si="1"/>
        <v>7.2</v>
      </c>
      <c r="K6" s="10">
        <f t="shared" si="2"/>
        <v>6.5</v>
      </c>
      <c r="L6" s="25">
        <f t="shared" si="4"/>
        <v>6.5</v>
      </c>
    </row>
    <row r="7" spans="1:12" x14ac:dyDescent="0.25">
      <c r="A7" s="7">
        <v>44617</v>
      </c>
      <c r="B7" t="s">
        <v>6</v>
      </c>
      <c r="C7" s="6" t="s">
        <v>416</v>
      </c>
      <c r="D7" t="s">
        <v>11</v>
      </c>
      <c r="E7" s="1">
        <v>0.3430555555555555</v>
      </c>
      <c r="F7" s="1">
        <v>0.46527777777777773</v>
      </c>
      <c r="G7" s="23">
        <v>44627</v>
      </c>
      <c r="H7" s="11">
        <f t="shared" si="3"/>
        <v>2.9</v>
      </c>
      <c r="I7" s="10">
        <f t="shared" si="0"/>
        <v>2.9</v>
      </c>
      <c r="J7" s="10">
        <f t="shared" si="1"/>
        <v>7.2</v>
      </c>
      <c r="K7" s="10">
        <f t="shared" si="2"/>
        <v>9.4</v>
      </c>
      <c r="L7" s="25">
        <f t="shared" si="4"/>
        <v>9.4</v>
      </c>
    </row>
    <row r="8" spans="1:12" x14ac:dyDescent="0.25">
      <c r="A8" s="7">
        <v>44620</v>
      </c>
      <c r="B8" t="s">
        <v>6</v>
      </c>
      <c r="C8" s="6" t="s">
        <v>416</v>
      </c>
      <c r="D8" t="s">
        <v>11</v>
      </c>
      <c r="E8" s="1">
        <v>0.3125</v>
      </c>
      <c r="F8" s="1">
        <v>0.34722222222222227</v>
      </c>
      <c r="G8" s="23">
        <v>44627</v>
      </c>
      <c r="H8" s="11">
        <f t="shared" si="3"/>
        <v>0.8</v>
      </c>
      <c r="I8" s="10">
        <f t="shared" si="0"/>
        <v>0.8</v>
      </c>
      <c r="J8" s="10">
        <f t="shared" si="1"/>
        <v>7.2</v>
      </c>
      <c r="K8" s="10">
        <f t="shared" si="2"/>
        <v>10.200000000000001</v>
      </c>
      <c r="L8" s="25">
        <f t="shared" si="4"/>
        <v>10.200000000000001</v>
      </c>
    </row>
    <row r="9" spans="1:12" x14ac:dyDescent="0.25">
      <c r="A9" s="7">
        <v>44621</v>
      </c>
      <c r="B9" t="s">
        <v>6</v>
      </c>
      <c r="C9" s="6" t="s">
        <v>416</v>
      </c>
      <c r="D9" t="s">
        <v>11</v>
      </c>
      <c r="E9" s="1">
        <v>0.3576388888888889</v>
      </c>
      <c r="F9" s="1">
        <v>0.4694444444444445</v>
      </c>
      <c r="G9" s="23">
        <v>44627</v>
      </c>
      <c r="H9" s="11">
        <f t="shared" si="3"/>
        <v>2.7</v>
      </c>
      <c r="I9" s="10">
        <f t="shared" si="0"/>
        <v>2.7</v>
      </c>
      <c r="J9" s="10">
        <f t="shared" si="1"/>
        <v>7.2</v>
      </c>
      <c r="K9" s="10">
        <f t="shared" si="2"/>
        <v>12.899999999999999</v>
      </c>
      <c r="L9" s="25">
        <f t="shared" si="4"/>
        <v>12.899999999999999</v>
      </c>
    </row>
    <row r="10" spans="1:12" x14ac:dyDescent="0.25">
      <c r="A10" s="7">
        <v>44624</v>
      </c>
      <c r="B10" t="s">
        <v>6</v>
      </c>
      <c r="C10" s="6" t="s">
        <v>416</v>
      </c>
      <c r="D10" t="s">
        <v>11</v>
      </c>
      <c r="E10" s="1">
        <v>0.36180555555555555</v>
      </c>
      <c r="F10" s="1">
        <v>0.4604166666666667</v>
      </c>
      <c r="G10" s="23">
        <v>44627</v>
      </c>
      <c r="H10" s="11">
        <f t="shared" si="3"/>
        <v>2.4</v>
      </c>
      <c r="I10" s="10">
        <f t="shared" si="0"/>
        <v>2.4</v>
      </c>
      <c r="J10" s="10">
        <f t="shared" si="1"/>
        <v>7.2</v>
      </c>
      <c r="K10" s="10">
        <f t="shared" si="2"/>
        <v>15.3</v>
      </c>
      <c r="L10" s="25">
        <f t="shared" si="4"/>
        <v>15.3</v>
      </c>
    </row>
    <row r="11" spans="1:12" x14ac:dyDescent="0.25">
      <c r="A11" s="7">
        <v>44627</v>
      </c>
      <c r="B11" t="s">
        <v>6</v>
      </c>
      <c r="C11" s="6" t="s">
        <v>416</v>
      </c>
      <c r="D11" t="s">
        <v>12</v>
      </c>
      <c r="E11" s="1">
        <v>0.35416666666666669</v>
      </c>
      <c r="F11" s="1">
        <v>0.70347222222222217</v>
      </c>
      <c r="G11" s="9">
        <f t="shared" ref="G11:G67" si="5">IF(E11&gt;0,INT((A11-2)/7)*7+2,"")</f>
        <v>44627</v>
      </c>
      <c r="H11" s="11">
        <f t="shared" si="3"/>
        <v>8.4</v>
      </c>
      <c r="I11" s="10">
        <f t="shared" si="0"/>
        <v>8.4</v>
      </c>
      <c r="J11" s="10">
        <f t="shared" si="1"/>
        <v>7.2</v>
      </c>
      <c r="K11" s="10">
        <f t="shared" si="2"/>
        <v>23.700000000000003</v>
      </c>
      <c r="L11" s="10">
        <f t="shared" ref="L11:L68" si="6">IF(H11="",H11,H11+IF(MONTH(A11)=MONTH(A10),_xlfn.NUMBERVALUE(L10),0))</f>
        <v>23.700000000000003</v>
      </c>
    </row>
    <row r="12" spans="1:12" x14ac:dyDescent="0.25">
      <c r="A12" s="7">
        <v>44628</v>
      </c>
      <c r="B12" t="s">
        <v>6</v>
      </c>
      <c r="C12" s="6" t="s">
        <v>416</v>
      </c>
      <c r="D12" t="s">
        <v>14</v>
      </c>
      <c r="E12" s="1">
        <v>0.32222222222222224</v>
      </c>
      <c r="F12" s="1">
        <v>0.37222222222222223</v>
      </c>
      <c r="G12" s="9">
        <f t="shared" si="5"/>
        <v>44627</v>
      </c>
      <c r="H12" s="11">
        <f t="shared" si="3"/>
        <v>1.2</v>
      </c>
      <c r="I12" s="10">
        <f t="shared" si="0"/>
        <v>1.2</v>
      </c>
      <c r="J12" s="10">
        <f t="shared" si="1"/>
        <v>7.2</v>
      </c>
      <c r="K12" s="10">
        <f t="shared" si="2"/>
        <v>24.9</v>
      </c>
      <c r="L12" s="10">
        <f t="shared" si="6"/>
        <v>24.9</v>
      </c>
    </row>
    <row r="13" spans="1:12" x14ac:dyDescent="0.25">
      <c r="A13" s="7">
        <v>44628</v>
      </c>
      <c r="B13" t="s">
        <v>6</v>
      </c>
      <c r="C13" s="6" t="s">
        <v>416</v>
      </c>
      <c r="D13" t="s">
        <v>11</v>
      </c>
      <c r="E13" s="1">
        <v>0.37222222222222223</v>
      </c>
      <c r="F13" s="1">
        <v>0.45833333333333331</v>
      </c>
      <c r="G13" s="9">
        <f t="shared" si="5"/>
        <v>44627</v>
      </c>
      <c r="H13" s="11">
        <f t="shared" si="3"/>
        <v>2.1</v>
      </c>
      <c r="I13" s="10">
        <f t="shared" si="0"/>
        <v>3.3</v>
      </c>
      <c r="J13" s="10">
        <f t="shared" si="1"/>
        <v>7.2</v>
      </c>
      <c r="K13" s="10">
        <f t="shared" si="2"/>
        <v>27</v>
      </c>
      <c r="L13" s="10">
        <f t="shared" si="6"/>
        <v>27</v>
      </c>
    </row>
    <row r="14" spans="1:12" x14ac:dyDescent="0.25">
      <c r="A14" s="7">
        <v>44628</v>
      </c>
      <c r="B14" t="s">
        <v>6</v>
      </c>
      <c r="C14" s="6" t="s">
        <v>416</v>
      </c>
      <c r="D14" t="s">
        <v>16</v>
      </c>
      <c r="E14" s="1">
        <v>0.45833333333333331</v>
      </c>
      <c r="F14" s="1">
        <v>0.50694444444444442</v>
      </c>
      <c r="G14" s="9">
        <f t="shared" si="5"/>
        <v>44627</v>
      </c>
      <c r="H14" s="11">
        <f t="shared" si="3"/>
        <v>1.2</v>
      </c>
      <c r="I14" s="10">
        <f t="shared" si="0"/>
        <v>4.5</v>
      </c>
      <c r="J14" s="10">
        <f t="shared" si="1"/>
        <v>7.2</v>
      </c>
      <c r="K14" s="10">
        <f t="shared" si="2"/>
        <v>28.2</v>
      </c>
      <c r="L14" s="10">
        <f t="shared" si="6"/>
        <v>28.2</v>
      </c>
    </row>
    <row r="15" spans="1:12" x14ac:dyDescent="0.25">
      <c r="A15" s="7">
        <v>44628</v>
      </c>
      <c r="B15" t="s">
        <v>17</v>
      </c>
      <c r="C15" s="6">
        <v>2420</v>
      </c>
      <c r="D15" t="s">
        <v>18</v>
      </c>
      <c r="E15" s="1">
        <v>0.51944444444444449</v>
      </c>
      <c r="F15" s="1">
        <v>0.66249999999999998</v>
      </c>
      <c r="G15" s="9">
        <f t="shared" si="5"/>
        <v>44627</v>
      </c>
      <c r="H15" s="11">
        <f t="shared" si="3"/>
        <v>3.4</v>
      </c>
      <c r="I15" s="10">
        <f t="shared" si="0"/>
        <v>7.9</v>
      </c>
      <c r="J15" s="10">
        <f t="shared" si="1"/>
        <v>7.2</v>
      </c>
      <c r="K15" s="10">
        <f t="shared" si="2"/>
        <v>31.599999999999998</v>
      </c>
      <c r="L15" s="10">
        <f t="shared" si="6"/>
        <v>31.599999999999998</v>
      </c>
    </row>
    <row r="16" spans="1:12" x14ac:dyDescent="0.25">
      <c r="A16" s="7">
        <v>44629</v>
      </c>
      <c r="B16" t="s">
        <v>17</v>
      </c>
      <c r="C16" s="6">
        <v>2420</v>
      </c>
      <c r="D16" t="s">
        <v>23</v>
      </c>
      <c r="E16" s="1">
        <v>0.31944444444444448</v>
      </c>
      <c r="F16" s="1">
        <v>0.375</v>
      </c>
      <c r="G16" s="9">
        <f t="shared" si="5"/>
        <v>44627</v>
      </c>
      <c r="H16" s="11">
        <f t="shared" si="3"/>
        <v>1.3</v>
      </c>
      <c r="I16" s="10">
        <f t="shared" si="0"/>
        <v>1.3</v>
      </c>
      <c r="J16" s="10">
        <f t="shared" si="1"/>
        <v>7.2</v>
      </c>
      <c r="K16" s="10">
        <f t="shared" si="2"/>
        <v>32.9</v>
      </c>
      <c r="L16" s="10">
        <f t="shared" si="6"/>
        <v>32.9</v>
      </c>
    </row>
    <row r="17" spans="1:12" x14ac:dyDescent="0.25">
      <c r="A17" s="7">
        <v>44629</v>
      </c>
      <c r="B17" t="s">
        <v>17</v>
      </c>
      <c r="C17" s="6">
        <v>2420</v>
      </c>
      <c r="D17" t="s">
        <v>24</v>
      </c>
      <c r="E17" s="1">
        <v>0.375</v>
      </c>
      <c r="F17" s="1">
        <v>0.55763888888888891</v>
      </c>
      <c r="G17" s="9">
        <f t="shared" si="5"/>
        <v>44627</v>
      </c>
      <c r="H17" s="11">
        <f t="shared" si="3"/>
        <v>4.4000000000000004</v>
      </c>
      <c r="I17" s="10">
        <f t="shared" si="0"/>
        <v>5.7</v>
      </c>
      <c r="J17" s="10">
        <f t="shared" si="1"/>
        <v>7.2</v>
      </c>
      <c r="K17" s="10">
        <f t="shared" si="2"/>
        <v>37.299999999999997</v>
      </c>
      <c r="L17" s="10">
        <f t="shared" si="6"/>
        <v>37.299999999999997</v>
      </c>
    </row>
    <row r="18" spans="1:12" x14ac:dyDescent="0.25">
      <c r="A18" s="7">
        <v>44629</v>
      </c>
      <c r="B18" t="s">
        <v>17</v>
      </c>
      <c r="C18" s="6">
        <v>2420</v>
      </c>
      <c r="D18" t="s">
        <v>34</v>
      </c>
      <c r="E18" s="1">
        <v>0.55763888888888891</v>
      </c>
      <c r="F18" s="1">
        <v>0.58750000000000002</v>
      </c>
      <c r="G18" s="9">
        <f t="shared" si="5"/>
        <v>44627</v>
      </c>
      <c r="H18" s="11">
        <f t="shared" si="3"/>
        <v>0.7</v>
      </c>
      <c r="I18" s="10">
        <f t="shared" si="0"/>
        <v>6.4</v>
      </c>
      <c r="J18" s="10">
        <f t="shared" si="1"/>
        <v>7.2</v>
      </c>
      <c r="K18" s="10">
        <f t="shared" si="2"/>
        <v>38</v>
      </c>
      <c r="L18" s="10">
        <f t="shared" si="6"/>
        <v>38</v>
      </c>
    </row>
    <row r="19" spans="1:12" x14ac:dyDescent="0.25">
      <c r="A19" s="7">
        <v>44630</v>
      </c>
      <c r="B19" t="s">
        <v>17</v>
      </c>
      <c r="C19" s="6">
        <v>2420</v>
      </c>
      <c r="D19" t="s">
        <v>26</v>
      </c>
      <c r="E19" s="1">
        <v>0.36180555555555555</v>
      </c>
      <c r="F19" s="1">
        <v>0.42708333333333331</v>
      </c>
      <c r="G19" s="9">
        <f t="shared" si="5"/>
        <v>44627</v>
      </c>
      <c r="H19" s="11">
        <f t="shared" si="3"/>
        <v>1.6</v>
      </c>
      <c r="I19" s="10">
        <f t="shared" si="0"/>
        <v>1.6</v>
      </c>
      <c r="J19" s="10">
        <f t="shared" si="1"/>
        <v>7.2</v>
      </c>
      <c r="K19" s="10">
        <f t="shared" si="2"/>
        <v>39.6</v>
      </c>
      <c r="L19" s="10">
        <f t="shared" si="6"/>
        <v>39.6</v>
      </c>
    </row>
    <row r="20" spans="1:12" x14ac:dyDescent="0.25">
      <c r="A20" s="7">
        <v>44630</v>
      </c>
      <c r="B20" t="s">
        <v>6</v>
      </c>
      <c r="C20" s="6" t="s">
        <v>416</v>
      </c>
      <c r="D20" t="s">
        <v>30</v>
      </c>
      <c r="E20" s="1">
        <v>0.42708333333333331</v>
      </c>
      <c r="F20" s="1">
        <v>0.46875</v>
      </c>
      <c r="G20" s="9">
        <f t="shared" si="5"/>
        <v>44627</v>
      </c>
      <c r="H20" s="11">
        <f t="shared" si="3"/>
        <v>1</v>
      </c>
      <c r="I20" s="10">
        <f t="shared" si="0"/>
        <v>2.6</v>
      </c>
      <c r="J20" s="10">
        <f t="shared" si="1"/>
        <v>7.2</v>
      </c>
      <c r="K20" s="10">
        <f t="shared" si="2"/>
        <v>40.6</v>
      </c>
      <c r="L20" s="10">
        <f t="shared" si="6"/>
        <v>40.6</v>
      </c>
    </row>
    <row r="21" spans="1:12" x14ac:dyDescent="0.25">
      <c r="A21" s="7">
        <v>44630</v>
      </c>
      <c r="B21" t="s">
        <v>6</v>
      </c>
      <c r="C21" s="6" t="s">
        <v>416</v>
      </c>
      <c r="D21" t="s">
        <v>29</v>
      </c>
      <c r="E21" s="1">
        <v>0.46875</v>
      </c>
      <c r="F21" s="1">
        <v>0.51180555555555551</v>
      </c>
      <c r="G21" s="9">
        <f t="shared" si="5"/>
        <v>44627</v>
      </c>
      <c r="H21" s="11">
        <f t="shared" si="3"/>
        <v>1</v>
      </c>
      <c r="I21" s="10">
        <f t="shared" si="0"/>
        <v>3.6</v>
      </c>
      <c r="J21" s="10">
        <f t="shared" si="1"/>
        <v>7.2</v>
      </c>
      <c r="K21" s="10">
        <f t="shared" si="2"/>
        <v>41.6</v>
      </c>
      <c r="L21" s="10">
        <f t="shared" si="6"/>
        <v>41.6</v>
      </c>
    </row>
    <row r="22" spans="1:12" x14ac:dyDescent="0.25">
      <c r="A22" s="7">
        <v>44630</v>
      </c>
      <c r="B22" t="s">
        <v>6</v>
      </c>
      <c r="C22" s="6" t="s">
        <v>416</v>
      </c>
      <c r="D22" t="s">
        <v>11</v>
      </c>
      <c r="E22" s="1">
        <v>0.55555555555555558</v>
      </c>
      <c r="F22" s="1">
        <v>0.6333333333333333</v>
      </c>
      <c r="G22" s="9">
        <f t="shared" si="5"/>
        <v>44627</v>
      </c>
      <c r="H22" s="11">
        <f t="shared" si="3"/>
        <v>1.9</v>
      </c>
      <c r="I22" s="10">
        <f t="shared" si="0"/>
        <v>5.5</v>
      </c>
      <c r="J22" s="10">
        <f t="shared" si="1"/>
        <v>7.2</v>
      </c>
      <c r="K22" s="10">
        <f t="shared" si="2"/>
        <v>43.5</v>
      </c>
      <c r="L22" s="10">
        <f t="shared" si="6"/>
        <v>43.5</v>
      </c>
    </row>
    <row r="23" spans="1:12" x14ac:dyDescent="0.25">
      <c r="A23" s="7">
        <v>44631</v>
      </c>
      <c r="B23" t="s">
        <v>6</v>
      </c>
      <c r="C23" s="6" t="s">
        <v>416</v>
      </c>
      <c r="D23" t="s">
        <v>11</v>
      </c>
      <c r="E23" s="1">
        <v>0.34930555555555554</v>
      </c>
      <c r="F23" s="1">
        <v>0.49374999999999997</v>
      </c>
      <c r="G23" s="9">
        <f t="shared" si="5"/>
        <v>44627</v>
      </c>
      <c r="H23" s="11">
        <f t="shared" si="3"/>
        <v>3.5</v>
      </c>
      <c r="I23" s="10">
        <f t="shared" si="0"/>
        <v>3.5</v>
      </c>
      <c r="J23" s="10">
        <f t="shared" si="1"/>
        <v>7.2</v>
      </c>
      <c r="K23" s="10">
        <f t="shared" si="2"/>
        <v>47</v>
      </c>
      <c r="L23" s="10">
        <f t="shared" si="6"/>
        <v>47</v>
      </c>
    </row>
    <row r="24" spans="1:12" x14ac:dyDescent="0.25">
      <c r="A24" s="7">
        <v>44631</v>
      </c>
      <c r="B24" t="s">
        <v>17</v>
      </c>
      <c r="C24" s="6">
        <v>2420</v>
      </c>
      <c r="D24" t="s">
        <v>26</v>
      </c>
      <c r="E24" s="1">
        <v>0.54861111111111105</v>
      </c>
      <c r="F24" s="1">
        <v>0.60416666666666663</v>
      </c>
      <c r="G24" s="9">
        <f t="shared" si="5"/>
        <v>44627</v>
      </c>
      <c r="H24" s="11">
        <f t="shared" si="3"/>
        <v>1.3</v>
      </c>
      <c r="I24" s="10">
        <f t="shared" si="0"/>
        <v>4.8</v>
      </c>
      <c r="J24" s="10">
        <f t="shared" si="1"/>
        <v>7.2</v>
      </c>
      <c r="K24" s="10">
        <f t="shared" si="2"/>
        <v>48.3</v>
      </c>
      <c r="L24" s="10">
        <f t="shared" si="6"/>
        <v>48.3</v>
      </c>
    </row>
    <row r="25" spans="1:12" x14ac:dyDescent="0.25">
      <c r="A25" s="7">
        <v>44631</v>
      </c>
      <c r="B25" t="s">
        <v>17</v>
      </c>
      <c r="C25" s="6">
        <v>2420</v>
      </c>
      <c r="D25" t="s">
        <v>31</v>
      </c>
      <c r="E25" s="1">
        <v>0.60416666666666663</v>
      </c>
      <c r="F25" s="1">
        <v>0.64583333333333337</v>
      </c>
      <c r="G25" s="9">
        <f t="shared" si="5"/>
        <v>44627</v>
      </c>
      <c r="H25" s="11">
        <f t="shared" si="3"/>
        <v>1</v>
      </c>
      <c r="I25" s="10">
        <f t="shared" si="0"/>
        <v>5.8</v>
      </c>
      <c r="J25" s="10">
        <f t="shared" si="1"/>
        <v>7.2</v>
      </c>
      <c r="K25" s="10">
        <f t="shared" si="2"/>
        <v>49.3</v>
      </c>
      <c r="L25" s="10">
        <f t="shared" si="6"/>
        <v>49.3</v>
      </c>
    </row>
    <row r="26" spans="1:12" x14ac:dyDescent="0.25">
      <c r="A26" s="7">
        <v>44631</v>
      </c>
      <c r="B26" t="s">
        <v>17</v>
      </c>
      <c r="C26" s="6">
        <v>2420</v>
      </c>
      <c r="D26" t="s">
        <v>32</v>
      </c>
      <c r="E26" s="1">
        <v>0.64583333333333337</v>
      </c>
      <c r="F26" s="1">
        <v>0.69027777777777777</v>
      </c>
      <c r="G26" s="9">
        <f t="shared" si="5"/>
        <v>44627</v>
      </c>
      <c r="H26" s="11">
        <f t="shared" si="3"/>
        <v>1.1000000000000001</v>
      </c>
      <c r="I26" s="10">
        <f t="shared" si="0"/>
        <v>6.9</v>
      </c>
      <c r="J26" s="10">
        <f t="shared" si="1"/>
        <v>7.2</v>
      </c>
      <c r="K26" s="10">
        <f t="shared" si="2"/>
        <v>50.4</v>
      </c>
      <c r="L26" s="10">
        <f t="shared" si="6"/>
        <v>50.4</v>
      </c>
    </row>
    <row r="27" spans="1:12" x14ac:dyDescent="0.25">
      <c r="A27" s="7">
        <v>44631</v>
      </c>
      <c r="B27" t="s">
        <v>17</v>
      </c>
      <c r="C27" s="6">
        <v>2420</v>
      </c>
      <c r="D27" t="s">
        <v>33</v>
      </c>
      <c r="E27" s="1">
        <v>0.69027777777777777</v>
      </c>
      <c r="F27" s="1">
        <v>0.76527777777777783</v>
      </c>
      <c r="G27" s="9">
        <f t="shared" si="5"/>
        <v>44627</v>
      </c>
      <c r="H27" s="11">
        <f t="shared" si="3"/>
        <v>1.8</v>
      </c>
      <c r="I27" s="10">
        <f t="shared" si="0"/>
        <v>8.7000000000000011</v>
      </c>
      <c r="J27" s="10">
        <f t="shared" si="1"/>
        <v>7.2</v>
      </c>
      <c r="K27" s="10">
        <f t="shared" si="2"/>
        <v>52.199999999999996</v>
      </c>
      <c r="L27" s="10">
        <f t="shared" si="6"/>
        <v>52.199999999999996</v>
      </c>
    </row>
    <row r="28" spans="1:12" x14ac:dyDescent="0.25">
      <c r="A28" s="7">
        <v>44634</v>
      </c>
      <c r="B28" t="s">
        <v>6</v>
      </c>
      <c r="C28" s="6" t="s">
        <v>416</v>
      </c>
      <c r="D28" t="s">
        <v>35</v>
      </c>
      <c r="E28" s="1">
        <v>0.35972222222222222</v>
      </c>
      <c r="F28" s="1">
        <v>0.45833333333333331</v>
      </c>
      <c r="G28" s="9">
        <f t="shared" si="5"/>
        <v>44634</v>
      </c>
      <c r="H28" s="11">
        <f t="shared" si="3"/>
        <v>2.4</v>
      </c>
      <c r="I28" s="10">
        <f t="shared" si="0"/>
        <v>2.4</v>
      </c>
      <c r="J28" s="10">
        <f t="shared" si="1"/>
        <v>7.2</v>
      </c>
      <c r="K28" s="10">
        <f t="shared" si="2"/>
        <v>2.4</v>
      </c>
      <c r="L28" s="10">
        <f t="shared" si="6"/>
        <v>54.6</v>
      </c>
    </row>
    <row r="29" spans="1:12" x14ac:dyDescent="0.25">
      <c r="A29" s="7">
        <v>44634</v>
      </c>
      <c r="B29" t="s">
        <v>17</v>
      </c>
      <c r="C29" s="6">
        <v>2420</v>
      </c>
      <c r="D29" t="s">
        <v>38</v>
      </c>
      <c r="E29" s="1">
        <v>0.45833333333333331</v>
      </c>
      <c r="F29" s="1">
        <v>0.58333333333333337</v>
      </c>
      <c r="G29" s="9">
        <f t="shared" si="5"/>
        <v>44634</v>
      </c>
      <c r="H29" s="11">
        <f t="shared" si="3"/>
        <v>3</v>
      </c>
      <c r="I29" s="10">
        <f t="shared" si="0"/>
        <v>5.4</v>
      </c>
      <c r="J29" s="10">
        <f t="shared" si="1"/>
        <v>7.2</v>
      </c>
      <c r="K29" s="10">
        <f t="shared" si="2"/>
        <v>5.4</v>
      </c>
      <c r="L29" s="10">
        <f t="shared" si="6"/>
        <v>57.6</v>
      </c>
    </row>
    <row r="30" spans="1:12" x14ac:dyDescent="0.25">
      <c r="A30" s="7">
        <v>44634</v>
      </c>
      <c r="B30" t="s">
        <v>6</v>
      </c>
      <c r="C30" s="6" t="s">
        <v>416</v>
      </c>
      <c r="D30" t="s">
        <v>39</v>
      </c>
      <c r="E30" s="1">
        <v>0.58333333333333337</v>
      </c>
      <c r="F30" s="1">
        <v>0.60416666666666663</v>
      </c>
      <c r="G30" s="9">
        <f t="shared" si="5"/>
        <v>44634</v>
      </c>
      <c r="H30" s="11">
        <f t="shared" si="3"/>
        <v>0.5</v>
      </c>
      <c r="I30" s="10">
        <f t="shared" si="0"/>
        <v>5.9</v>
      </c>
      <c r="J30" s="10">
        <f t="shared" si="1"/>
        <v>7.2</v>
      </c>
      <c r="K30" s="10">
        <f t="shared" si="2"/>
        <v>5.9</v>
      </c>
      <c r="L30" s="10">
        <f t="shared" si="6"/>
        <v>58.1</v>
      </c>
    </row>
    <row r="31" spans="1:12" x14ac:dyDescent="0.25">
      <c r="A31" s="7">
        <v>44634</v>
      </c>
      <c r="B31" t="s">
        <v>17</v>
      </c>
      <c r="C31" s="6">
        <v>2420</v>
      </c>
      <c r="D31" t="s">
        <v>40</v>
      </c>
      <c r="E31" s="1">
        <v>0.60416666666666663</v>
      </c>
      <c r="F31" s="1">
        <v>0.64583333333333337</v>
      </c>
      <c r="G31" s="9">
        <f t="shared" si="5"/>
        <v>44634</v>
      </c>
      <c r="H31" s="11">
        <f t="shared" si="3"/>
        <v>1</v>
      </c>
      <c r="I31" s="10">
        <f t="shared" si="0"/>
        <v>6.9</v>
      </c>
      <c r="J31" s="10">
        <f t="shared" si="1"/>
        <v>7.2</v>
      </c>
      <c r="K31" s="10">
        <f t="shared" si="2"/>
        <v>6.9</v>
      </c>
      <c r="L31" s="10">
        <f t="shared" si="6"/>
        <v>59.1</v>
      </c>
    </row>
    <row r="32" spans="1:12" x14ac:dyDescent="0.25">
      <c r="A32" s="7">
        <v>44634</v>
      </c>
      <c r="B32" t="s">
        <v>6</v>
      </c>
      <c r="C32" s="6" t="s">
        <v>416</v>
      </c>
      <c r="D32" t="s">
        <v>41</v>
      </c>
      <c r="E32" s="1">
        <v>0.64583333333333337</v>
      </c>
      <c r="F32" s="1">
        <v>0.68472222222222223</v>
      </c>
      <c r="G32" s="9">
        <f t="shared" si="5"/>
        <v>44634</v>
      </c>
      <c r="H32" s="11">
        <f t="shared" si="3"/>
        <v>0.9</v>
      </c>
      <c r="I32" s="10">
        <f t="shared" si="0"/>
        <v>7.8000000000000007</v>
      </c>
      <c r="J32" s="10">
        <f t="shared" si="1"/>
        <v>7.2</v>
      </c>
      <c r="K32" s="10">
        <f t="shared" si="2"/>
        <v>7.8000000000000007</v>
      </c>
      <c r="L32" s="10">
        <f t="shared" si="6"/>
        <v>60</v>
      </c>
    </row>
    <row r="33" spans="1:12" x14ac:dyDescent="0.25">
      <c r="A33" s="7">
        <v>44635</v>
      </c>
      <c r="B33" t="s">
        <v>6</v>
      </c>
      <c r="C33" s="6" t="s">
        <v>416</v>
      </c>
      <c r="D33" t="s">
        <v>11</v>
      </c>
      <c r="E33" s="1">
        <v>0.31180555555555556</v>
      </c>
      <c r="F33" s="1">
        <v>0.43402777777777773</v>
      </c>
      <c r="G33" s="9">
        <f t="shared" si="5"/>
        <v>44634</v>
      </c>
      <c r="H33" s="11">
        <f t="shared" si="3"/>
        <v>2.9</v>
      </c>
      <c r="I33" s="10">
        <f t="shared" si="0"/>
        <v>2.9</v>
      </c>
      <c r="J33" s="10">
        <f t="shared" si="1"/>
        <v>7.2</v>
      </c>
      <c r="K33" s="10">
        <f t="shared" si="2"/>
        <v>10.7</v>
      </c>
      <c r="L33" s="10">
        <f t="shared" si="6"/>
        <v>62.9</v>
      </c>
    </row>
    <row r="34" spans="1:12" x14ac:dyDescent="0.25">
      <c r="A34" s="7">
        <v>44635</v>
      </c>
      <c r="B34" t="s">
        <v>6</v>
      </c>
      <c r="C34" s="6" t="s">
        <v>416</v>
      </c>
      <c r="D34" t="s">
        <v>42</v>
      </c>
      <c r="E34" s="1">
        <v>0.54027777777777775</v>
      </c>
      <c r="F34" s="1">
        <v>0.68194444444444446</v>
      </c>
      <c r="G34" s="9">
        <f t="shared" si="5"/>
        <v>44634</v>
      </c>
      <c r="H34" s="11">
        <f t="shared" si="3"/>
        <v>3.4</v>
      </c>
      <c r="I34" s="10">
        <f t="shared" si="0"/>
        <v>6.3</v>
      </c>
      <c r="J34" s="10">
        <f t="shared" si="1"/>
        <v>7.2</v>
      </c>
      <c r="K34" s="10">
        <f t="shared" si="2"/>
        <v>14.1</v>
      </c>
      <c r="L34" s="10">
        <f t="shared" si="6"/>
        <v>66.3</v>
      </c>
    </row>
    <row r="35" spans="1:12" x14ac:dyDescent="0.25">
      <c r="A35" s="7">
        <v>44636</v>
      </c>
      <c r="B35" t="s">
        <v>6</v>
      </c>
      <c r="C35" s="6" t="s">
        <v>416</v>
      </c>
      <c r="D35" t="s">
        <v>43</v>
      </c>
      <c r="E35" s="1">
        <v>0.36527777777777781</v>
      </c>
      <c r="F35" s="1">
        <v>0.50555555555555554</v>
      </c>
      <c r="G35" s="9">
        <f t="shared" si="5"/>
        <v>44634</v>
      </c>
      <c r="H35" s="11">
        <f t="shared" si="3"/>
        <v>3.4</v>
      </c>
      <c r="I35" s="10">
        <f t="shared" si="0"/>
        <v>3.4</v>
      </c>
      <c r="J35" s="10">
        <f t="shared" si="1"/>
        <v>7.2</v>
      </c>
      <c r="K35" s="10">
        <f t="shared" si="2"/>
        <v>17.5</v>
      </c>
      <c r="L35" s="10">
        <f t="shared" si="6"/>
        <v>69.7</v>
      </c>
    </row>
    <row r="36" spans="1:12" x14ac:dyDescent="0.25">
      <c r="A36" s="7">
        <v>44636</v>
      </c>
      <c r="B36" t="s">
        <v>6</v>
      </c>
      <c r="C36" s="6" t="s">
        <v>416</v>
      </c>
      <c r="D36" t="s">
        <v>43</v>
      </c>
      <c r="E36" s="1">
        <v>0.52152777777777781</v>
      </c>
      <c r="F36" s="1">
        <v>0.67499999999999993</v>
      </c>
      <c r="G36" s="9">
        <f t="shared" si="5"/>
        <v>44634</v>
      </c>
      <c r="H36" s="11">
        <f t="shared" si="3"/>
        <v>3.7</v>
      </c>
      <c r="I36" s="10">
        <f t="shared" si="0"/>
        <v>7.1</v>
      </c>
      <c r="J36" s="10">
        <f t="shared" si="1"/>
        <v>7.2</v>
      </c>
      <c r="K36" s="10">
        <f t="shared" si="2"/>
        <v>21.2</v>
      </c>
      <c r="L36" s="10">
        <f t="shared" si="6"/>
        <v>73.400000000000006</v>
      </c>
    </row>
    <row r="37" spans="1:12" x14ac:dyDescent="0.25">
      <c r="A37" s="7">
        <v>44637</v>
      </c>
      <c r="B37" t="s">
        <v>6</v>
      </c>
      <c r="C37" s="6" t="s">
        <v>416</v>
      </c>
      <c r="D37" t="s">
        <v>43</v>
      </c>
      <c r="E37" s="1">
        <v>0.3347222222222222</v>
      </c>
      <c r="F37" s="1">
        <v>0.35416666666666669</v>
      </c>
      <c r="G37" s="9">
        <f t="shared" si="5"/>
        <v>44634</v>
      </c>
      <c r="H37" s="11">
        <f t="shared" si="3"/>
        <v>0.5</v>
      </c>
      <c r="I37" s="10">
        <f t="shared" si="0"/>
        <v>0.5</v>
      </c>
      <c r="J37" s="10">
        <f t="shared" si="1"/>
        <v>7.2</v>
      </c>
      <c r="K37" s="10">
        <f t="shared" si="2"/>
        <v>21.7</v>
      </c>
      <c r="L37" s="10">
        <f t="shared" si="6"/>
        <v>73.900000000000006</v>
      </c>
    </row>
    <row r="38" spans="1:12" x14ac:dyDescent="0.25">
      <c r="A38" s="7">
        <v>44637</v>
      </c>
      <c r="B38" t="s">
        <v>19</v>
      </c>
      <c r="C38" s="6">
        <v>2675</v>
      </c>
      <c r="D38" s="2" t="s">
        <v>44</v>
      </c>
      <c r="E38" s="1">
        <v>0.35416666666666669</v>
      </c>
      <c r="F38" s="1">
        <v>0.3923611111111111</v>
      </c>
      <c r="G38" s="9">
        <f t="shared" si="5"/>
        <v>44634</v>
      </c>
      <c r="H38" s="11">
        <f t="shared" si="3"/>
        <v>0.9</v>
      </c>
      <c r="I38" s="10">
        <f t="shared" si="0"/>
        <v>1.4</v>
      </c>
      <c r="J38" s="10">
        <f t="shared" si="1"/>
        <v>7.2</v>
      </c>
      <c r="K38" s="10">
        <f t="shared" si="2"/>
        <v>22.599999999999998</v>
      </c>
      <c r="L38" s="10">
        <f t="shared" si="6"/>
        <v>74.800000000000011</v>
      </c>
    </row>
    <row r="39" spans="1:12" x14ac:dyDescent="0.25">
      <c r="A39" s="7">
        <v>44637</v>
      </c>
      <c r="B39" t="s">
        <v>17</v>
      </c>
      <c r="C39" s="6">
        <v>2420</v>
      </c>
      <c r="D39" t="s">
        <v>40</v>
      </c>
      <c r="E39" s="1">
        <v>0.3923611111111111</v>
      </c>
      <c r="F39" s="1">
        <v>0.4375</v>
      </c>
      <c r="G39" s="9">
        <f t="shared" si="5"/>
        <v>44634</v>
      </c>
      <c r="H39" s="11">
        <f t="shared" si="3"/>
        <v>1.1000000000000001</v>
      </c>
      <c r="I39" s="10">
        <f t="shared" si="0"/>
        <v>2.5</v>
      </c>
      <c r="J39" s="10">
        <f t="shared" si="1"/>
        <v>7.2</v>
      </c>
      <c r="K39" s="10">
        <f t="shared" si="2"/>
        <v>23.700000000000003</v>
      </c>
      <c r="L39" s="10">
        <f t="shared" si="6"/>
        <v>75.899999999999991</v>
      </c>
    </row>
    <row r="40" spans="1:12" x14ac:dyDescent="0.25">
      <c r="A40" s="7">
        <v>44637</v>
      </c>
      <c r="B40" t="s">
        <v>17</v>
      </c>
      <c r="C40" s="6">
        <v>2420</v>
      </c>
      <c r="D40" t="s">
        <v>45</v>
      </c>
      <c r="E40" s="1">
        <v>0.4375</v>
      </c>
      <c r="F40" s="1">
        <v>0.48541666666666666</v>
      </c>
      <c r="G40" s="9">
        <f t="shared" si="5"/>
        <v>44634</v>
      </c>
      <c r="H40" s="11">
        <f t="shared" si="3"/>
        <v>1.2</v>
      </c>
      <c r="I40" s="10">
        <f t="shared" si="0"/>
        <v>3.7</v>
      </c>
      <c r="J40" s="10">
        <f t="shared" si="1"/>
        <v>7.2</v>
      </c>
      <c r="K40" s="10">
        <f t="shared" si="2"/>
        <v>24.9</v>
      </c>
      <c r="L40" s="10">
        <f t="shared" si="6"/>
        <v>77.100000000000009</v>
      </c>
    </row>
    <row r="41" spans="1:12" x14ac:dyDescent="0.25">
      <c r="A41" s="7">
        <v>44637</v>
      </c>
      <c r="B41" t="s">
        <v>17</v>
      </c>
      <c r="C41" s="6">
        <v>2420</v>
      </c>
      <c r="D41" t="s">
        <v>46</v>
      </c>
      <c r="E41" s="1">
        <v>0.50763888888888886</v>
      </c>
      <c r="F41" s="1">
        <v>0.63750000000000007</v>
      </c>
      <c r="G41" s="9">
        <f t="shared" si="5"/>
        <v>44634</v>
      </c>
      <c r="H41" s="11">
        <f t="shared" si="3"/>
        <v>3.1</v>
      </c>
      <c r="I41" s="10">
        <f t="shared" si="0"/>
        <v>6.8000000000000007</v>
      </c>
      <c r="J41" s="10">
        <f t="shared" si="1"/>
        <v>7.2</v>
      </c>
      <c r="K41" s="10">
        <f t="shared" si="2"/>
        <v>28</v>
      </c>
      <c r="L41" s="10">
        <f t="shared" si="6"/>
        <v>80.199999999999989</v>
      </c>
    </row>
    <row r="42" spans="1:12" x14ac:dyDescent="0.25">
      <c r="A42" s="7">
        <v>44638</v>
      </c>
      <c r="B42" t="s">
        <v>6</v>
      </c>
      <c r="C42" s="6" t="s">
        <v>416</v>
      </c>
      <c r="D42" t="s">
        <v>11</v>
      </c>
      <c r="E42" s="1">
        <v>0.30624999999999997</v>
      </c>
      <c r="F42" s="1">
        <v>0.43055555555555558</v>
      </c>
      <c r="G42" s="9">
        <f t="shared" si="5"/>
        <v>44634</v>
      </c>
      <c r="H42" s="11">
        <f t="shared" si="3"/>
        <v>3</v>
      </c>
      <c r="I42" s="10">
        <f t="shared" si="0"/>
        <v>3</v>
      </c>
      <c r="J42" s="10">
        <f t="shared" si="1"/>
        <v>7.2</v>
      </c>
      <c r="K42" s="10">
        <f t="shared" si="2"/>
        <v>31</v>
      </c>
      <c r="L42" s="10">
        <f t="shared" si="6"/>
        <v>83.2</v>
      </c>
    </row>
    <row r="43" spans="1:12" x14ac:dyDescent="0.25">
      <c r="A43" s="7">
        <v>44638</v>
      </c>
      <c r="B43" t="s">
        <v>19</v>
      </c>
      <c r="C43" s="6">
        <v>2675</v>
      </c>
      <c r="D43" s="2" t="s">
        <v>48</v>
      </c>
      <c r="E43" s="1">
        <v>0.43055555555555558</v>
      </c>
      <c r="F43" s="1">
        <v>0.5180555555555556</v>
      </c>
      <c r="G43" s="9">
        <f t="shared" si="5"/>
        <v>44634</v>
      </c>
      <c r="H43" s="11">
        <f t="shared" si="3"/>
        <v>2.1</v>
      </c>
      <c r="I43" s="10">
        <f t="shared" si="0"/>
        <v>5.0999999999999996</v>
      </c>
      <c r="J43" s="10">
        <f t="shared" si="1"/>
        <v>7.2</v>
      </c>
      <c r="K43" s="10">
        <f t="shared" si="2"/>
        <v>33.1</v>
      </c>
      <c r="L43" s="10">
        <f t="shared" si="6"/>
        <v>85.3</v>
      </c>
    </row>
    <row r="44" spans="1:12" ht="13.8" x14ac:dyDescent="0.25">
      <c r="A44" s="8">
        <v>44638</v>
      </c>
      <c r="B44" t="s">
        <v>19</v>
      </c>
      <c r="C44" s="6">
        <v>2675</v>
      </c>
      <c r="D44" s="2" t="s">
        <v>49</v>
      </c>
      <c r="E44" s="1">
        <v>0.54513888888888895</v>
      </c>
      <c r="F44" s="1">
        <v>0.61875000000000002</v>
      </c>
      <c r="G44" s="9">
        <f t="shared" si="5"/>
        <v>44634</v>
      </c>
      <c r="H44" s="11">
        <f t="shared" si="3"/>
        <v>1.8</v>
      </c>
      <c r="I44" s="10">
        <f t="shared" si="0"/>
        <v>6.8999999999999995</v>
      </c>
      <c r="J44" s="10">
        <f t="shared" si="1"/>
        <v>7.2</v>
      </c>
      <c r="K44" s="10">
        <f t="shared" si="2"/>
        <v>34.9</v>
      </c>
      <c r="L44" s="10">
        <f t="shared" si="6"/>
        <v>87.1</v>
      </c>
    </row>
    <row r="45" spans="1:12" ht="13.8" x14ac:dyDescent="0.25">
      <c r="A45" s="8">
        <v>44638</v>
      </c>
      <c r="B45" t="s">
        <v>19</v>
      </c>
      <c r="C45" s="6">
        <v>2675</v>
      </c>
      <c r="D45" s="2" t="s">
        <v>47</v>
      </c>
      <c r="E45" s="1">
        <v>0.61875000000000002</v>
      </c>
      <c r="F45" s="1">
        <v>0.64652777777777781</v>
      </c>
      <c r="G45" s="9">
        <f t="shared" si="5"/>
        <v>44634</v>
      </c>
      <c r="H45" s="11">
        <f t="shared" si="3"/>
        <v>0.7</v>
      </c>
      <c r="I45" s="10">
        <f t="shared" si="0"/>
        <v>7.6000000000000005</v>
      </c>
      <c r="J45" s="10">
        <f t="shared" si="1"/>
        <v>7.2</v>
      </c>
      <c r="K45" s="10">
        <f t="shared" si="2"/>
        <v>35.6</v>
      </c>
      <c r="L45" s="10">
        <f t="shared" si="6"/>
        <v>87.8</v>
      </c>
    </row>
    <row r="46" spans="1:12" x14ac:dyDescent="0.25">
      <c r="A46" s="7">
        <v>44641</v>
      </c>
      <c r="B46" t="s">
        <v>6</v>
      </c>
      <c r="C46" s="6" t="s">
        <v>416</v>
      </c>
      <c r="D46" t="s">
        <v>35</v>
      </c>
      <c r="E46" s="1">
        <v>0.36805555555555558</v>
      </c>
      <c r="F46" s="1">
        <v>0.46666666666666662</v>
      </c>
      <c r="G46" s="9">
        <f t="shared" si="5"/>
        <v>44641</v>
      </c>
      <c r="H46" s="11">
        <f t="shared" si="3"/>
        <v>2.4</v>
      </c>
      <c r="I46" s="10">
        <f t="shared" si="0"/>
        <v>2.4</v>
      </c>
      <c r="J46" s="10">
        <f t="shared" si="1"/>
        <v>7.2</v>
      </c>
      <c r="K46" s="10">
        <f t="shared" si="2"/>
        <v>2.4</v>
      </c>
      <c r="L46" s="10">
        <f t="shared" si="6"/>
        <v>90.2</v>
      </c>
    </row>
    <row r="47" spans="1:12" x14ac:dyDescent="0.25">
      <c r="A47" s="7">
        <v>44641</v>
      </c>
      <c r="B47" t="s">
        <v>17</v>
      </c>
      <c r="C47" s="6">
        <v>2420</v>
      </c>
      <c r="D47" t="s">
        <v>50</v>
      </c>
      <c r="E47" s="1">
        <v>0.46666666666666662</v>
      </c>
      <c r="F47" s="1">
        <v>0.4770833333333333</v>
      </c>
      <c r="G47" s="9">
        <f t="shared" si="5"/>
        <v>44641</v>
      </c>
      <c r="H47" s="11">
        <f t="shared" si="3"/>
        <v>0.3</v>
      </c>
      <c r="I47" s="10">
        <f t="shared" si="0"/>
        <v>2.6999999999999997</v>
      </c>
      <c r="J47" s="10">
        <f t="shared" si="1"/>
        <v>7.2</v>
      </c>
      <c r="K47" s="10">
        <f t="shared" si="2"/>
        <v>2.6999999999999997</v>
      </c>
      <c r="L47" s="10">
        <f t="shared" si="6"/>
        <v>90.5</v>
      </c>
    </row>
    <row r="48" spans="1:12" x14ac:dyDescent="0.25">
      <c r="A48" s="7">
        <v>44641</v>
      </c>
      <c r="B48" t="s">
        <v>17</v>
      </c>
      <c r="C48" s="6">
        <v>2420</v>
      </c>
      <c r="D48" t="s">
        <v>50</v>
      </c>
      <c r="E48" s="1">
        <v>0.5</v>
      </c>
      <c r="F48" s="1">
        <v>0.60416666666666663</v>
      </c>
      <c r="G48" s="9">
        <f t="shared" si="5"/>
        <v>44641</v>
      </c>
      <c r="H48" s="11">
        <f t="shared" si="3"/>
        <v>2.5</v>
      </c>
      <c r="I48" s="10">
        <f t="shared" si="0"/>
        <v>5.2</v>
      </c>
      <c r="J48" s="10">
        <f t="shared" si="1"/>
        <v>7.2</v>
      </c>
      <c r="K48" s="10">
        <f t="shared" si="2"/>
        <v>5.2</v>
      </c>
      <c r="L48" s="10">
        <f t="shared" si="6"/>
        <v>93</v>
      </c>
    </row>
    <row r="49" spans="1:12" x14ac:dyDescent="0.25">
      <c r="A49" s="7">
        <v>44641</v>
      </c>
      <c r="B49" t="s">
        <v>6</v>
      </c>
      <c r="C49" s="6" t="s">
        <v>416</v>
      </c>
      <c r="D49" t="s">
        <v>51</v>
      </c>
      <c r="E49" s="1">
        <v>0.60416666666666663</v>
      </c>
      <c r="F49" s="1">
        <v>0.66736111111111107</v>
      </c>
      <c r="G49" s="9">
        <f t="shared" si="5"/>
        <v>44641</v>
      </c>
      <c r="H49" s="11">
        <f t="shared" si="3"/>
        <v>1.5</v>
      </c>
      <c r="I49" s="10">
        <f t="shared" si="0"/>
        <v>6.7</v>
      </c>
      <c r="J49" s="10">
        <f t="shared" si="1"/>
        <v>7.2</v>
      </c>
      <c r="K49" s="10">
        <f t="shared" si="2"/>
        <v>6.7</v>
      </c>
      <c r="L49" s="10">
        <f t="shared" si="6"/>
        <v>94.5</v>
      </c>
    </row>
    <row r="50" spans="1:12" x14ac:dyDescent="0.25">
      <c r="A50" s="7">
        <v>44642</v>
      </c>
      <c r="B50" t="s">
        <v>6</v>
      </c>
      <c r="C50" s="6" t="s">
        <v>416</v>
      </c>
      <c r="D50" t="s">
        <v>11</v>
      </c>
      <c r="E50" s="1">
        <v>0.32500000000000001</v>
      </c>
      <c r="F50" s="1">
        <v>0.4291666666666667</v>
      </c>
      <c r="G50" s="9">
        <f t="shared" si="5"/>
        <v>44641</v>
      </c>
      <c r="H50" s="11">
        <f t="shared" si="3"/>
        <v>2.5</v>
      </c>
      <c r="I50" s="10">
        <f t="shared" si="0"/>
        <v>2.5</v>
      </c>
      <c r="J50" s="10">
        <f t="shared" si="1"/>
        <v>7.2</v>
      </c>
      <c r="K50" s="10">
        <f t="shared" si="2"/>
        <v>9.1999999999999993</v>
      </c>
      <c r="L50" s="10">
        <f t="shared" si="6"/>
        <v>97</v>
      </c>
    </row>
    <row r="51" spans="1:12" x14ac:dyDescent="0.25">
      <c r="A51" s="7">
        <v>44642</v>
      </c>
      <c r="B51" t="s">
        <v>17</v>
      </c>
      <c r="C51" s="6">
        <v>2420</v>
      </c>
      <c r="D51" t="s">
        <v>52</v>
      </c>
      <c r="E51" s="1">
        <v>0.4291666666666667</v>
      </c>
      <c r="F51" s="1">
        <v>0.4694444444444445</v>
      </c>
      <c r="G51" s="9">
        <f t="shared" si="5"/>
        <v>44641</v>
      </c>
      <c r="H51" s="11">
        <f t="shared" si="3"/>
        <v>1</v>
      </c>
      <c r="I51" s="10">
        <f t="shared" si="0"/>
        <v>3.5</v>
      </c>
      <c r="J51" s="10">
        <f t="shared" si="1"/>
        <v>7.2</v>
      </c>
      <c r="K51" s="10">
        <f t="shared" si="2"/>
        <v>10.199999999999999</v>
      </c>
      <c r="L51" s="10">
        <f t="shared" si="6"/>
        <v>98</v>
      </c>
    </row>
    <row r="52" spans="1:12" x14ac:dyDescent="0.25">
      <c r="A52" s="7">
        <v>44642</v>
      </c>
      <c r="B52" t="s">
        <v>17</v>
      </c>
      <c r="C52" s="6">
        <v>2420</v>
      </c>
      <c r="D52" t="s">
        <v>52</v>
      </c>
      <c r="E52" s="1">
        <v>0.4916666666666667</v>
      </c>
      <c r="F52" s="1">
        <v>0.52430555555555558</v>
      </c>
      <c r="G52" s="9">
        <f t="shared" si="5"/>
        <v>44641</v>
      </c>
      <c r="H52" s="11">
        <f t="shared" si="3"/>
        <v>0.8</v>
      </c>
      <c r="I52" s="10">
        <f t="shared" si="0"/>
        <v>4.3</v>
      </c>
      <c r="J52" s="10">
        <f t="shared" si="1"/>
        <v>7.2</v>
      </c>
      <c r="K52" s="10">
        <f t="shared" si="2"/>
        <v>11</v>
      </c>
      <c r="L52" s="10">
        <f t="shared" si="6"/>
        <v>98.8</v>
      </c>
    </row>
    <row r="53" spans="1:12" x14ac:dyDescent="0.25">
      <c r="A53" s="7">
        <v>44643</v>
      </c>
      <c r="B53" t="s">
        <v>17</v>
      </c>
      <c r="C53" s="6">
        <v>2420</v>
      </c>
      <c r="D53" t="s">
        <v>53</v>
      </c>
      <c r="E53" s="1">
        <v>0.33680555555555558</v>
      </c>
      <c r="F53" s="1">
        <v>0.51250000000000007</v>
      </c>
      <c r="G53" s="9">
        <f t="shared" si="5"/>
        <v>44641</v>
      </c>
      <c r="H53" s="11">
        <f t="shared" si="3"/>
        <v>4.2</v>
      </c>
      <c r="I53" s="10">
        <f t="shared" si="0"/>
        <v>4.2</v>
      </c>
      <c r="J53" s="10">
        <f t="shared" si="1"/>
        <v>7.2</v>
      </c>
      <c r="K53" s="10">
        <f t="shared" si="2"/>
        <v>15.2</v>
      </c>
      <c r="L53" s="10">
        <f t="shared" si="6"/>
        <v>103</v>
      </c>
    </row>
    <row r="54" spans="1:12" x14ac:dyDescent="0.25">
      <c r="A54" s="7">
        <v>44643</v>
      </c>
      <c r="B54" t="s">
        <v>17</v>
      </c>
      <c r="C54" s="6">
        <v>2420</v>
      </c>
      <c r="D54" t="s">
        <v>54</v>
      </c>
      <c r="E54" s="1">
        <v>0.52430555555555558</v>
      </c>
      <c r="F54" s="1">
        <v>0.65347222222222223</v>
      </c>
      <c r="G54" s="9">
        <f t="shared" si="5"/>
        <v>44641</v>
      </c>
      <c r="H54" s="11">
        <f t="shared" si="3"/>
        <v>3.1</v>
      </c>
      <c r="I54" s="10">
        <f t="shared" si="0"/>
        <v>7.3000000000000007</v>
      </c>
      <c r="J54" s="10">
        <f t="shared" si="1"/>
        <v>7.2</v>
      </c>
      <c r="K54" s="10">
        <f t="shared" si="2"/>
        <v>18.3</v>
      </c>
      <c r="L54" s="10">
        <f t="shared" si="6"/>
        <v>106.1</v>
      </c>
    </row>
    <row r="55" spans="1:12" x14ac:dyDescent="0.25">
      <c r="A55" s="7">
        <v>44644</v>
      </c>
      <c r="B55" t="s">
        <v>17</v>
      </c>
      <c r="C55" s="6">
        <v>2420</v>
      </c>
      <c r="D55" t="s">
        <v>54</v>
      </c>
      <c r="E55" s="1">
        <v>0.3125</v>
      </c>
      <c r="F55" s="1">
        <v>0.4909722222222222</v>
      </c>
      <c r="G55" s="9">
        <f t="shared" si="5"/>
        <v>44641</v>
      </c>
      <c r="H55" s="11">
        <f t="shared" si="3"/>
        <v>4.3</v>
      </c>
      <c r="I55" s="10">
        <f t="shared" si="0"/>
        <v>4.3</v>
      </c>
      <c r="J55" s="10">
        <f t="shared" si="1"/>
        <v>7.2</v>
      </c>
      <c r="K55" s="10">
        <f t="shared" si="2"/>
        <v>22.6</v>
      </c>
      <c r="L55" s="10">
        <f t="shared" si="6"/>
        <v>110.39999999999999</v>
      </c>
    </row>
    <row r="56" spans="1:12" x14ac:dyDescent="0.25">
      <c r="A56" s="7">
        <v>44644</v>
      </c>
      <c r="B56" t="s">
        <v>17</v>
      </c>
      <c r="C56" s="6">
        <v>2420</v>
      </c>
      <c r="D56" t="s">
        <v>54</v>
      </c>
      <c r="E56" s="1">
        <v>0.50208333333333333</v>
      </c>
      <c r="F56" s="1">
        <v>0.52083333333333337</v>
      </c>
      <c r="G56" s="9">
        <f t="shared" si="5"/>
        <v>44641</v>
      </c>
      <c r="H56" s="11">
        <f t="shared" si="3"/>
        <v>0.5</v>
      </c>
      <c r="I56" s="10">
        <f t="shared" si="0"/>
        <v>4.8</v>
      </c>
      <c r="J56" s="10">
        <f t="shared" si="1"/>
        <v>7.2</v>
      </c>
      <c r="K56" s="10">
        <f t="shared" si="2"/>
        <v>23.1</v>
      </c>
      <c r="L56" s="10">
        <f t="shared" si="6"/>
        <v>110.9</v>
      </c>
    </row>
    <row r="57" spans="1:12" x14ac:dyDescent="0.25">
      <c r="A57" s="7">
        <v>44644</v>
      </c>
      <c r="B57" t="s">
        <v>19</v>
      </c>
      <c r="C57" s="6">
        <v>2675</v>
      </c>
      <c r="D57" t="s">
        <v>44</v>
      </c>
      <c r="E57" s="1">
        <v>0.52083333333333337</v>
      </c>
      <c r="F57" s="1">
        <v>0.54166666666666663</v>
      </c>
      <c r="G57" s="9">
        <f t="shared" si="5"/>
        <v>44641</v>
      </c>
      <c r="H57" s="11">
        <f t="shared" si="3"/>
        <v>0.5</v>
      </c>
      <c r="I57" s="10">
        <f t="shared" si="0"/>
        <v>5.3</v>
      </c>
      <c r="J57" s="10">
        <f t="shared" si="1"/>
        <v>7.2</v>
      </c>
      <c r="K57" s="10">
        <f t="shared" si="2"/>
        <v>23.6</v>
      </c>
      <c r="L57" s="10">
        <f t="shared" si="6"/>
        <v>111.4</v>
      </c>
    </row>
    <row r="58" spans="1:12" x14ac:dyDescent="0.25">
      <c r="A58" s="7">
        <v>44644</v>
      </c>
      <c r="B58" t="s">
        <v>17</v>
      </c>
      <c r="C58" s="6">
        <v>2420</v>
      </c>
      <c r="D58" t="s">
        <v>54</v>
      </c>
      <c r="E58" s="1">
        <v>0.54166666666666663</v>
      </c>
      <c r="F58" s="1">
        <v>0.60416666666666663</v>
      </c>
      <c r="G58" s="9">
        <f t="shared" si="5"/>
        <v>44641</v>
      </c>
      <c r="H58" s="11">
        <f t="shared" si="3"/>
        <v>1.5</v>
      </c>
      <c r="I58" s="10">
        <f t="shared" si="0"/>
        <v>6.8</v>
      </c>
      <c r="J58" s="10">
        <f t="shared" si="1"/>
        <v>7.2</v>
      </c>
      <c r="K58" s="10">
        <f t="shared" si="2"/>
        <v>25.1</v>
      </c>
      <c r="L58" s="10">
        <f t="shared" si="6"/>
        <v>112.9</v>
      </c>
    </row>
    <row r="59" spans="1:12" x14ac:dyDescent="0.25">
      <c r="A59" s="7">
        <v>44644</v>
      </c>
      <c r="B59" t="s">
        <v>6</v>
      </c>
      <c r="C59" s="6" t="s">
        <v>416</v>
      </c>
      <c r="D59" t="s">
        <v>51</v>
      </c>
      <c r="E59" s="1">
        <v>0.60416666666666663</v>
      </c>
      <c r="F59" s="1">
        <v>0.63680555555555551</v>
      </c>
      <c r="G59" s="9">
        <f t="shared" si="5"/>
        <v>44641</v>
      </c>
      <c r="H59" s="11">
        <f t="shared" si="3"/>
        <v>0.8</v>
      </c>
      <c r="I59" s="10">
        <f t="shared" si="0"/>
        <v>7.6</v>
      </c>
      <c r="J59" s="10">
        <f t="shared" si="1"/>
        <v>7.2</v>
      </c>
      <c r="K59" s="10">
        <f t="shared" si="2"/>
        <v>25.900000000000002</v>
      </c>
      <c r="L59" s="10">
        <f t="shared" si="6"/>
        <v>113.7</v>
      </c>
    </row>
    <row r="60" spans="1:12" x14ac:dyDescent="0.25">
      <c r="A60" s="7">
        <v>44645</v>
      </c>
      <c r="B60" t="s">
        <v>6</v>
      </c>
      <c r="C60" s="6" t="s">
        <v>416</v>
      </c>
      <c r="D60" t="s">
        <v>11</v>
      </c>
      <c r="E60" s="1">
        <v>0.31527777777777777</v>
      </c>
      <c r="F60" s="1">
        <v>0.43333333333333335</v>
      </c>
      <c r="G60" s="9">
        <f t="shared" si="5"/>
        <v>44641</v>
      </c>
      <c r="H60" s="11">
        <f t="shared" si="3"/>
        <v>2.8</v>
      </c>
      <c r="I60" s="10">
        <f t="shared" si="0"/>
        <v>2.8</v>
      </c>
      <c r="J60" s="10">
        <f t="shared" si="1"/>
        <v>7.2</v>
      </c>
      <c r="K60" s="10">
        <f t="shared" si="2"/>
        <v>28.7</v>
      </c>
      <c r="L60" s="10">
        <f t="shared" si="6"/>
        <v>116.5</v>
      </c>
    </row>
    <row r="61" spans="1:12" x14ac:dyDescent="0.25">
      <c r="A61" s="7">
        <v>44645</v>
      </c>
      <c r="B61" t="s">
        <v>17</v>
      </c>
      <c r="C61" s="6">
        <v>2420</v>
      </c>
      <c r="D61" t="s">
        <v>54</v>
      </c>
      <c r="E61" s="1">
        <v>0.43333333333333335</v>
      </c>
      <c r="F61" s="1">
        <v>0.48402777777777778</v>
      </c>
      <c r="G61" s="9">
        <f t="shared" si="5"/>
        <v>44641</v>
      </c>
      <c r="H61" s="11">
        <f t="shared" si="3"/>
        <v>1.2</v>
      </c>
      <c r="I61" s="10">
        <f t="shared" si="0"/>
        <v>4</v>
      </c>
      <c r="J61" s="10">
        <f t="shared" si="1"/>
        <v>7.2</v>
      </c>
      <c r="K61" s="10">
        <f t="shared" si="2"/>
        <v>29.9</v>
      </c>
      <c r="L61" s="10">
        <f t="shared" si="6"/>
        <v>117.7</v>
      </c>
    </row>
    <row r="62" spans="1:12" x14ac:dyDescent="0.25">
      <c r="A62" s="7">
        <v>44645</v>
      </c>
      <c r="B62" t="s">
        <v>17</v>
      </c>
      <c r="C62" s="6">
        <v>2420</v>
      </c>
      <c r="D62" t="s">
        <v>54</v>
      </c>
      <c r="E62" s="1">
        <v>0.50208333333333333</v>
      </c>
      <c r="F62" s="1">
        <v>0.54166666666666663</v>
      </c>
      <c r="G62" s="9">
        <f t="shared" si="5"/>
        <v>44641</v>
      </c>
      <c r="H62" s="11">
        <f t="shared" si="3"/>
        <v>0.9</v>
      </c>
      <c r="I62" s="10">
        <f t="shared" si="0"/>
        <v>4.9000000000000004</v>
      </c>
      <c r="J62" s="10">
        <f t="shared" si="1"/>
        <v>7.2</v>
      </c>
      <c r="K62" s="10">
        <f t="shared" si="2"/>
        <v>30.799999999999997</v>
      </c>
      <c r="L62" s="10">
        <f t="shared" si="6"/>
        <v>118.60000000000001</v>
      </c>
    </row>
    <row r="63" spans="1:12" x14ac:dyDescent="0.25">
      <c r="A63" s="7">
        <v>44645</v>
      </c>
      <c r="B63" t="s">
        <v>17</v>
      </c>
      <c r="C63" s="6">
        <v>2420</v>
      </c>
      <c r="D63" s="2" t="s">
        <v>55</v>
      </c>
      <c r="E63" s="1">
        <v>0.54166666666666663</v>
      </c>
      <c r="F63" s="1">
        <v>0.59375</v>
      </c>
      <c r="G63" s="9">
        <f t="shared" si="5"/>
        <v>44641</v>
      </c>
      <c r="H63" s="11">
        <f t="shared" si="3"/>
        <v>1.3</v>
      </c>
      <c r="I63" s="10">
        <f t="shared" si="0"/>
        <v>6.2</v>
      </c>
      <c r="J63" s="10">
        <f t="shared" si="1"/>
        <v>7.2</v>
      </c>
      <c r="K63" s="10">
        <f t="shared" si="2"/>
        <v>32.1</v>
      </c>
      <c r="L63" s="10">
        <f t="shared" si="6"/>
        <v>119.89999999999999</v>
      </c>
    </row>
    <row r="64" spans="1:12" x14ac:dyDescent="0.25">
      <c r="A64" s="7">
        <v>44645</v>
      </c>
      <c r="B64" t="s">
        <v>6</v>
      </c>
      <c r="C64" s="6" t="s">
        <v>416</v>
      </c>
      <c r="D64" s="2" t="s">
        <v>56</v>
      </c>
      <c r="E64" s="1">
        <v>0.59375</v>
      </c>
      <c r="F64" s="1">
        <v>0.64583333333333337</v>
      </c>
      <c r="G64" s="9">
        <f t="shared" si="5"/>
        <v>44641</v>
      </c>
      <c r="H64" s="11">
        <f t="shared" si="3"/>
        <v>1.3</v>
      </c>
      <c r="I64" s="10">
        <f t="shared" si="0"/>
        <v>7.5</v>
      </c>
      <c r="J64" s="10">
        <f t="shared" si="1"/>
        <v>7.2</v>
      </c>
      <c r="K64" s="10">
        <f t="shared" si="2"/>
        <v>33.4</v>
      </c>
      <c r="L64" s="10">
        <f t="shared" si="6"/>
        <v>121.2</v>
      </c>
    </row>
    <row r="65" spans="1:12" x14ac:dyDescent="0.25">
      <c r="A65" s="7">
        <v>44648</v>
      </c>
      <c r="B65" t="s">
        <v>6</v>
      </c>
      <c r="C65" s="6" t="s">
        <v>416</v>
      </c>
      <c r="D65" s="2" t="s">
        <v>57</v>
      </c>
      <c r="E65" s="1">
        <v>0.33680555555555558</v>
      </c>
      <c r="F65" s="1">
        <v>0.39583333333333331</v>
      </c>
      <c r="G65" s="9">
        <f t="shared" si="5"/>
        <v>44648</v>
      </c>
      <c r="H65" s="11">
        <f t="shared" si="3"/>
        <v>1.4</v>
      </c>
      <c r="I65" s="10">
        <f t="shared" si="0"/>
        <v>1.4</v>
      </c>
      <c r="J65" s="10">
        <f t="shared" si="1"/>
        <v>7.2</v>
      </c>
      <c r="K65" s="10">
        <f t="shared" si="2"/>
        <v>1.4</v>
      </c>
      <c r="L65" s="10">
        <f t="shared" si="6"/>
        <v>122.60000000000001</v>
      </c>
    </row>
    <row r="66" spans="1:12" x14ac:dyDescent="0.25">
      <c r="A66" s="7">
        <v>44648</v>
      </c>
      <c r="B66" t="s">
        <v>6</v>
      </c>
      <c r="C66" s="6" t="s">
        <v>416</v>
      </c>
      <c r="D66" s="2" t="s">
        <v>58</v>
      </c>
      <c r="E66" s="1">
        <v>0.39583333333333331</v>
      </c>
      <c r="F66" s="1">
        <v>0.45624999999999999</v>
      </c>
      <c r="G66" s="9">
        <f t="shared" si="5"/>
        <v>44648</v>
      </c>
      <c r="H66" s="11">
        <f t="shared" si="3"/>
        <v>1.5</v>
      </c>
      <c r="I66" s="10">
        <f t="shared" si="0"/>
        <v>2.9</v>
      </c>
      <c r="J66" s="10">
        <f t="shared" si="1"/>
        <v>7.2</v>
      </c>
      <c r="K66" s="10">
        <f t="shared" si="2"/>
        <v>2.9</v>
      </c>
      <c r="L66" s="10">
        <f t="shared" si="6"/>
        <v>124.1</v>
      </c>
    </row>
    <row r="67" spans="1:12" x14ac:dyDescent="0.25">
      <c r="A67" s="7">
        <v>44648</v>
      </c>
      <c r="B67" t="s">
        <v>19</v>
      </c>
      <c r="C67" s="6">
        <v>2675</v>
      </c>
      <c r="D67" t="s">
        <v>59</v>
      </c>
      <c r="E67" s="1">
        <v>0.45624999999999999</v>
      </c>
      <c r="F67" s="1">
        <v>0.50763888888888886</v>
      </c>
      <c r="G67" s="9">
        <f t="shared" si="5"/>
        <v>44648</v>
      </c>
      <c r="H67" s="11">
        <f t="shared" si="3"/>
        <v>1.2</v>
      </c>
      <c r="I67" s="10">
        <f t="shared" ref="I67:I130" si="7">IF(H67="",H67,H67+IF(A67=A66,_xlfn.NUMBERVALUE(I66),0))</f>
        <v>4.0999999999999996</v>
      </c>
      <c r="J67" s="10">
        <f t="shared" ref="J67:J130" si="8">IF(H67="",H67,7.2)</f>
        <v>7.2</v>
      </c>
      <c r="K67" s="10">
        <f t="shared" ref="K67:K130" si="9">IF(H67="",H67,H67+IF(G67=G66,_xlfn.NUMBERVALUE(K66),0))</f>
        <v>4.0999999999999996</v>
      </c>
      <c r="L67" s="10">
        <f t="shared" si="6"/>
        <v>125.3</v>
      </c>
    </row>
    <row r="68" spans="1:12" x14ac:dyDescent="0.25">
      <c r="A68" s="7">
        <v>44648</v>
      </c>
      <c r="B68" t="s">
        <v>19</v>
      </c>
      <c r="C68" s="6">
        <v>2675</v>
      </c>
      <c r="D68" t="s">
        <v>60</v>
      </c>
      <c r="E68" s="1">
        <v>0.53125</v>
      </c>
      <c r="F68" s="1">
        <v>0.64236111111111105</v>
      </c>
      <c r="G68" s="9">
        <f t="shared" ref="G68:G131" si="10">IF(E68&gt;0,INT((A68-2)/7)*7+2,"")</f>
        <v>44648</v>
      </c>
      <c r="H68" s="11">
        <f t="shared" ref="H68:H131" si="11">IF(E68&gt;0,ROUND(24*(IF(F68&gt;0,F68,NowTime)-E68),1),"")</f>
        <v>2.7</v>
      </c>
      <c r="I68" s="10">
        <f t="shared" si="7"/>
        <v>6.8</v>
      </c>
      <c r="J68" s="10">
        <f t="shared" si="8"/>
        <v>7.2</v>
      </c>
      <c r="K68" s="10">
        <f t="shared" si="9"/>
        <v>6.8</v>
      </c>
      <c r="L68" s="10">
        <f t="shared" si="6"/>
        <v>128</v>
      </c>
    </row>
    <row r="69" spans="1:12" x14ac:dyDescent="0.25">
      <c r="A69" s="7">
        <v>44648</v>
      </c>
      <c r="B69" t="s">
        <v>6</v>
      </c>
      <c r="C69" s="6" t="s">
        <v>416</v>
      </c>
      <c r="D69" s="2" t="s">
        <v>61</v>
      </c>
      <c r="E69" s="1">
        <v>0.64236111111111105</v>
      </c>
      <c r="F69" s="1">
        <v>0.66388888888888886</v>
      </c>
      <c r="G69" s="9">
        <f t="shared" si="10"/>
        <v>44648</v>
      </c>
      <c r="H69" s="11">
        <f t="shared" si="11"/>
        <v>0.5</v>
      </c>
      <c r="I69" s="10">
        <f t="shared" si="7"/>
        <v>7.3</v>
      </c>
      <c r="J69" s="10">
        <f t="shared" si="8"/>
        <v>7.2</v>
      </c>
      <c r="K69" s="10">
        <f t="shared" si="9"/>
        <v>7.3</v>
      </c>
      <c r="L69" s="10">
        <f t="shared" ref="L69:L132" si="12">IF(H69="",H69,H69+IF(MONTH(A69)=MONTH(A68),_xlfn.NUMBERVALUE(L68),0))</f>
        <v>128.5</v>
      </c>
    </row>
    <row r="70" spans="1:12" x14ac:dyDescent="0.25">
      <c r="A70" s="7">
        <v>44649</v>
      </c>
      <c r="B70" t="s">
        <v>6</v>
      </c>
      <c r="C70" s="6" t="s">
        <v>416</v>
      </c>
      <c r="D70" t="s">
        <v>11</v>
      </c>
      <c r="E70" s="1">
        <v>0.32361111111111113</v>
      </c>
      <c r="F70" s="1">
        <v>0.39444444444444443</v>
      </c>
      <c r="G70" s="9">
        <f t="shared" si="10"/>
        <v>44648</v>
      </c>
      <c r="H70" s="11">
        <f t="shared" si="11"/>
        <v>1.7</v>
      </c>
      <c r="I70" s="10">
        <f t="shared" si="7"/>
        <v>1.7</v>
      </c>
      <c r="J70" s="10">
        <f t="shared" si="8"/>
        <v>7.2</v>
      </c>
      <c r="K70" s="10">
        <f t="shared" si="9"/>
        <v>9</v>
      </c>
      <c r="L70" s="10">
        <f t="shared" si="12"/>
        <v>130.19999999999999</v>
      </c>
    </row>
    <row r="71" spans="1:12" x14ac:dyDescent="0.25">
      <c r="A71" s="7">
        <v>44649</v>
      </c>
      <c r="B71" t="s">
        <v>21</v>
      </c>
      <c r="C71" s="6">
        <v>2002</v>
      </c>
      <c r="D71" t="s">
        <v>62</v>
      </c>
      <c r="E71" s="1">
        <v>0.39444444444444443</v>
      </c>
      <c r="F71" s="1">
        <v>0.48402777777777778</v>
      </c>
      <c r="G71" s="9">
        <f t="shared" si="10"/>
        <v>44648</v>
      </c>
      <c r="H71" s="11">
        <f t="shared" si="11"/>
        <v>2.2000000000000002</v>
      </c>
      <c r="I71" s="10">
        <f t="shared" si="7"/>
        <v>3.9000000000000004</v>
      </c>
      <c r="J71" s="10">
        <f t="shared" si="8"/>
        <v>7.2</v>
      </c>
      <c r="K71" s="10">
        <f t="shared" si="9"/>
        <v>11.2</v>
      </c>
      <c r="L71" s="10">
        <f t="shared" si="12"/>
        <v>132.39999999999998</v>
      </c>
    </row>
    <row r="72" spans="1:12" x14ac:dyDescent="0.25">
      <c r="A72" s="7">
        <v>44649</v>
      </c>
      <c r="B72" t="s">
        <v>21</v>
      </c>
      <c r="C72" s="6">
        <v>2002</v>
      </c>
      <c r="D72" t="s">
        <v>62</v>
      </c>
      <c r="E72" s="1">
        <v>0.50763888888888886</v>
      </c>
      <c r="F72" s="1">
        <v>0.52777777777777779</v>
      </c>
      <c r="G72" s="9">
        <f t="shared" si="10"/>
        <v>44648</v>
      </c>
      <c r="H72" s="11">
        <f t="shared" si="11"/>
        <v>0.5</v>
      </c>
      <c r="I72" s="10">
        <f t="shared" si="7"/>
        <v>4.4000000000000004</v>
      </c>
      <c r="J72" s="10">
        <f t="shared" si="8"/>
        <v>7.2</v>
      </c>
      <c r="K72" s="10">
        <f t="shared" si="9"/>
        <v>11.7</v>
      </c>
      <c r="L72" s="10">
        <f t="shared" si="12"/>
        <v>132.9</v>
      </c>
    </row>
    <row r="73" spans="1:12" x14ac:dyDescent="0.25">
      <c r="A73" s="7">
        <v>44649</v>
      </c>
      <c r="B73" t="s">
        <v>17</v>
      </c>
      <c r="C73" s="6">
        <v>2420</v>
      </c>
      <c r="D73" t="s">
        <v>54</v>
      </c>
      <c r="E73" s="1">
        <v>0.52777777777777779</v>
      </c>
      <c r="F73" s="1">
        <v>0.56874999999999998</v>
      </c>
      <c r="G73" s="9">
        <f t="shared" si="10"/>
        <v>44648</v>
      </c>
      <c r="H73" s="11">
        <f t="shared" si="11"/>
        <v>1</v>
      </c>
      <c r="I73" s="10">
        <f t="shared" si="7"/>
        <v>5.4</v>
      </c>
      <c r="J73" s="10">
        <f t="shared" si="8"/>
        <v>7.2</v>
      </c>
      <c r="K73" s="10">
        <f t="shared" si="9"/>
        <v>12.7</v>
      </c>
      <c r="L73" s="10">
        <f t="shared" si="12"/>
        <v>133.9</v>
      </c>
    </row>
    <row r="74" spans="1:12" x14ac:dyDescent="0.25">
      <c r="A74" s="7">
        <v>44649</v>
      </c>
      <c r="B74" t="s">
        <v>19</v>
      </c>
      <c r="C74" s="6">
        <v>2675</v>
      </c>
      <c r="D74" t="s">
        <v>59</v>
      </c>
      <c r="E74" s="1">
        <v>0.56874999999999998</v>
      </c>
      <c r="F74" s="1">
        <v>0.63541666666666663</v>
      </c>
      <c r="G74" s="9">
        <f t="shared" si="10"/>
        <v>44648</v>
      </c>
      <c r="H74" s="11">
        <f t="shared" si="11"/>
        <v>1.6</v>
      </c>
      <c r="I74" s="10">
        <f t="shared" si="7"/>
        <v>7</v>
      </c>
      <c r="J74" s="10">
        <f t="shared" si="8"/>
        <v>7.2</v>
      </c>
      <c r="K74" s="10">
        <f t="shared" si="9"/>
        <v>14.299999999999999</v>
      </c>
      <c r="L74" s="10">
        <f t="shared" si="12"/>
        <v>135.5</v>
      </c>
    </row>
    <row r="75" spans="1:12" x14ac:dyDescent="0.25">
      <c r="A75" s="7">
        <v>44650</v>
      </c>
      <c r="B75" t="s">
        <v>19</v>
      </c>
      <c r="C75" s="6">
        <v>2675</v>
      </c>
      <c r="D75" t="s">
        <v>63</v>
      </c>
      <c r="E75" s="1">
        <v>0.36805555555555558</v>
      </c>
      <c r="F75" s="1">
        <v>0.45833333333333331</v>
      </c>
      <c r="G75" s="9">
        <f t="shared" si="10"/>
        <v>44648</v>
      </c>
      <c r="H75" s="11">
        <f t="shared" si="11"/>
        <v>2.2000000000000002</v>
      </c>
      <c r="I75" s="10">
        <f t="shared" si="7"/>
        <v>2.2000000000000002</v>
      </c>
      <c r="J75" s="10">
        <f t="shared" si="8"/>
        <v>7.2</v>
      </c>
      <c r="K75" s="10">
        <f t="shared" si="9"/>
        <v>16.5</v>
      </c>
      <c r="L75" s="10">
        <f t="shared" si="12"/>
        <v>137.69999999999999</v>
      </c>
    </row>
    <row r="76" spans="1:12" x14ac:dyDescent="0.25">
      <c r="A76" s="7">
        <v>44650</v>
      </c>
      <c r="B76" t="s">
        <v>6</v>
      </c>
      <c r="C76" s="6" t="s">
        <v>416</v>
      </c>
      <c r="D76" t="s">
        <v>30</v>
      </c>
      <c r="E76" s="1">
        <v>0.45833333333333331</v>
      </c>
      <c r="F76" s="1">
        <v>0.50208333333333333</v>
      </c>
      <c r="G76" s="9">
        <f t="shared" si="10"/>
        <v>44648</v>
      </c>
      <c r="H76" s="11">
        <f t="shared" si="11"/>
        <v>1.1000000000000001</v>
      </c>
      <c r="I76" s="10">
        <f t="shared" si="7"/>
        <v>3.3000000000000003</v>
      </c>
      <c r="J76" s="10">
        <f t="shared" si="8"/>
        <v>7.2</v>
      </c>
      <c r="K76" s="10">
        <f t="shared" si="9"/>
        <v>17.600000000000001</v>
      </c>
      <c r="L76" s="10">
        <f t="shared" si="12"/>
        <v>138.79999999999998</v>
      </c>
    </row>
    <row r="77" spans="1:12" x14ac:dyDescent="0.25">
      <c r="A77" s="7">
        <v>44650</v>
      </c>
      <c r="B77" t="s">
        <v>17</v>
      </c>
      <c r="C77" s="6">
        <v>2420</v>
      </c>
      <c r="D77" t="s">
        <v>54</v>
      </c>
      <c r="E77" s="1">
        <v>0.51736111111111105</v>
      </c>
      <c r="F77" s="1">
        <v>0.625</v>
      </c>
      <c r="G77" s="9">
        <f t="shared" si="10"/>
        <v>44648</v>
      </c>
      <c r="H77" s="11">
        <f t="shared" si="11"/>
        <v>2.6</v>
      </c>
      <c r="I77" s="10">
        <f t="shared" si="7"/>
        <v>5.9</v>
      </c>
      <c r="J77" s="10">
        <f t="shared" si="8"/>
        <v>7.2</v>
      </c>
      <c r="K77" s="10">
        <f t="shared" si="9"/>
        <v>20.200000000000003</v>
      </c>
      <c r="L77" s="10">
        <f t="shared" si="12"/>
        <v>141.4</v>
      </c>
    </row>
    <row r="78" spans="1:12" x14ac:dyDescent="0.25">
      <c r="A78" s="7">
        <v>44650</v>
      </c>
      <c r="B78" t="s">
        <v>17</v>
      </c>
      <c r="C78" s="6">
        <v>2420</v>
      </c>
      <c r="D78" t="s">
        <v>64</v>
      </c>
      <c r="E78" s="1">
        <v>0.625</v>
      </c>
      <c r="F78" s="1">
        <v>0.6791666666666667</v>
      </c>
      <c r="G78" s="9">
        <f t="shared" si="10"/>
        <v>44648</v>
      </c>
      <c r="H78" s="11">
        <f t="shared" si="11"/>
        <v>1.3</v>
      </c>
      <c r="I78" s="10">
        <f t="shared" si="7"/>
        <v>7.2</v>
      </c>
      <c r="J78" s="10">
        <f t="shared" si="8"/>
        <v>7.2</v>
      </c>
      <c r="K78" s="10">
        <f t="shared" si="9"/>
        <v>21.5</v>
      </c>
      <c r="L78" s="10">
        <f t="shared" si="12"/>
        <v>142.70000000000002</v>
      </c>
    </row>
    <row r="79" spans="1:12" x14ac:dyDescent="0.25">
      <c r="A79" s="7">
        <v>44651</v>
      </c>
      <c r="B79" t="s">
        <v>17</v>
      </c>
      <c r="C79" s="6">
        <v>2420</v>
      </c>
      <c r="D79" t="s">
        <v>65</v>
      </c>
      <c r="E79" s="1">
        <v>0.27083333333333331</v>
      </c>
      <c r="F79" s="1">
        <v>0.39583333333333331</v>
      </c>
      <c r="G79" s="9">
        <f t="shared" si="10"/>
        <v>44648</v>
      </c>
      <c r="H79" s="11">
        <f t="shared" si="11"/>
        <v>3</v>
      </c>
      <c r="I79" s="10">
        <f t="shared" si="7"/>
        <v>3</v>
      </c>
      <c r="J79" s="10">
        <f t="shared" si="8"/>
        <v>7.2</v>
      </c>
      <c r="K79" s="10">
        <f t="shared" si="9"/>
        <v>24.5</v>
      </c>
      <c r="L79" s="10">
        <f t="shared" si="12"/>
        <v>145.69999999999999</v>
      </c>
    </row>
    <row r="80" spans="1:12" x14ac:dyDescent="0.25">
      <c r="A80" s="7">
        <v>44651</v>
      </c>
      <c r="B80" t="s">
        <v>19</v>
      </c>
      <c r="C80" s="6">
        <v>2675</v>
      </c>
      <c r="D80" s="2" t="s">
        <v>58</v>
      </c>
      <c r="E80" s="1">
        <v>0.39583333333333331</v>
      </c>
      <c r="F80" s="1">
        <v>0.41666666666666669</v>
      </c>
      <c r="G80" s="9">
        <f t="shared" si="10"/>
        <v>44648</v>
      </c>
      <c r="H80" s="11">
        <f t="shared" si="11"/>
        <v>0.5</v>
      </c>
      <c r="I80" s="10">
        <f t="shared" si="7"/>
        <v>3.5</v>
      </c>
      <c r="J80" s="10">
        <f t="shared" si="8"/>
        <v>7.2</v>
      </c>
      <c r="K80" s="10">
        <f t="shared" si="9"/>
        <v>25</v>
      </c>
      <c r="L80" s="10">
        <f t="shared" si="12"/>
        <v>146.19999999999999</v>
      </c>
    </row>
    <row r="81" spans="1:12" x14ac:dyDescent="0.25">
      <c r="A81" s="7">
        <v>44651</v>
      </c>
      <c r="B81" s="2" t="s">
        <v>464</v>
      </c>
      <c r="C81" s="24">
        <v>2431</v>
      </c>
      <c r="D81" s="2" t="s">
        <v>67</v>
      </c>
      <c r="E81" s="1">
        <v>0.41666666666666669</v>
      </c>
      <c r="F81" s="1">
        <v>0.49236111111111108</v>
      </c>
      <c r="G81" s="9">
        <f t="shared" si="10"/>
        <v>44648</v>
      </c>
      <c r="H81" s="11">
        <f t="shared" si="11"/>
        <v>1.8</v>
      </c>
      <c r="I81" s="10">
        <f t="shared" si="7"/>
        <v>5.3</v>
      </c>
      <c r="J81" s="10">
        <f t="shared" si="8"/>
        <v>7.2</v>
      </c>
      <c r="K81" s="10">
        <f t="shared" si="9"/>
        <v>26.8</v>
      </c>
      <c r="L81" s="10">
        <f t="shared" si="12"/>
        <v>148</v>
      </c>
    </row>
    <row r="82" spans="1:12" x14ac:dyDescent="0.25">
      <c r="A82" s="7">
        <v>44651</v>
      </c>
      <c r="B82" t="s">
        <v>17</v>
      </c>
      <c r="C82" s="6">
        <v>2420</v>
      </c>
      <c r="D82" t="s">
        <v>65</v>
      </c>
      <c r="E82" s="1">
        <v>0.50694444444444442</v>
      </c>
      <c r="F82" s="1">
        <v>0.6118055555555556</v>
      </c>
      <c r="G82" s="9">
        <f t="shared" si="10"/>
        <v>44648</v>
      </c>
      <c r="H82" s="11">
        <f t="shared" si="11"/>
        <v>2.5</v>
      </c>
      <c r="I82" s="10">
        <f t="shared" si="7"/>
        <v>7.8</v>
      </c>
      <c r="J82" s="10">
        <f t="shared" si="8"/>
        <v>7.2</v>
      </c>
      <c r="K82" s="10">
        <f t="shared" si="9"/>
        <v>29.3</v>
      </c>
      <c r="L82" s="10">
        <f t="shared" si="12"/>
        <v>150.5</v>
      </c>
    </row>
    <row r="83" spans="1:12" x14ac:dyDescent="0.25">
      <c r="A83" s="7">
        <v>44652</v>
      </c>
      <c r="B83" t="s">
        <v>17</v>
      </c>
      <c r="C83" s="6">
        <v>2420</v>
      </c>
      <c r="D83" t="s">
        <v>65</v>
      </c>
      <c r="E83" s="1">
        <v>0.29583333333333334</v>
      </c>
      <c r="F83" s="1">
        <v>0.54305555555555551</v>
      </c>
      <c r="G83" s="9">
        <f t="shared" si="10"/>
        <v>44648</v>
      </c>
      <c r="H83" s="11">
        <f t="shared" si="11"/>
        <v>5.9</v>
      </c>
      <c r="I83" s="10">
        <f t="shared" si="7"/>
        <v>5.9</v>
      </c>
      <c r="J83" s="10">
        <f t="shared" si="8"/>
        <v>7.2</v>
      </c>
      <c r="K83" s="10">
        <f t="shared" si="9"/>
        <v>35.200000000000003</v>
      </c>
      <c r="L83" s="10">
        <f t="shared" si="12"/>
        <v>5.9</v>
      </c>
    </row>
    <row r="84" spans="1:12" x14ac:dyDescent="0.25">
      <c r="A84" s="7">
        <v>44652</v>
      </c>
      <c r="B84" t="s">
        <v>6</v>
      </c>
      <c r="C84" s="6" t="s">
        <v>416</v>
      </c>
      <c r="D84" t="s">
        <v>66</v>
      </c>
      <c r="E84" s="1">
        <v>0.54305555555555551</v>
      </c>
      <c r="F84" s="1">
        <v>0.60972222222222217</v>
      </c>
      <c r="G84" s="9">
        <f t="shared" si="10"/>
        <v>44648</v>
      </c>
      <c r="H84" s="11">
        <f t="shared" si="11"/>
        <v>1.6</v>
      </c>
      <c r="I84" s="10">
        <f t="shared" si="7"/>
        <v>7.5</v>
      </c>
      <c r="J84" s="10">
        <f t="shared" si="8"/>
        <v>7.2</v>
      </c>
      <c r="K84" s="10">
        <f t="shared" si="9"/>
        <v>36.800000000000004</v>
      </c>
      <c r="L84" s="10">
        <f t="shared" si="12"/>
        <v>7.5</v>
      </c>
    </row>
    <row r="85" spans="1:12" x14ac:dyDescent="0.25">
      <c r="A85" s="7">
        <v>44655</v>
      </c>
      <c r="B85" t="s">
        <v>21</v>
      </c>
      <c r="C85" s="6">
        <v>2002</v>
      </c>
      <c r="D85" t="s">
        <v>62</v>
      </c>
      <c r="E85" s="1">
        <v>0.33333333333333331</v>
      </c>
      <c r="F85" s="1">
        <v>0.37708333333333338</v>
      </c>
      <c r="G85" s="9">
        <f t="shared" si="10"/>
        <v>44655</v>
      </c>
      <c r="H85" s="11">
        <f t="shared" si="11"/>
        <v>1.1000000000000001</v>
      </c>
      <c r="I85" s="10">
        <f t="shared" si="7"/>
        <v>1.1000000000000001</v>
      </c>
      <c r="J85" s="10">
        <f t="shared" si="8"/>
        <v>7.2</v>
      </c>
      <c r="K85" s="10">
        <f t="shared" si="9"/>
        <v>1.1000000000000001</v>
      </c>
      <c r="L85" s="10">
        <f t="shared" si="12"/>
        <v>8.6</v>
      </c>
    </row>
    <row r="86" spans="1:12" x14ac:dyDescent="0.25">
      <c r="A86" s="7">
        <v>44655</v>
      </c>
      <c r="B86" t="s">
        <v>6</v>
      </c>
      <c r="C86" s="6" t="s">
        <v>416</v>
      </c>
      <c r="D86" t="s">
        <v>58</v>
      </c>
      <c r="E86" s="1">
        <v>0.37708333333333338</v>
      </c>
      <c r="F86" s="1">
        <v>0.45624999999999999</v>
      </c>
      <c r="G86" s="9">
        <f t="shared" si="10"/>
        <v>44655</v>
      </c>
      <c r="H86" s="11">
        <f t="shared" si="11"/>
        <v>1.9</v>
      </c>
      <c r="I86" s="10">
        <f t="shared" si="7"/>
        <v>3</v>
      </c>
      <c r="J86" s="10">
        <f t="shared" si="8"/>
        <v>7.2</v>
      </c>
      <c r="K86" s="10">
        <f t="shared" si="9"/>
        <v>3</v>
      </c>
      <c r="L86" s="10">
        <f t="shared" si="12"/>
        <v>10.5</v>
      </c>
    </row>
    <row r="87" spans="1:12" x14ac:dyDescent="0.25">
      <c r="A87" s="7">
        <v>44655</v>
      </c>
      <c r="B87" s="2" t="s">
        <v>464</v>
      </c>
      <c r="C87" s="24">
        <v>2431</v>
      </c>
      <c r="D87" s="2" t="s">
        <v>67</v>
      </c>
      <c r="E87" s="1">
        <v>0.45555555555555555</v>
      </c>
      <c r="F87" s="1">
        <v>0.53541666666666665</v>
      </c>
      <c r="G87" s="9">
        <f t="shared" si="10"/>
        <v>44655</v>
      </c>
      <c r="H87" s="11">
        <f t="shared" si="11"/>
        <v>1.9</v>
      </c>
      <c r="I87" s="10">
        <f t="shared" si="7"/>
        <v>4.9000000000000004</v>
      </c>
      <c r="J87" s="10">
        <f t="shared" si="8"/>
        <v>7.2</v>
      </c>
      <c r="K87" s="10">
        <f t="shared" si="9"/>
        <v>4.9000000000000004</v>
      </c>
      <c r="L87" s="10">
        <f t="shared" si="12"/>
        <v>12.4</v>
      </c>
    </row>
    <row r="88" spans="1:12" x14ac:dyDescent="0.25">
      <c r="A88" s="7">
        <v>44655</v>
      </c>
      <c r="B88" t="s">
        <v>6</v>
      </c>
      <c r="C88" s="6" t="s">
        <v>416</v>
      </c>
      <c r="D88" s="2" t="s">
        <v>30</v>
      </c>
      <c r="E88" s="1">
        <v>0.54861111111111105</v>
      </c>
      <c r="F88" s="1">
        <v>0.56666666666666665</v>
      </c>
      <c r="G88" s="9">
        <f t="shared" si="10"/>
        <v>44655</v>
      </c>
      <c r="H88" s="11">
        <f t="shared" si="11"/>
        <v>0.4</v>
      </c>
      <c r="I88" s="10">
        <f t="shared" si="7"/>
        <v>5.3000000000000007</v>
      </c>
      <c r="J88" s="10">
        <f t="shared" si="8"/>
        <v>7.2</v>
      </c>
      <c r="K88" s="10">
        <f t="shared" si="9"/>
        <v>5.3000000000000007</v>
      </c>
      <c r="L88" s="10">
        <f t="shared" si="12"/>
        <v>12.8</v>
      </c>
    </row>
    <row r="89" spans="1:12" x14ac:dyDescent="0.25">
      <c r="A89" s="7">
        <v>44655</v>
      </c>
      <c r="B89" t="s">
        <v>17</v>
      </c>
      <c r="C89" s="6">
        <v>2420</v>
      </c>
      <c r="D89" t="s">
        <v>65</v>
      </c>
      <c r="E89" s="1">
        <v>0.56666666666666665</v>
      </c>
      <c r="F89" s="1">
        <v>0.64583333333333337</v>
      </c>
      <c r="G89" s="9">
        <f t="shared" si="10"/>
        <v>44655</v>
      </c>
      <c r="H89" s="11">
        <f t="shared" si="11"/>
        <v>1.9</v>
      </c>
      <c r="I89" s="10">
        <f t="shared" si="7"/>
        <v>7.1999999999999993</v>
      </c>
      <c r="J89" s="10">
        <f t="shared" si="8"/>
        <v>7.2</v>
      </c>
      <c r="K89" s="10">
        <f t="shared" si="9"/>
        <v>7.1999999999999993</v>
      </c>
      <c r="L89" s="10">
        <f t="shared" si="12"/>
        <v>14.700000000000001</v>
      </c>
    </row>
    <row r="90" spans="1:12" x14ac:dyDescent="0.25">
      <c r="A90" s="7">
        <v>44655</v>
      </c>
      <c r="B90" t="s">
        <v>6</v>
      </c>
      <c r="C90" s="6" t="s">
        <v>416</v>
      </c>
      <c r="D90" s="2" t="s">
        <v>68</v>
      </c>
      <c r="E90" s="1">
        <v>0.64583333333333337</v>
      </c>
      <c r="F90" s="1">
        <v>0.70347222222222217</v>
      </c>
      <c r="G90" s="9">
        <f t="shared" si="10"/>
        <v>44655</v>
      </c>
      <c r="H90" s="11">
        <f t="shared" si="11"/>
        <v>1.4</v>
      </c>
      <c r="I90" s="10">
        <f t="shared" si="7"/>
        <v>8.6</v>
      </c>
      <c r="J90" s="10">
        <f t="shared" si="8"/>
        <v>7.2</v>
      </c>
      <c r="K90" s="10">
        <f t="shared" si="9"/>
        <v>8.6</v>
      </c>
      <c r="L90" s="10">
        <f t="shared" si="12"/>
        <v>16.099999999999998</v>
      </c>
    </row>
    <row r="91" spans="1:12" x14ac:dyDescent="0.25">
      <c r="A91" s="7">
        <v>44656</v>
      </c>
      <c r="B91" t="s">
        <v>17</v>
      </c>
      <c r="C91" s="6">
        <v>2420</v>
      </c>
      <c r="D91" t="s">
        <v>69</v>
      </c>
      <c r="E91" s="1">
        <v>0.31944444444444448</v>
      </c>
      <c r="F91" s="1">
        <v>0.4680555555555555</v>
      </c>
      <c r="G91" s="9">
        <f t="shared" si="10"/>
        <v>44655</v>
      </c>
      <c r="H91" s="11">
        <f t="shared" si="11"/>
        <v>3.6</v>
      </c>
      <c r="I91" s="10">
        <f t="shared" si="7"/>
        <v>3.6</v>
      </c>
      <c r="J91" s="10">
        <f t="shared" si="8"/>
        <v>7.2</v>
      </c>
      <c r="K91" s="10">
        <f t="shared" si="9"/>
        <v>12.2</v>
      </c>
      <c r="L91" s="10">
        <f t="shared" si="12"/>
        <v>19.700000000000003</v>
      </c>
    </row>
    <row r="92" spans="1:12" x14ac:dyDescent="0.25">
      <c r="A92" s="7">
        <v>44656</v>
      </c>
      <c r="B92" t="s">
        <v>17</v>
      </c>
      <c r="C92" s="6">
        <v>2420</v>
      </c>
      <c r="D92" s="2" t="s">
        <v>70</v>
      </c>
      <c r="E92" s="1">
        <v>0.5</v>
      </c>
      <c r="F92" s="1">
        <v>0.58333333333333337</v>
      </c>
      <c r="G92" s="9">
        <f t="shared" si="10"/>
        <v>44655</v>
      </c>
      <c r="H92" s="11">
        <f t="shared" si="11"/>
        <v>2</v>
      </c>
      <c r="I92" s="10">
        <f t="shared" si="7"/>
        <v>5.6</v>
      </c>
      <c r="J92" s="10">
        <f t="shared" si="8"/>
        <v>7.2</v>
      </c>
      <c r="K92" s="10">
        <f t="shared" si="9"/>
        <v>14.2</v>
      </c>
      <c r="L92" s="10">
        <f t="shared" si="12"/>
        <v>21.7</v>
      </c>
    </row>
    <row r="93" spans="1:12" x14ac:dyDescent="0.25">
      <c r="A93" s="7">
        <v>44656</v>
      </c>
      <c r="B93" t="s">
        <v>6</v>
      </c>
      <c r="C93" s="6" t="s">
        <v>416</v>
      </c>
      <c r="D93" s="2" t="s">
        <v>71</v>
      </c>
      <c r="E93" s="1">
        <v>0.58333333333333337</v>
      </c>
      <c r="F93" s="1">
        <v>0.63541666666666663</v>
      </c>
      <c r="G93" s="9">
        <f t="shared" si="10"/>
        <v>44655</v>
      </c>
      <c r="H93" s="11">
        <f t="shared" si="11"/>
        <v>1.3</v>
      </c>
      <c r="I93" s="10">
        <f t="shared" si="7"/>
        <v>6.8999999999999995</v>
      </c>
      <c r="J93" s="10">
        <f t="shared" si="8"/>
        <v>7.2</v>
      </c>
      <c r="K93" s="10">
        <f t="shared" si="9"/>
        <v>15.5</v>
      </c>
      <c r="L93" s="10">
        <f t="shared" si="12"/>
        <v>23</v>
      </c>
    </row>
    <row r="94" spans="1:12" x14ac:dyDescent="0.25">
      <c r="A94" s="7">
        <v>44656</v>
      </c>
      <c r="B94" s="2" t="s">
        <v>464</v>
      </c>
      <c r="C94" s="24">
        <v>2431</v>
      </c>
      <c r="D94" s="2" t="s">
        <v>67</v>
      </c>
      <c r="E94" s="1">
        <v>0.63541666666666663</v>
      </c>
      <c r="F94" s="1">
        <v>0.65763888888888888</v>
      </c>
      <c r="G94" s="9">
        <f t="shared" si="10"/>
        <v>44655</v>
      </c>
      <c r="H94" s="11">
        <f t="shared" si="11"/>
        <v>0.5</v>
      </c>
      <c r="I94" s="10">
        <f t="shared" si="7"/>
        <v>7.4</v>
      </c>
      <c r="J94" s="10">
        <f t="shared" si="8"/>
        <v>7.2</v>
      </c>
      <c r="K94" s="10">
        <f t="shared" si="9"/>
        <v>16</v>
      </c>
      <c r="L94" s="10">
        <f t="shared" si="12"/>
        <v>23.5</v>
      </c>
    </row>
    <row r="95" spans="1:12" x14ac:dyDescent="0.25">
      <c r="A95" s="7">
        <v>44657</v>
      </c>
      <c r="B95" s="2" t="s">
        <v>19</v>
      </c>
      <c r="C95" s="24">
        <v>2675</v>
      </c>
      <c r="D95" s="2" t="s">
        <v>72</v>
      </c>
      <c r="E95" s="1">
        <v>0.33124999999999999</v>
      </c>
      <c r="F95" s="1">
        <v>0.48194444444444445</v>
      </c>
      <c r="G95" s="9">
        <f t="shared" si="10"/>
        <v>44655</v>
      </c>
      <c r="H95" s="11">
        <f t="shared" si="11"/>
        <v>3.6</v>
      </c>
      <c r="I95" s="10">
        <f t="shared" si="7"/>
        <v>3.6</v>
      </c>
      <c r="J95" s="10">
        <f t="shared" si="8"/>
        <v>7.2</v>
      </c>
      <c r="K95" s="10">
        <f t="shared" si="9"/>
        <v>19.600000000000001</v>
      </c>
      <c r="L95" s="10">
        <f t="shared" si="12"/>
        <v>27.1</v>
      </c>
    </row>
    <row r="96" spans="1:12" x14ac:dyDescent="0.25">
      <c r="A96" s="7">
        <v>44657</v>
      </c>
      <c r="B96" s="2" t="s">
        <v>19</v>
      </c>
      <c r="C96" s="24">
        <v>2675</v>
      </c>
      <c r="D96" s="2" t="s">
        <v>72</v>
      </c>
      <c r="E96" s="5">
        <v>0.50347222222222221</v>
      </c>
      <c r="F96" s="1">
        <v>0.54166666666666663</v>
      </c>
      <c r="G96" s="9">
        <f t="shared" si="10"/>
        <v>44655</v>
      </c>
      <c r="H96" s="11">
        <f t="shared" si="11"/>
        <v>0.9</v>
      </c>
      <c r="I96" s="10">
        <f t="shared" si="7"/>
        <v>4.5</v>
      </c>
      <c r="J96" s="10">
        <f t="shared" si="8"/>
        <v>7.2</v>
      </c>
      <c r="K96" s="10">
        <f t="shared" si="9"/>
        <v>20.5</v>
      </c>
      <c r="L96" s="10">
        <f t="shared" si="12"/>
        <v>28</v>
      </c>
    </row>
    <row r="97" spans="1:12" x14ac:dyDescent="0.25">
      <c r="A97" s="7">
        <v>44657</v>
      </c>
      <c r="B97" s="2" t="s">
        <v>19</v>
      </c>
      <c r="C97" s="24">
        <v>2675</v>
      </c>
      <c r="D97" s="2" t="s">
        <v>72</v>
      </c>
      <c r="E97" s="1">
        <v>0.61597222222222225</v>
      </c>
      <c r="F97" s="1">
        <v>0.69097222222222221</v>
      </c>
      <c r="G97" s="9">
        <f t="shared" si="10"/>
        <v>44655</v>
      </c>
      <c r="H97" s="11">
        <f t="shared" si="11"/>
        <v>1.8</v>
      </c>
      <c r="I97" s="10">
        <f t="shared" si="7"/>
        <v>6.3</v>
      </c>
      <c r="J97" s="10">
        <f t="shared" si="8"/>
        <v>7.2</v>
      </c>
      <c r="K97" s="10">
        <f t="shared" si="9"/>
        <v>22.3</v>
      </c>
      <c r="L97" s="10">
        <f t="shared" si="12"/>
        <v>29.8</v>
      </c>
    </row>
    <row r="98" spans="1:12" x14ac:dyDescent="0.25">
      <c r="A98" s="7">
        <v>44658</v>
      </c>
      <c r="B98" s="2" t="s">
        <v>19</v>
      </c>
      <c r="C98" s="24">
        <v>2675</v>
      </c>
      <c r="D98" s="2" t="s">
        <v>72</v>
      </c>
      <c r="E98" s="1">
        <v>0.31388888888888888</v>
      </c>
      <c r="F98" s="1">
        <v>0.375</v>
      </c>
      <c r="G98" s="9">
        <f t="shared" si="10"/>
        <v>44655</v>
      </c>
      <c r="H98" s="11">
        <f t="shared" si="11"/>
        <v>1.5</v>
      </c>
      <c r="I98" s="10">
        <f t="shared" si="7"/>
        <v>1.5</v>
      </c>
      <c r="J98" s="10">
        <f t="shared" si="8"/>
        <v>7.2</v>
      </c>
      <c r="K98" s="10">
        <f t="shared" si="9"/>
        <v>23.8</v>
      </c>
      <c r="L98" s="10">
        <f t="shared" si="12"/>
        <v>31.3</v>
      </c>
    </row>
    <row r="99" spans="1:12" x14ac:dyDescent="0.25">
      <c r="A99" s="7">
        <v>44658</v>
      </c>
      <c r="B99" t="s">
        <v>17</v>
      </c>
      <c r="C99" s="6">
        <v>2420</v>
      </c>
      <c r="D99" s="2" t="s">
        <v>45</v>
      </c>
      <c r="E99" s="1">
        <v>0.375</v>
      </c>
      <c r="F99" s="1">
        <v>0.43124999999999997</v>
      </c>
      <c r="G99" s="9">
        <f t="shared" si="10"/>
        <v>44655</v>
      </c>
      <c r="H99" s="11">
        <f t="shared" si="11"/>
        <v>1.4</v>
      </c>
      <c r="I99" s="10">
        <f t="shared" si="7"/>
        <v>2.9</v>
      </c>
      <c r="J99" s="10">
        <f t="shared" si="8"/>
        <v>7.2</v>
      </c>
      <c r="K99" s="10">
        <f t="shared" si="9"/>
        <v>25.2</v>
      </c>
      <c r="L99" s="10">
        <f t="shared" si="12"/>
        <v>32.700000000000003</v>
      </c>
    </row>
    <row r="100" spans="1:12" x14ac:dyDescent="0.25">
      <c r="A100" s="7">
        <v>44658</v>
      </c>
      <c r="B100" t="s">
        <v>17</v>
      </c>
      <c r="C100" s="6">
        <v>2420</v>
      </c>
      <c r="D100" s="2" t="s">
        <v>73</v>
      </c>
      <c r="E100" s="1">
        <v>0.43124999999999997</v>
      </c>
      <c r="F100" s="1">
        <v>0.45833333333333331</v>
      </c>
      <c r="G100" s="9">
        <f t="shared" si="10"/>
        <v>44655</v>
      </c>
      <c r="H100" s="11">
        <f t="shared" si="11"/>
        <v>0.7</v>
      </c>
      <c r="I100" s="10">
        <f t="shared" si="7"/>
        <v>3.5999999999999996</v>
      </c>
      <c r="J100" s="10">
        <f t="shared" si="8"/>
        <v>7.2</v>
      </c>
      <c r="K100" s="10">
        <f t="shared" si="9"/>
        <v>25.9</v>
      </c>
      <c r="L100" s="10">
        <f t="shared" si="12"/>
        <v>33.400000000000006</v>
      </c>
    </row>
    <row r="101" spans="1:12" x14ac:dyDescent="0.25">
      <c r="A101" s="7">
        <v>44658</v>
      </c>
      <c r="B101" s="2" t="s">
        <v>19</v>
      </c>
      <c r="C101" s="24">
        <v>2675</v>
      </c>
      <c r="D101" s="2" t="s">
        <v>44</v>
      </c>
      <c r="E101" s="1">
        <v>0.45833333333333331</v>
      </c>
      <c r="F101" s="1">
        <v>0.48958333333333331</v>
      </c>
      <c r="G101" s="9">
        <f t="shared" si="10"/>
        <v>44655</v>
      </c>
      <c r="H101" s="11">
        <f t="shared" si="11"/>
        <v>0.8</v>
      </c>
      <c r="I101" s="10">
        <f t="shared" si="7"/>
        <v>4.4000000000000004</v>
      </c>
      <c r="J101" s="10">
        <f t="shared" si="8"/>
        <v>7.2</v>
      </c>
      <c r="K101" s="10">
        <f t="shared" si="9"/>
        <v>26.7</v>
      </c>
      <c r="L101" s="10">
        <f t="shared" si="12"/>
        <v>34.199999999999996</v>
      </c>
    </row>
    <row r="102" spans="1:12" x14ac:dyDescent="0.25">
      <c r="A102" s="7">
        <v>44658</v>
      </c>
      <c r="B102" t="s">
        <v>17</v>
      </c>
      <c r="C102" s="6">
        <v>2420</v>
      </c>
      <c r="D102" s="2" t="s">
        <v>73</v>
      </c>
      <c r="E102" s="1">
        <v>0.48958333333333331</v>
      </c>
      <c r="F102" s="1">
        <v>0.51736111111111105</v>
      </c>
      <c r="G102" s="9">
        <f t="shared" si="10"/>
        <v>44655</v>
      </c>
      <c r="H102" s="11">
        <f t="shared" si="11"/>
        <v>0.7</v>
      </c>
      <c r="I102" s="10">
        <f t="shared" si="7"/>
        <v>5.1000000000000005</v>
      </c>
      <c r="J102" s="10">
        <f t="shared" si="8"/>
        <v>7.2</v>
      </c>
      <c r="K102" s="10">
        <f t="shared" si="9"/>
        <v>27.4</v>
      </c>
      <c r="L102" s="10">
        <f t="shared" si="12"/>
        <v>34.900000000000006</v>
      </c>
    </row>
    <row r="103" spans="1:12" x14ac:dyDescent="0.25">
      <c r="A103" s="7">
        <v>44658</v>
      </c>
      <c r="B103" t="s">
        <v>17</v>
      </c>
      <c r="C103" s="6">
        <v>2420</v>
      </c>
      <c r="D103" s="2" t="s">
        <v>44</v>
      </c>
      <c r="E103" s="1">
        <v>0.54166666666666663</v>
      </c>
      <c r="F103" s="1">
        <v>0.57638888888888895</v>
      </c>
      <c r="G103" s="9">
        <f t="shared" si="10"/>
        <v>44655</v>
      </c>
      <c r="H103" s="11">
        <f t="shared" si="11"/>
        <v>0.8</v>
      </c>
      <c r="I103" s="10">
        <f t="shared" si="7"/>
        <v>5.8999999999999995</v>
      </c>
      <c r="J103" s="10">
        <f t="shared" si="8"/>
        <v>7.2</v>
      </c>
      <c r="K103" s="10">
        <f t="shared" si="9"/>
        <v>28.2</v>
      </c>
      <c r="L103" s="10">
        <f t="shared" si="12"/>
        <v>35.699999999999996</v>
      </c>
    </row>
    <row r="104" spans="1:12" x14ac:dyDescent="0.25">
      <c r="A104" s="7">
        <v>44659</v>
      </c>
      <c r="B104" t="s">
        <v>17</v>
      </c>
      <c r="C104" s="6">
        <v>2420</v>
      </c>
      <c r="D104" s="2" t="s">
        <v>74</v>
      </c>
      <c r="E104" s="1">
        <v>0.34513888888888888</v>
      </c>
      <c r="F104" s="1">
        <v>0.50277777777777777</v>
      </c>
      <c r="G104" s="9">
        <f t="shared" si="10"/>
        <v>44655</v>
      </c>
      <c r="H104" s="11">
        <f t="shared" si="11"/>
        <v>3.8</v>
      </c>
      <c r="I104" s="10">
        <f t="shared" si="7"/>
        <v>3.8</v>
      </c>
      <c r="J104" s="10">
        <f t="shared" si="8"/>
        <v>7.2</v>
      </c>
      <c r="K104" s="10">
        <f t="shared" si="9"/>
        <v>32</v>
      </c>
      <c r="L104" s="10">
        <f t="shared" si="12"/>
        <v>39.5</v>
      </c>
    </row>
    <row r="105" spans="1:12" x14ac:dyDescent="0.25">
      <c r="A105" s="7">
        <v>44659</v>
      </c>
      <c r="B105" t="s">
        <v>17</v>
      </c>
      <c r="C105" s="6">
        <v>2420</v>
      </c>
      <c r="D105" s="2" t="s">
        <v>74</v>
      </c>
      <c r="E105" s="1">
        <v>0.51944444444444449</v>
      </c>
      <c r="F105" s="1">
        <v>0.625</v>
      </c>
      <c r="G105" s="9">
        <f t="shared" si="10"/>
        <v>44655</v>
      </c>
      <c r="H105" s="11">
        <f t="shared" si="11"/>
        <v>2.5</v>
      </c>
      <c r="I105" s="10">
        <f t="shared" si="7"/>
        <v>6.3</v>
      </c>
      <c r="J105" s="10">
        <f t="shared" si="8"/>
        <v>7.2</v>
      </c>
      <c r="K105" s="10">
        <f t="shared" si="9"/>
        <v>34.5</v>
      </c>
      <c r="L105" s="10">
        <f t="shared" si="12"/>
        <v>42</v>
      </c>
    </row>
    <row r="106" spans="1:12" x14ac:dyDescent="0.25">
      <c r="A106" s="7">
        <v>44659</v>
      </c>
      <c r="B106" t="s">
        <v>6</v>
      </c>
      <c r="C106" s="6" t="s">
        <v>416</v>
      </c>
      <c r="D106" s="2" t="s">
        <v>75</v>
      </c>
      <c r="E106" s="1">
        <v>0.625</v>
      </c>
      <c r="F106" s="1">
        <v>0.67152777777777783</v>
      </c>
      <c r="G106" s="9">
        <f t="shared" si="10"/>
        <v>44655</v>
      </c>
      <c r="H106" s="11">
        <f t="shared" si="11"/>
        <v>1.1000000000000001</v>
      </c>
      <c r="I106" s="10">
        <f t="shared" si="7"/>
        <v>7.4</v>
      </c>
      <c r="J106" s="10">
        <f t="shared" si="8"/>
        <v>7.2</v>
      </c>
      <c r="K106" s="10">
        <f t="shared" si="9"/>
        <v>35.6</v>
      </c>
      <c r="L106" s="10">
        <f t="shared" si="12"/>
        <v>43.1</v>
      </c>
    </row>
    <row r="107" spans="1:12" x14ac:dyDescent="0.25">
      <c r="A107" s="7">
        <v>44662</v>
      </c>
      <c r="B107" t="s">
        <v>19</v>
      </c>
      <c r="C107" s="6">
        <v>2675</v>
      </c>
      <c r="D107" s="2" t="s">
        <v>76</v>
      </c>
      <c r="E107" s="1">
        <v>0.33263888888888887</v>
      </c>
      <c r="F107" s="1">
        <v>0.42986111111111108</v>
      </c>
      <c r="G107" s="9">
        <f t="shared" si="10"/>
        <v>44662</v>
      </c>
      <c r="H107" s="11">
        <f t="shared" si="11"/>
        <v>2.2999999999999998</v>
      </c>
      <c r="I107" s="10">
        <f t="shared" si="7"/>
        <v>2.2999999999999998</v>
      </c>
      <c r="J107" s="10">
        <f t="shared" si="8"/>
        <v>7.2</v>
      </c>
      <c r="K107" s="10">
        <f t="shared" si="9"/>
        <v>2.2999999999999998</v>
      </c>
      <c r="L107" s="10">
        <f t="shared" si="12"/>
        <v>45.4</v>
      </c>
    </row>
    <row r="108" spans="1:12" x14ac:dyDescent="0.25">
      <c r="A108" s="7">
        <v>44662</v>
      </c>
      <c r="B108" s="2" t="s">
        <v>464</v>
      </c>
      <c r="C108" s="24">
        <v>2431</v>
      </c>
      <c r="D108" s="2" t="s">
        <v>77</v>
      </c>
      <c r="E108" s="1">
        <v>0.42986111111111108</v>
      </c>
      <c r="F108" s="1">
        <v>0.4909722222222222</v>
      </c>
      <c r="G108" s="9">
        <f t="shared" si="10"/>
        <v>44662</v>
      </c>
      <c r="H108" s="11">
        <f t="shared" si="11"/>
        <v>1.5</v>
      </c>
      <c r="I108" s="10">
        <f t="shared" si="7"/>
        <v>3.8</v>
      </c>
      <c r="J108" s="10">
        <f t="shared" si="8"/>
        <v>7.2</v>
      </c>
      <c r="K108" s="10">
        <f t="shared" si="9"/>
        <v>3.8</v>
      </c>
      <c r="L108" s="10">
        <f t="shared" si="12"/>
        <v>46.9</v>
      </c>
    </row>
    <row r="109" spans="1:12" x14ac:dyDescent="0.25">
      <c r="A109" s="7">
        <v>44662</v>
      </c>
      <c r="B109" s="2" t="s">
        <v>464</v>
      </c>
      <c r="C109" s="24">
        <v>2431</v>
      </c>
      <c r="D109" s="2" t="s">
        <v>77</v>
      </c>
      <c r="E109" s="1">
        <v>0.5</v>
      </c>
      <c r="F109" s="1">
        <v>0.59513888888888888</v>
      </c>
      <c r="G109" s="9">
        <f t="shared" si="10"/>
        <v>44662</v>
      </c>
      <c r="H109" s="11">
        <f t="shared" si="11"/>
        <v>2.2999999999999998</v>
      </c>
      <c r="I109" s="10">
        <f t="shared" si="7"/>
        <v>6.1</v>
      </c>
      <c r="J109" s="10">
        <f t="shared" si="8"/>
        <v>7.2</v>
      </c>
      <c r="K109" s="10">
        <f t="shared" si="9"/>
        <v>6.1</v>
      </c>
      <c r="L109" s="10">
        <f t="shared" si="12"/>
        <v>49.199999999999996</v>
      </c>
    </row>
    <row r="110" spans="1:12" x14ac:dyDescent="0.25">
      <c r="A110" s="7">
        <v>44663</v>
      </c>
      <c r="B110" s="2" t="s">
        <v>464</v>
      </c>
      <c r="C110" s="24">
        <v>2431</v>
      </c>
      <c r="D110" s="2" t="s">
        <v>77</v>
      </c>
      <c r="E110" s="1">
        <v>0.33819444444444446</v>
      </c>
      <c r="F110" s="1">
        <v>0.3659722222222222</v>
      </c>
      <c r="G110" s="9">
        <f t="shared" si="10"/>
        <v>44662</v>
      </c>
      <c r="H110" s="11">
        <f t="shared" si="11"/>
        <v>0.7</v>
      </c>
      <c r="I110" s="10">
        <f t="shared" si="7"/>
        <v>0.7</v>
      </c>
      <c r="J110" s="10">
        <f t="shared" si="8"/>
        <v>7.2</v>
      </c>
      <c r="K110" s="10">
        <f t="shared" si="9"/>
        <v>6.8</v>
      </c>
      <c r="L110" s="10">
        <f t="shared" si="12"/>
        <v>49.900000000000006</v>
      </c>
    </row>
    <row r="111" spans="1:12" x14ac:dyDescent="0.25">
      <c r="A111" s="7">
        <v>44663</v>
      </c>
      <c r="B111" t="s">
        <v>19</v>
      </c>
      <c r="C111" s="6">
        <v>2675</v>
      </c>
      <c r="D111" s="2" t="s">
        <v>76</v>
      </c>
      <c r="E111" s="1">
        <v>0.3659722222222222</v>
      </c>
      <c r="F111" s="1">
        <v>0.45277777777777778</v>
      </c>
      <c r="G111" s="9">
        <f t="shared" si="10"/>
        <v>44662</v>
      </c>
      <c r="H111" s="11">
        <f t="shared" si="11"/>
        <v>2.1</v>
      </c>
      <c r="I111" s="10">
        <f t="shared" si="7"/>
        <v>2.8</v>
      </c>
      <c r="J111" s="10">
        <f t="shared" si="8"/>
        <v>7.2</v>
      </c>
      <c r="K111" s="10">
        <f t="shared" si="9"/>
        <v>8.9</v>
      </c>
      <c r="L111" s="10">
        <f t="shared" si="12"/>
        <v>52</v>
      </c>
    </row>
    <row r="112" spans="1:12" x14ac:dyDescent="0.25">
      <c r="A112" s="7">
        <v>44663</v>
      </c>
      <c r="B112" t="s">
        <v>21</v>
      </c>
      <c r="C112" s="6">
        <v>2002</v>
      </c>
      <c r="D112" t="s">
        <v>78</v>
      </c>
      <c r="E112" s="1">
        <v>0.45277777777777778</v>
      </c>
      <c r="F112" s="1">
        <v>0.49444444444444446</v>
      </c>
      <c r="G112" s="9">
        <f t="shared" si="10"/>
        <v>44662</v>
      </c>
      <c r="H112" s="11">
        <f t="shared" si="11"/>
        <v>1</v>
      </c>
      <c r="I112" s="10">
        <f t="shared" si="7"/>
        <v>3.8</v>
      </c>
      <c r="J112" s="10">
        <f t="shared" si="8"/>
        <v>7.2</v>
      </c>
      <c r="K112" s="10">
        <f t="shared" si="9"/>
        <v>9.9</v>
      </c>
      <c r="L112" s="10">
        <f t="shared" si="12"/>
        <v>53</v>
      </c>
    </row>
    <row r="113" spans="1:12" x14ac:dyDescent="0.25">
      <c r="A113" s="7">
        <v>44663</v>
      </c>
      <c r="B113" t="s">
        <v>17</v>
      </c>
      <c r="C113" s="6">
        <v>2420</v>
      </c>
      <c r="D113" s="2" t="s">
        <v>74</v>
      </c>
      <c r="E113" s="1">
        <v>0.50416666666666665</v>
      </c>
      <c r="F113" s="1">
        <v>0.58263888888888882</v>
      </c>
      <c r="G113" s="9">
        <f t="shared" si="10"/>
        <v>44662</v>
      </c>
      <c r="H113" s="11">
        <f t="shared" si="11"/>
        <v>1.9</v>
      </c>
      <c r="I113" s="10">
        <f t="shared" si="7"/>
        <v>5.6999999999999993</v>
      </c>
      <c r="J113" s="10">
        <f t="shared" si="8"/>
        <v>7.2</v>
      </c>
      <c r="K113" s="10">
        <f t="shared" si="9"/>
        <v>11.8</v>
      </c>
      <c r="L113" s="10">
        <f t="shared" si="12"/>
        <v>54.9</v>
      </c>
    </row>
    <row r="114" spans="1:12" x14ac:dyDescent="0.25">
      <c r="A114" s="7">
        <v>44663</v>
      </c>
      <c r="B114" t="s">
        <v>19</v>
      </c>
      <c r="C114" s="6">
        <v>2675</v>
      </c>
      <c r="D114" s="2" t="s">
        <v>76</v>
      </c>
      <c r="E114" s="1">
        <v>0.58263888888888882</v>
      </c>
      <c r="F114" s="1">
        <v>0.625</v>
      </c>
      <c r="G114" s="9">
        <f t="shared" si="10"/>
        <v>44662</v>
      </c>
      <c r="H114" s="11">
        <f t="shared" si="11"/>
        <v>1</v>
      </c>
      <c r="I114" s="10">
        <f t="shared" si="7"/>
        <v>6.7</v>
      </c>
      <c r="J114" s="10">
        <f t="shared" si="8"/>
        <v>7.2</v>
      </c>
      <c r="K114" s="10">
        <f t="shared" si="9"/>
        <v>12.8</v>
      </c>
      <c r="L114" s="10">
        <f t="shared" si="12"/>
        <v>55.9</v>
      </c>
    </row>
    <row r="115" spans="1:12" x14ac:dyDescent="0.25">
      <c r="A115" s="7">
        <v>44663</v>
      </c>
      <c r="B115" t="s">
        <v>17</v>
      </c>
      <c r="C115" s="6">
        <v>2420</v>
      </c>
      <c r="D115" s="2" t="s">
        <v>79</v>
      </c>
      <c r="E115" s="1">
        <v>0.625</v>
      </c>
      <c r="F115" s="1">
        <v>0.66249999999999998</v>
      </c>
      <c r="G115" s="9">
        <f t="shared" si="10"/>
        <v>44662</v>
      </c>
      <c r="H115" s="11">
        <f t="shared" si="11"/>
        <v>0.9</v>
      </c>
      <c r="I115" s="10">
        <f t="shared" si="7"/>
        <v>7.6000000000000005</v>
      </c>
      <c r="J115" s="10">
        <f t="shared" si="8"/>
        <v>7.2</v>
      </c>
      <c r="K115" s="10">
        <f t="shared" si="9"/>
        <v>13.700000000000001</v>
      </c>
      <c r="L115" s="10">
        <f t="shared" si="12"/>
        <v>56.8</v>
      </c>
    </row>
    <row r="116" spans="1:12" x14ac:dyDescent="0.25">
      <c r="A116" s="7">
        <v>44664</v>
      </c>
      <c r="B116" t="s">
        <v>19</v>
      </c>
      <c r="C116" s="6">
        <v>2675</v>
      </c>
      <c r="D116" s="2" t="s">
        <v>80</v>
      </c>
      <c r="E116" s="1">
        <v>0.35416666666666669</v>
      </c>
      <c r="F116" s="1">
        <v>0.4916666666666667</v>
      </c>
      <c r="G116" s="9">
        <f t="shared" si="10"/>
        <v>44662</v>
      </c>
      <c r="H116" s="11">
        <f t="shared" si="11"/>
        <v>3.3</v>
      </c>
      <c r="I116" s="10">
        <f t="shared" si="7"/>
        <v>3.3</v>
      </c>
      <c r="J116" s="10">
        <f t="shared" si="8"/>
        <v>7.2</v>
      </c>
      <c r="K116" s="10">
        <f t="shared" si="9"/>
        <v>17</v>
      </c>
      <c r="L116" s="10">
        <f t="shared" si="12"/>
        <v>60.099999999999994</v>
      </c>
    </row>
    <row r="117" spans="1:12" x14ac:dyDescent="0.25">
      <c r="A117" s="7">
        <v>44664</v>
      </c>
      <c r="B117" t="s">
        <v>19</v>
      </c>
      <c r="C117" s="6">
        <v>2675</v>
      </c>
      <c r="D117" s="2" t="s">
        <v>80</v>
      </c>
      <c r="E117" s="1">
        <v>0.50277777777777777</v>
      </c>
      <c r="F117" s="1">
        <v>0.65555555555555556</v>
      </c>
      <c r="G117" s="9">
        <f t="shared" si="10"/>
        <v>44662</v>
      </c>
      <c r="H117" s="11">
        <f t="shared" si="11"/>
        <v>3.7</v>
      </c>
      <c r="I117" s="10">
        <f t="shared" si="7"/>
        <v>7</v>
      </c>
      <c r="J117" s="10">
        <f t="shared" si="8"/>
        <v>7.2</v>
      </c>
      <c r="K117" s="10">
        <f t="shared" si="9"/>
        <v>20.7</v>
      </c>
      <c r="L117" s="10">
        <f t="shared" si="12"/>
        <v>63.800000000000004</v>
      </c>
    </row>
    <row r="118" spans="1:12" x14ac:dyDescent="0.25">
      <c r="A118" s="7">
        <v>44665</v>
      </c>
      <c r="B118" t="s">
        <v>17</v>
      </c>
      <c r="C118" s="6">
        <v>2420</v>
      </c>
      <c r="D118" s="2" t="s">
        <v>81</v>
      </c>
      <c r="E118" s="1">
        <v>0.31388888888888888</v>
      </c>
      <c r="F118" s="1">
        <v>0.375</v>
      </c>
      <c r="G118" s="9">
        <f t="shared" si="10"/>
        <v>44662</v>
      </c>
      <c r="H118" s="11">
        <f t="shared" si="11"/>
        <v>1.5</v>
      </c>
      <c r="I118" s="10">
        <f t="shared" si="7"/>
        <v>1.5</v>
      </c>
      <c r="J118" s="10">
        <f t="shared" si="8"/>
        <v>7.2</v>
      </c>
      <c r="K118" s="10">
        <f t="shared" si="9"/>
        <v>22.2</v>
      </c>
      <c r="L118" s="10">
        <f t="shared" si="12"/>
        <v>65.3</v>
      </c>
    </row>
    <row r="119" spans="1:12" x14ac:dyDescent="0.25">
      <c r="A119" s="7">
        <v>44665</v>
      </c>
      <c r="B119" t="s">
        <v>19</v>
      </c>
      <c r="C119" s="6">
        <v>2675</v>
      </c>
      <c r="D119" s="2" t="s">
        <v>82</v>
      </c>
      <c r="E119" s="1">
        <v>0.375</v>
      </c>
      <c r="F119" s="1">
        <v>0.51041666666666663</v>
      </c>
      <c r="G119" s="9">
        <f t="shared" si="10"/>
        <v>44662</v>
      </c>
      <c r="H119" s="11">
        <f t="shared" si="11"/>
        <v>3.3</v>
      </c>
      <c r="I119" s="10">
        <f t="shared" si="7"/>
        <v>4.8</v>
      </c>
      <c r="J119" s="10">
        <f t="shared" si="8"/>
        <v>7.2</v>
      </c>
      <c r="K119" s="10">
        <f t="shared" si="9"/>
        <v>25.5</v>
      </c>
      <c r="L119" s="10">
        <f t="shared" si="12"/>
        <v>68.599999999999994</v>
      </c>
    </row>
    <row r="120" spans="1:12" x14ac:dyDescent="0.25">
      <c r="A120" s="7">
        <v>44665</v>
      </c>
      <c r="B120" t="s">
        <v>19</v>
      </c>
      <c r="C120" s="6">
        <v>2675</v>
      </c>
      <c r="D120" s="2" t="s">
        <v>82</v>
      </c>
      <c r="E120" s="1">
        <v>0.51874999999999993</v>
      </c>
      <c r="F120" s="1">
        <v>0.58333333333333337</v>
      </c>
      <c r="G120" s="9">
        <f t="shared" si="10"/>
        <v>44662</v>
      </c>
      <c r="H120" s="11">
        <f t="shared" si="11"/>
        <v>1.6</v>
      </c>
      <c r="I120" s="10">
        <f t="shared" si="7"/>
        <v>6.4</v>
      </c>
      <c r="J120" s="10">
        <f t="shared" si="8"/>
        <v>7.2</v>
      </c>
      <c r="K120" s="10">
        <f t="shared" si="9"/>
        <v>27.1</v>
      </c>
      <c r="L120" s="10">
        <f t="shared" si="12"/>
        <v>70.199999999999989</v>
      </c>
    </row>
    <row r="121" spans="1:12" x14ac:dyDescent="0.25">
      <c r="A121" s="7">
        <v>44665</v>
      </c>
      <c r="B121" t="s">
        <v>21</v>
      </c>
      <c r="C121" s="6">
        <v>2002</v>
      </c>
      <c r="D121" t="s">
        <v>83</v>
      </c>
      <c r="E121" s="1">
        <v>0.58333333333333337</v>
      </c>
      <c r="F121" s="1">
        <v>0.6</v>
      </c>
      <c r="G121" s="9">
        <f t="shared" si="10"/>
        <v>44662</v>
      </c>
      <c r="H121" s="11">
        <f t="shared" si="11"/>
        <v>0.4</v>
      </c>
      <c r="I121" s="10">
        <f t="shared" si="7"/>
        <v>6.8000000000000007</v>
      </c>
      <c r="J121" s="10">
        <f t="shared" si="8"/>
        <v>7.2</v>
      </c>
      <c r="K121" s="10">
        <f t="shared" si="9"/>
        <v>27.5</v>
      </c>
      <c r="L121" s="10">
        <f t="shared" si="12"/>
        <v>70.600000000000009</v>
      </c>
    </row>
    <row r="122" spans="1:12" x14ac:dyDescent="0.25">
      <c r="A122" s="7">
        <v>44665</v>
      </c>
      <c r="B122" t="s">
        <v>19</v>
      </c>
      <c r="C122" s="6">
        <v>2675</v>
      </c>
      <c r="D122" s="2" t="s">
        <v>84</v>
      </c>
      <c r="E122" s="1">
        <v>0.6</v>
      </c>
      <c r="F122" s="1">
        <v>0.65902777777777777</v>
      </c>
      <c r="G122" s="9">
        <f t="shared" si="10"/>
        <v>44662</v>
      </c>
      <c r="H122" s="11">
        <f t="shared" si="11"/>
        <v>1.4</v>
      </c>
      <c r="I122" s="10">
        <f t="shared" si="7"/>
        <v>8.1999999999999993</v>
      </c>
      <c r="J122" s="10">
        <f t="shared" si="8"/>
        <v>7.2</v>
      </c>
      <c r="K122" s="10">
        <f t="shared" si="9"/>
        <v>28.9</v>
      </c>
      <c r="L122" s="10">
        <f t="shared" si="12"/>
        <v>72</v>
      </c>
    </row>
    <row r="123" spans="1:12" x14ac:dyDescent="0.25">
      <c r="A123" s="7">
        <v>44666</v>
      </c>
      <c r="B123" t="s">
        <v>7</v>
      </c>
      <c r="C123" s="6" t="s">
        <v>22</v>
      </c>
      <c r="D123" s="2" t="s">
        <v>85</v>
      </c>
      <c r="E123" s="1">
        <v>0.375</v>
      </c>
      <c r="F123" s="1">
        <v>0.67499999999999993</v>
      </c>
      <c r="G123" s="9">
        <f t="shared" si="10"/>
        <v>44662</v>
      </c>
      <c r="H123" s="11">
        <f t="shared" si="11"/>
        <v>7.2</v>
      </c>
      <c r="I123" s="10">
        <f t="shared" si="7"/>
        <v>7.2</v>
      </c>
      <c r="J123" s="10">
        <f t="shared" si="8"/>
        <v>7.2</v>
      </c>
      <c r="K123" s="10">
        <f t="shared" si="9"/>
        <v>36.1</v>
      </c>
      <c r="L123" s="10">
        <f t="shared" si="12"/>
        <v>79.2</v>
      </c>
    </row>
    <row r="124" spans="1:12" x14ac:dyDescent="0.25">
      <c r="A124" s="7">
        <v>44669</v>
      </c>
      <c r="B124" t="s">
        <v>7</v>
      </c>
      <c r="C124" s="6" t="s">
        <v>22</v>
      </c>
      <c r="D124" s="2" t="s">
        <v>86</v>
      </c>
      <c r="E124" s="1">
        <v>0.375</v>
      </c>
      <c r="F124" s="1">
        <v>0.67499999999999993</v>
      </c>
      <c r="G124" s="9">
        <f t="shared" si="10"/>
        <v>44669</v>
      </c>
      <c r="H124" s="11">
        <f t="shared" si="11"/>
        <v>7.2</v>
      </c>
      <c r="I124" s="10">
        <f t="shared" si="7"/>
        <v>7.2</v>
      </c>
      <c r="J124" s="10">
        <f t="shared" si="8"/>
        <v>7.2</v>
      </c>
      <c r="K124" s="10">
        <f t="shared" si="9"/>
        <v>7.2</v>
      </c>
      <c r="L124" s="10">
        <f t="shared" si="12"/>
        <v>86.4</v>
      </c>
    </row>
    <row r="125" spans="1:12" x14ac:dyDescent="0.25">
      <c r="A125" s="7">
        <v>44670</v>
      </c>
      <c r="B125" t="s">
        <v>17</v>
      </c>
      <c r="C125" s="6">
        <v>2420</v>
      </c>
      <c r="D125" s="2" t="s">
        <v>81</v>
      </c>
      <c r="E125" s="1">
        <v>0.3263888888888889</v>
      </c>
      <c r="F125" s="1">
        <v>0.4375</v>
      </c>
      <c r="G125" s="9">
        <f t="shared" si="10"/>
        <v>44669</v>
      </c>
      <c r="H125" s="11">
        <f t="shared" si="11"/>
        <v>2.7</v>
      </c>
      <c r="I125" s="10">
        <f t="shared" si="7"/>
        <v>2.7</v>
      </c>
      <c r="J125" s="10">
        <f t="shared" si="8"/>
        <v>7.2</v>
      </c>
      <c r="K125" s="10">
        <f t="shared" si="9"/>
        <v>9.9</v>
      </c>
      <c r="L125" s="10">
        <f t="shared" si="12"/>
        <v>89.100000000000009</v>
      </c>
    </row>
    <row r="126" spans="1:12" x14ac:dyDescent="0.25">
      <c r="A126" s="7">
        <v>44670</v>
      </c>
      <c r="B126" t="s">
        <v>6</v>
      </c>
      <c r="C126" s="6" t="s">
        <v>416</v>
      </c>
      <c r="D126" s="2" t="s">
        <v>58</v>
      </c>
      <c r="E126" s="1">
        <v>0.4375</v>
      </c>
      <c r="F126" s="1">
        <v>0.47361111111111115</v>
      </c>
      <c r="G126" s="9">
        <f t="shared" si="10"/>
        <v>44669</v>
      </c>
      <c r="H126" s="11">
        <f t="shared" si="11"/>
        <v>0.9</v>
      </c>
      <c r="I126" s="10">
        <f t="shared" si="7"/>
        <v>3.6</v>
      </c>
      <c r="J126" s="10">
        <f t="shared" si="8"/>
        <v>7.2</v>
      </c>
      <c r="K126" s="10">
        <f t="shared" si="9"/>
        <v>10.8</v>
      </c>
      <c r="L126" s="10">
        <f t="shared" si="12"/>
        <v>90</v>
      </c>
    </row>
    <row r="127" spans="1:12" x14ac:dyDescent="0.25">
      <c r="A127" s="7">
        <v>44670</v>
      </c>
      <c r="B127" t="s">
        <v>17</v>
      </c>
      <c r="C127" s="6">
        <v>2420</v>
      </c>
      <c r="D127" s="2" t="s">
        <v>81</v>
      </c>
      <c r="E127" s="1">
        <v>0.47361111111111115</v>
      </c>
      <c r="F127" s="1">
        <v>0.50555555555555554</v>
      </c>
      <c r="G127" s="9">
        <f t="shared" si="10"/>
        <v>44669</v>
      </c>
      <c r="H127" s="11">
        <f t="shared" si="11"/>
        <v>0.8</v>
      </c>
      <c r="I127" s="10">
        <f t="shared" si="7"/>
        <v>4.4000000000000004</v>
      </c>
      <c r="J127" s="10">
        <f t="shared" si="8"/>
        <v>7.2</v>
      </c>
      <c r="K127" s="10">
        <f t="shared" si="9"/>
        <v>11.600000000000001</v>
      </c>
      <c r="L127" s="10">
        <f t="shared" si="12"/>
        <v>90.8</v>
      </c>
    </row>
    <row r="128" spans="1:12" x14ac:dyDescent="0.25">
      <c r="A128" s="7">
        <v>44670</v>
      </c>
      <c r="B128" t="s">
        <v>17</v>
      </c>
      <c r="C128" s="6">
        <v>2420</v>
      </c>
      <c r="D128" s="2" t="s">
        <v>81</v>
      </c>
      <c r="E128" s="1">
        <v>0.51666666666666672</v>
      </c>
      <c r="F128" s="1">
        <v>0.6118055555555556</v>
      </c>
      <c r="G128" s="9">
        <f t="shared" si="10"/>
        <v>44669</v>
      </c>
      <c r="H128" s="11">
        <f t="shared" si="11"/>
        <v>2.2999999999999998</v>
      </c>
      <c r="I128" s="10">
        <f t="shared" si="7"/>
        <v>6.7</v>
      </c>
      <c r="J128" s="10">
        <f t="shared" si="8"/>
        <v>7.2</v>
      </c>
      <c r="K128" s="10">
        <f t="shared" si="9"/>
        <v>13.899999999999999</v>
      </c>
      <c r="L128" s="10">
        <f t="shared" si="12"/>
        <v>93.1</v>
      </c>
    </row>
    <row r="129" spans="1:12" x14ac:dyDescent="0.25">
      <c r="A129" s="7">
        <v>44671</v>
      </c>
      <c r="B129" t="s">
        <v>21</v>
      </c>
      <c r="C129" s="6">
        <v>2002</v>
      </c>
      <c r="D129" t="s">
        <v>62</v>
      </c>
      <c r="E129" s="1">
        <v>0.33055555555555555</v>
      </c>
      <c r="F129" s="1">
        <v>0.4826388888888889</v>
      </c>
      <c r="G129" s="9">
        <f t="shared" si="10"/>
        <v>44669</v>
      </c>
      <c r="H129" s="11">
        <f t="shared" si="11"/>
        <v>3.7</v>
      </c>
      <c r="I129" s="10">
        <f t="shared" si="7"/>
        <v>3.7</v>
      </c>
      <c r="J129" s="10">
        <f t="shared" si="8"/>
        <v>7.2</v>
      </c>
      <c r="K129" s="10">
        <f t="shared" si="9"/>
        <v>17.600000000000001</v>
      </c>
      <c r="L129" s="10">
        <f t="shared" si="12"/>
        <v>96.8</v>
      </c>
    </row>
    <row r="130" spans="1:12" x14ac:dyDescent="0.25">
      <c r="A130" s="7">
        <v>44671</v>
      </c>
      <c r="B130" t="s">
        <v>6</v>
      </c>
      <c r="C130" s="6" t="s">
        <v>416</v>
      </c>
      <c r="D130" s="2" t="s">
        <v>30</v>
      </c>
      <c r="E130" s="1">
        <v>0.50138888888888888</v>
      </c>
      <c r="F130" s="1">
        <v>0.60069444444444442</v>
      </c>
      <c r="G130" s="9">
        <f t="shared" si="10"/>
        <v>44669</v>
      </c>
      <c r="H130" s="11">
        <f t="shared" si="11"/>
        <v>2.4</v>
      </c>
      <c r="I130" s="10">
        <f t="shared" si="7"/>
        <v>6.1</v>
      </c>
      <c r="J130" s="10">
        <f t="shared" si="8"/>
        <v>7.2</v>
      </c>
      <c r="K130" s="10">
        <f t="shared" si="9"/>
        <v>20</v>
      </c>
      <c r="L130" s="10">
        <f t="shared" si="12"/>
        <v>99.2</v>
      </c>
    </row>
    <row r="131" spans="1:12" x14ac:dyDescent="0.25">
      <c r="A131" s="7">
        <v>44671</v>
      </c>
      <c r="B131" t="s">
        <v>17</v>
      </c>
      <c r="C131" s="6">
        <v>2420</v>
      </c>
      <c r="D131" s="2" t="s">
        <v>81</v>
      </c>
      <c r="E131" s="1">
        <v>0.60069444444444442</v>
      </c>
      <c r="F131" s="1">
        <v>0.65416666666666667</v>
      </c>
      <c r="G131" s="9">
        <f t="shared" si="10"/>
        <v>44669</v>
      </c>
      <c r="H131" s="11">
        <f t="shared" si="11"/>
        <v>1.3</v>
      </c>
      <c r="I131" s="10">
        <f t="shared" ref="I131:I194" si="13">IF(H131="",H131,H131+IF(A131=A130,_xlfn.NUMBERVALUE(I130),0))</f>
        <v>7.3999999999999995</v>
      </c>
      <c r="J131" s="10">
        <f t="shared" ref="J131:J194" si="14">IF(H131="",H131,7.2)</f>
        <v>7.2</v>
      </c>
      <c r="K131" s="10">
        <f t="shared" ref="K131:K194" si="15">IF(H131="",H131,H131+IF(G131=G130,_xlfn.NUMBERVALUE(K130),0))</f>
        <v>21.3</v>
      </c>
      <c r="L131" s="10">
        <f t="shared" si="12"/>
        <v>100.5</v>
      </c>
    </row>
    <row r="132" spans="1:12" x14ac:dyDescent="0.25">
      <c r="A132" s="7">
        <v>44672</v>
      </c>
      <c r="B132" t="s">
        <v>17</v>
      </c>
      <c r="C132" s="6">
        <v>2420</v>
      </c>
      <c r="D132" s="2" t="s">
        <v>81</v>
      </c>
      <c r="E132" s="1">
        <v>0.34027777777777773</v>
      </c>
      <c r="F132" s="1">
        <v>0.48541666666666666</v>
      </c>
      <c r="G132" s="9">
        <f t="shared" ref="G132:G195" si="16">IF(E132&gt;0,INT((A132-2)/7)*7+2,"")</f>
        <v>44669</v>
      </c>
      <c r="H132" s="11">
        <f t="shared" ref="H132:H195" si="17">IF(E132&gt;0,ROUND(24*(IF(F132&gt;0,F132,NowTime)-E132),1),"")</f>
        <v>3.5</v>
      </c>
      <c r="I132" s="10">
        <f t="shared" si="13"/>
        <v>3.5</v>
      </c>
      <c r="J132" s="10">
        <f t="shared" si="14"/>
        <v>7.2</v>
      </c>
      <c r="K132" s="10">
        <f t="shared" si="15"/>
        <v>24.8</v>
      </c>
      <c r="L132" s="10">
        <f t="shared" si="12"/>
        <v>104</v>
      </c>
    </row>
    <row r="133" spans="1:12" x14ac:dyDescent="0.25">
      <c r="A133" s="7">
        <v>44672</v>
      </c>
      <c r="B133" t="s">
        <v>17</v>
      </c>
      <c r="C133" s="6">
        <v>2420</v>
      </c>
      <c r="D133" s="2" t="s">
        <v>81</v>
      </c>
      <c r="E133" s="1">
        <v>0.50277777777777777</v>
      </c>
      <c r="F133" s="1">
        <v>0.63194444444444442</v>
      </c>
      <c r="G133" s="9">
        <f t="shared" si="16"/>
        <v>44669</v>
      </c>
      <c r="H133" s="11">
        <f t="shared" si="17"/>
        <v>3.1</v>
      </c>
      <c r="I133" s="10">
        <f t="shared" si="13"/>
        <v>6.6</v>
      </c>
      <c r="J133" s="10">
        <f t="shared" si="14"/>
        <v>7.2</v>
      </c>
      <c r="K133" s="10">
        <f t="shared" si="15"/>
        <v>27.900000000000002</v>
      </c>
      <c r="L133" s="10">
        <f t="shared" ref="L133:L196" si="18">IF(H133="",H133,H133+IF(MONTH(A133)=MONTH(A132),_xlfn.NUMBERVALUE(L132),0))</f>
        <v>107.1</v>
      </c>
    </row>
    <row r="134" spans="1:12" x14ac:dyDescent="0.25">
      <c r="A134" s="7">
        <v>44673</v>
      </c>
      <c r="B134" t="s">
        <v>17</v>
      </c>
      <c r="C134" s="6">
        <v>2420</v>
      </c>
      <c r="D134" s="2" t="s">
        <v>87</v>
      </c>
      <c r="E134" s="1">
        <v>0.33402777777777781</v>
      </c>
      <c r="F134" s="1">
        <v>0.44791666666666669</v>
      </c>
      <c r="G134" s="9">
        <f t="shared" si="16"/>
        <v>44669</v>
      </c>
      <c r="H134" s="11">
        <f t="shared" si="17"/>
        <v>2.7</v>
      </c>
      <c r="I134" s="10">
        <f t="shared" si="13"/>
        <v>2.7</v>
      </c>
      <c r="J134" s="10">
        <f t="shared" si="14"/>
        <v>7.2</v>
      </c>
      <c r="K134" s="10">
        <f t="shared" si="15"/>
        <v>30.599999999999998</v>
      </c>
      <c r="L134" s="10">
        <f t="shared" si="18"/>
        <v>109.8</v>
      </c>
    </row>
    <row r="135" spans="1:12" x14ac:dyDescent="0.25">
      <c r="A135" s="7">
        <v>44673</v>
      </c>
      <c r="B135" t="s">
        <v>17</v>
      </c>
      <c r="C135" s="6">
        <v>2420</v>
      </c>
      <c r="D135" s="2" t="s">
        <v>87</v>
      </c>
      <c r="E135" s="1">
        <v>0.46597222222222223</v>
      </c>
      <c r="F135" s="1">
        <v>0.50277777777777777</v>
      </c>
      <c r="G135" s="9">
        <f t="shared" si="16"/>
        <v>44669</v>
      </c>
      <c r="H135" s="11">
        <f t="shared" si="17"/>
        <v>0.9</v>
      </c>
      <c r="I135" s="10">
        <f t="shared" si="13"/>
        <v>3.6</v>
      </c>
      <c r="J135" s="10">
        <f t="shared" si="14"/>
        <v>7.2</v>
      </c>
      <c r="K135" s="10">
        <f t="shared" si="15"/>
        <v>31.5</v>
      </c>
      <c r="L135" s="10">
        <f t="shared" si="18"/>
        <v>110.7</v>
      </c>
    </row>
    <row r="136" spans="1:12" x14ac:dyDescent="0.25">
      <c r="A136" s="7">
        <v>44673</v>
      </c>
      <c r="B136" t="s">
        <v>17</v>
      </c>
      <c r="C136" s="6">
        <v>2420</v>
      </c>
      <c r="D136" s="2" t="s">
        <v>87</v>
      </c>
      <c r="E136" s="1">
        <v>0.51111111111111118</v>
      </c>
      <c r="F136" s="1">
        <v>0.64444444444444449</v>
      </c>
      <c r="G136" s="9">
        <f t="shared" si="16"/>
        <v>44669</v>
      </c>
      <c r="H136" s="11">
        <f t="shared" si="17"/>
        <v>3.2</v>
      </c>
      <c r="I136" s="10">
        <f t="shared" si="13"/>
        <v>6.8000000000000007</v>
      </c>
      <c r="J136" s="10">
        <f t="shared" si="14"/>
        <v>7.2</v>
      </c>
      <c r="K136" s="10">
        <f t="shared" si="15"/>
        <v>34.700000000000003</v>
      </c>
      <c r="L136" s="10">
        <f t="shared" si="18"/>
        <v>113.9</v>
      </c>
    </row>
    <row r="137" spans="1:12" x14ac:dyDescent="0.25">
      <c r="A137" s="7">
        <v>44676</v>
      </c>
      <c r="B137" t="s">
        <v>7</v>
      </c>
      <c r="C137" s="6" t="s">
        <v>22</v>
      </c>
      <c r="D137" s="2" t="s">
        <v>91</v>
      </c>
      <c r="E137" s="1">
        <v>0.375</v>
      </c>
      <c r="F137" s="1">
        <v>0.67499999999999993</v>
      </c>
      <c r="G137" s="9">
        <f t="shared" si="16"/>
        <v>44676</v>
      </c>
      <c r="H137" s="11">
        <f t="shared" si="17"/>
        <v>7.2</v>
      </c>
      <c r="I137" s="10">
        <f t="shared" si="13"/>
        <v>7.2</v>
      </c>
      <c r="J137" s="10">
        <f t="shared" si="14"/>
        <v>7.2</v>
      </c>
      <c r="K137" s="10">
        <f t="shared" si="15"/>
        <v>7.2</v>
      </c>
      <c r="L137" s="10">
        <f t="shared" si="18"/>
        <v>121.10000000000001</v>
      </c>
    </row>
    <row r="138" spans="1:12" x14ac:dyDescent="0.25">
      <c r="A138" s="7">
        <v>44677</v>
      </c>
      <c r="B138" t="s">
        <v>6</v>
      </c>
      <c r="C138" s="6" t="s">
        <v>416</v>
      </c>
      <c r="D138" s="2" t="s">
        <v>58</v>
      </c>
      <c r="E138" s="1">
        <v>0.34513888888888888</v>
      </c>
      <c r="F138" s="1">
        <v>0.3979166666666667</v>
      </c>
      <c r="G138" s="9">
        <f t="shared" si="16"/>
        <v>44676</v>
      </c>
      <c r="H138" s="11">
        <f t="shared" si="17"/>
        <v>1.3</v>
      </c>
      <c r="I138" s="10">
        <f t="shared" si="13"/>
        <v>1.3</v>
      </c>
      <c r="J138" s="10">
        <f t="shared" si="14"/>
        <v>7.2</v>
      </c>
      <c r="K138" s="10">
        <f t="shared" si="15"/>
        <v>8.5</v>
      </c>
      <c r="L138" s="10">
        <f t="shared" si="18"/>
        <v>122.39999999999999</v>
      </c>
    </row>
    <row r="139" spans="1:12" x14ac:dyDescent="0.25">
      <c r="A139" s="7">
        <v>44677</v>
      </c>
      <c r="B139" t="s">
        <v>17</v>
      </c>
      <c r="C139" s="6">
        <v>2420</v>
      </c>
      <c r="D139" s="2" t="s">
        <v>88</v>
      </c>
      <c r="E139" s="1">
        <v>0.3979166666666667</v>
      </c>
      <c r="F139" s="1">
        <v>0.48402777777777778</v>
      </c>
      <c r="G139" s="9">
        <f t="shared" si="16"/>
        <v>44676</v>
      </c>
      <c r="H139" s="11">
        <f t="shared" si="17"/>
        <v>2.1</v>
      </c>
      <c r="I139" s="10">
        <f t="shared" si="13"/>
        <v>3.4000000000000004</v>
      </c>
      <c r="J139" s="10">
        <f t="shared" si="14"/>
        <v>7.2</v>
      </c>
      <c r="K139" s="10">
        <f t="shared" si="15"/>
        <v>10.6</v>
      </c>
      <c r="L139" s="10">
        <f t="shared" si="18"/>
        <v>124.5</v>
      </c>
    </row>
    <row r="140" spans="1:12" x14ac:dyDescent="0.25">
      <c r="A140" s="7">
        <v>44677</v>
      </c>
      <c r="B140" t="s">
        <v>17</v>
      </c>
      <c r="C140" s="6">
        <v>2420</v>
      </c>
      <c r="D140" s="2" t="s">
        <v>88</v>
      </c>
      <c r="E140" s="1">
        <v>0.56458333333333333</v>
      </c>
      <c r="F140" s="1">
        <v>0.58333333333333337</v>
      </c>
      <c r="G140" s="9">
        <f t="shared" si="16"/>
        <v>44676</v>
      </c>
      <c r="H140" s="11">
        <f t="shared" si="17"/>
        <v>0.5</v>
      </c>
      <c r="I140" s="10">
        <f t="shared" si="13"/>
        <v>3.9</v>
      </c>
      <c r="J140" s="10">
        <f t="shared" si="14"/>
        <v>7.2</v>
      </c>
      <c r="K140" s="10">
        <f t="shared" si="15"/>
        <v>11.1</v>
      </c>
      <c r="L140" s="10">
        <f t="shared" si="18"/>
        <v>125</v>
      </c>
    </row>
    <row r="141" spans="1:12" x14ac:dyDescent="0.25">
      <c r="A141" s="7">
        <v>44677</v>
      </c>
      <c r="B141" t="s">
        <v>19</v>
      </c>
      <c r="C141" s="6">
        <v>2675</v>
      </c>
      <c r="D141" s="2" t="s">
        <v>89</v>
      </c>
      <c r="E141" s="1">
        <v>0.58333333333333337</v>
      </c>
      <c r="F141" s="1">
        <v>0.63541666666666663</v>
      </c>
      <c r="G141" s="9">
        <f t="shared" si="16"/>
        <v>44676</v>
      </c>
      <c r="H141" s="11">
        <f t="shared" si="17"/>
        <v>1.3</v>
      </c>
      <c r="I141" s="10">
        <f t="shared" si="13"/>
        <v>5.2</v>
      </c>
      <c r="J141" s="10">
        <f t="shared" si="14"/>
        <v>7.2</v>
      </c>
      <c r="K141" s="10">
        <f t="shared" si="15"/>
        <v>12.4</v>
      </c>
      <c r="L141" s="10">
        <f t="shared" si="18"/>
        <v>126.3</v>
      </c>
    </row>
    <row r="142" spans="1:12" x14ac:dyDescent="0.25">
      <c r="A142" s="7">
        <v>44677</v>
      </c>
      <c r="B142" t="s">
        <v>19</v>
      </c>
      <c r="C142" s="6">
        <v>2675</v>
      </c>
      <c r="D142" s="2" t="s">
        <v>90</v>
      </c>
      <c r="E142" s="1">
        <v>0.63541666666666663</v>
      </c>
      <c r="F142" s="1">
        <v>0.67986111111111114</v>
      </c>
      <c r="G142" s="9">
        <f t="shared" si="16"/>
        <v>44676</v>
      </c>
      <c r="H142" s="11">
        <f t="shared" si="17"/>
        <v>1.1000000000000001</v>
      </c>
      <c r="I142" s="10">
        <f t="shared" si="13"/>
        <v>6.3000000000000007</v>
      </c>
      <c r="J142" s="10">
        <f t="shared" si="14"/>
        <v>7.2</v>
      </c>
      <c r="K142" s="10">
        <f t="shared" si="15"/>
        <v>13.5</v>
      </c>
      <c r="L142" s="10">
        <f t="shared" si="18"/>
        <v>127.39999999999999</v>
      </c>
    </row>
    <row r="143" spans="1:12" x14ac:dyDescent="0.25">
      <c r="A143" s="7">
        <v>44678</v>
      </c>
      <c r="B143" t="s">
        <v>19</v>
      </c>
      <c r="C143" s="6">
        <v>2675</v>
      </c>
      <c r="D143" s="2" t="s">
        <v>90</v>
      </c>
      <c r="E143" s="1">
        <v>0.32777777777777778</v>
      </c>
      <c r="F143" s="1">
        <v>0.66388888888888886</v>
      </c>
      <c r="G143" s="9">
        <f t="shared" si="16"/>
        <v>44676</v>
      </c>
      <c r="H143" s="11">
        <f t="shared" si="17"/>
        <v>8.1</v>
      </c>
      <c r="I143" s="10">
        <f t="shared" si="13"/>
        <v>8.1</v>
      </c>
      <c r="J143" s="10">
        <f t="shared" si="14"/>
        <v>7.2</v>
      </c>
      <c r="K143" s="10">
        <f t="shared" si="15"/>
        <v>21.6</v>
      </c>
      <c r="L143" s="10">
        <f t="shared" si="18"/>
        <v>135.5</v>
      </c>
    </row>
    <row r="144" spans="1:12" x14ac:dyDescent="0.25">
      <c r="A144" s="7">
        <v>44679</v>
      </c>
      <c r="B144" t="s">
        <v>19</v>
      </c>
      <c r="C144" s="6">
        <v>2675</v>
      </c>
      <c r="D144" s="2" t="s">
        <v>90</v>
      </c>
      <c r="E144" s="1">
        <v>0.36736111111111108</v>
      </c>
      <c r="F144" s="1">
        <v>0.45833333333333331</v>
      </c>
      <c r="G144" s="9">
        <f t="shared" si="16"/>
        <v>44676</v>
      </c>
      <c r="H144" s="11">
        <f t="shared" si="17"/>
        <v>2.2000000000000002</v>
      </c>
      <c r="I144" s="10">
        <f t="shared" si="13"/>
        <v>2.2000000000000002</v>
      </c>
      <c r="J144" s="10">
        <f t="shared" si="14"/>
        <v>7.2</v>
      </c>
      <c r="K144" s="10">
        <f t="shared" si="15"/>
        <v>23.8</v>
      </c>
      <c r="L144" s="10">
        <f t="shared" si="18"/>
        <v>137.69999999999999</v>
      </c>
    </row>
    <row r="145" spans="1:12" x14ac:dyDescent="0.25">
      <c r="A145" s="7">
        <v>44679</v>
      </c>
      <c r="B145" t="s">
        <v>19</v>
      </c>
      <c r="C145" s="6">
        <v>2675</v>
      </c>
      <c r="D145" s="2" t="s">
        <v>44</v>
      </c>
      <c r="E145" s="1">
        <v>0.45833333333333331</v>
      </c>
      <c r="F145" s="1">
        <v>0.51180555555555551</v>
      </c>
      <c r="G145" s="9">
        <f t="shared" si="16"/>
        <v>44676</v>
      </c>
      <c r="H145" s="11">
        <f t="shared" si="17"/>
        <v>1.3</v>
      </c>
      <c r="I145" s="10">
        <f t="shared" si="13"/>
        <v>3.5</v>
      </c>
      <c r="J145" s="10">
        <f t="shared" si="14"/>
        <v>7.2</v>
      </c>
      <c r="K145" s="10">
        <f t="shared" si="15"/>
        <v>25.1</v>
      </c>
      <c r="L145" s="10">
        <f t="shared" si="18"/>
        <v>139</v>
      </c>
    </row>
    <row r="146" spans="1:12" x14ac:dyDescent="0.25">
      <c r="A146" s="7">
        <v>44679</v>
      </c>
      <c r="B146" t="s">
        <v>19</v>
      </c>
      <c r="C146" s="6">
        <v>2675</v>
      </c>
      <c r="D146" s="2" t="s">
        <v>90</v>
      </c>
      <c r="E146" s="1">
        <v>0.52708333333333335</v>
      </c>
      <c r="F146" s="1">
        <v>0.65972222222222221</v>
      </c>
      <c r="G146" s="9">
        <f t="shared" si="16"/>
        <v>44676</v>
      </c>
      <c r="H146" s="11">
        <f t="shared" si="17"/>
        <v>3.2</v>
      </c>
      <c r="I146" s="10">
        <f t="shared" si="13"/>
        <v>6.7</v>
      </c>
      <c r="J146" s="10">
        <f t="shared" si="14"/>
        <v>7.2</v>
      </c>
      <c r="K146" s="10">
        <f t="shared" si="15"/>
        <v>28.3</v>
      </c>
      <c r="L146" s="10">
        <f t="shared" si="18"/>
        <v>142.19999999999999</v>
      </c>
    </row>
    <row r="147" spans="1:12" x14ac:dyDescent="0.25">
      <c r="A147" s="7">
        <v>44680</v>
      </c>
      <c r="B147" t="s">
        <v>19</v>
      </c>
      <c r="C147" s="6">
        <v>2675</v>
      </c>
      <c r="D147" s="2" t="s">
        <v>90</v>
      </c>
      <c r="E147" s="1">
        <v>0.3430555555555555</v>
      </c>
      <c r="F147" s="1">
        <v>0.4458333333333333</v>
      </c>
      <c r="G147" s="9">
        <f t="shared" si="16"/>
        <v>44676</v>
      </c>
      <c r="H147" s="11">
        <f t="shared" si="17"/>
        <v>2.5</v>
      </c>
      <c r="I147" s="10">
        <f t="shared" si="13"/>
        <v>2.5</v>
      </c>
      <c r="J147" s="10">
        <f t="shared" si="14"/>
        <v>7.2</v>
      </c>
      <c r="K147" s="10">
        <f t="shared" si="15"/>
        <v>30.8</v>
      </c>
      <c r="L147" s="10">
        <f t="shared" si="18"/>
        <v>144.69999999999999</v>
      </c>
    </row>
    <row r="148" spans="1:12" x14ac:dyDescent="0.25">
      <c r="A148" s="7">
        <v>44680</v>
      </c>
      <c r="B148" t="s">
        <v>6</v>
      </c>
      <c r="C148" s="6" t="s">
        <v>416</v>
      </c>
      <c r="D148" s="2" t="s">
        <v>92</v>
      </c>
      <c r="E148" s="1">
        <v>0.4458333333333333</v>
      </c>
      <c r="F148" s="1">
        <v>0.55694444444444446</v>
      </c>
      <c r="G148" s="9">
        <f t="shared" si="16"/>
        <v>44676</v>
      </c>
      <c r="H148" s="11">
        <f t="shared" si="17"/>
        <v>2.7</v>
      </c>
      <c r="I148" s="10">
        <f t="shared" si="13"/>
        <v>5.2</v>
      </c>
      <c r="J148" s="10">
        <f t="shared" si="14"/>
        <v>7.2</v>
      </c>
      <c r="K148" s="10">
        <f t="shared" si="15"/>
        <v>33.5</v>
      </c>
      <c r="L148" s="10">
        <f t="shared" si="18"/>
        <v>147.39999999999998</v>
      </c>
    </row>
    <row r="149" spans="1:12" x14ac:dyDescent="0.25">
      <c r="A149" s="7">
        <v>44680</v>
      </c>
      <c r="B149" t="s">
        <v>6</v>
      </c>
      <c r="C149" s="6" t="s">
        <v>416</v>
      </c>
      <c r="D149" s="2" t="s">
        <v>92</v>
      </c>
      <c r="E149" s="1">
        <v>0.56944444444444442</v>
      </c>
      <c r="F149" s="1">
        <v>0.60416666666666663</v>
      </c>
      <c r="G149" s="9">
        <f t="shared" si="16"/>
        <v>44676</v>
      </c>
      <c r="H149" s="11">
        <f t="shared" si="17"/>
        <v>0.8</v>
      </c>
      <c r="I149" s="10">
        <f t="shared" si="13"/>
        <v>6</v>
      </c>
      <c r="J149" s="10">
        <f t="shared" si="14"/>
        <v>7.2</v>
      </c>
      <c r="K149" s="10">
        <f t="shared" si="15"/>
        <v>34.299999999999997</v>
      </c>
      <c r="L149" s="10">
        <f t="shared" si="18"/>
        <v>148.20000000000002</v>
      </c>
    </row>
    <row r="150" spans="1:12" x14ac:dyDescent="0.25">
      <c r="A150" s="7">
        <v>44683</v>
      </c>
      <c r="B150" t="s">
        <v>6</v>
      </c>
      <c r="C150" s="6" t="s">
        <v>416</v>
      </c>
      <c r="D150" s="2" t="s">
        <v>93</v>
      </c>
      <c r="E150" s="1">
        <v>0.3347222222222222</v>
      </c>
      <c r="F150" s="1">
        <v>0.42708333333333331</v>
      </c>
      <c r="G150" s="9">
        <f t="shared" si="16"/>
        <v>44683</v>
      </c>
      <c r="H150" s="11">
        <f t="shared" si="17"/>
        <v>2.2000000000000002</v>
      </c>
      <c r="I150" s="10">
        <f t="shared" si="13"/>
        <v>2.2000000000000002</v>
      </c>
      <c r="J150" s="10">
        <f t="shared" si="14"/>
        <v>7.2</v>
      </c>
      <c r="K150" s="10">
        <f t="shared" si="15"/>
        <v>2.2000000000000002</v>
      </c>
      <c r="L150" s="10">
        <f t="shared" si="18"/>
        <v>2.2000000000000002</v>
      </c>
    </row>
    <row r="151" spans="1:12" x14ac:dyDescent="0.25">
      <c r="A151" s="7">
        <v>44683</v>
      </c>
      <c r="B151" t="s">
        <v>17</v>
      </c>
      <c r="C151" s="6">
        <v>2420</v>
      </c>
      <c r="D151" s="2" t="s">
        <v>88</v>
      </c>
      <c r="E151" s="1">
        <v>0.42708333333333331</v>
      </c>
      <c r="F151" s="1">
        <v>0.52777777777777779</v>
      </c>
      <c r="G151" s="9">
        <f t="shared" si="16"/>
        <v>44683</v>
      </c>
      <c r="H151" s="11">
        <f t="shared" si="17"/>
        <v>2.4</v>
      </c>
      <c r="I151" s="10">
        <f t="shared" si="13"/>
        <v>4.5999999999999996</v>
      </c>
      <c r="J151" s="10">
        <f t="shared" si="14"/>
        <v>7.2</v>
      </c>
      <c r="K151" s="10">
        <f t="shared" si="15"/>
        <v>4.5999999999999996</v>
      </c>
      <c r="L151" s="10">
        <f t="shared" si="18"/>
        <v>4.5999999999999996</v>
      </c>
    </row>
    <row r="152" spans="1:12" x14ac:dyDescent="0.25">
      <c r="A152" s="7">
        <v>44683</v>
      </c>
      <c r="B152" t="s">
        <v>6</v>
      </c>
      <c r="C152" s="6" t="s">
        <v>416</v>
      </c>
      <c r="D152" s="2" t="s">
        <v>94</v>
      </c>
      <c r="E152" s="1">
        <v>0.54236111111111118</v>
      </c>
      <c r="F152" s="1">
        <v>0.66666666666666663</v>
      </c>
      <c r="G152" s="9">
        <f t="shared" si="16"/>
        <v>44683</v>
      </c>
      <c r="H152" s="11">
        <f t="shared" si="17"/>
        <v>3</v>
      </c>
      <c r="I152" s="10">
        <f t="shared" si="13"/>
        <v>7.6</v>
      </c>
      <c r="J152" s="10">
        <f t="shared" si="14"/>
        <v>7.2</v>
      </c>
      <c r="K152" s="10">
        <f t="shared" si="15"/>
        <v>7.6</v>
      </c>
      <c r="L152" s="10">
        <f t="shared" si="18"/>
        <v>7.6</v>
      </c>
    </row>
    <row r="153" spans="1:12" x14ac:dyDescent="0.25">
      <c r="A153" s="7">
        <v>44683</v>
      </c>
      <c r="B153" t="s">
        <v>6</v>
      </c>
      <c r="C153" s="6" t="s">
        <v>416</v>
      </c>
      <c r="D153" s="2" t="s">
        <v>95</v>
      </c>
      <c r="E153" s="1">
        <v>0.66666666666666663</v>
      </c>
      <c r="F153" s="1">
        <v>0.7270833333333333</v>
      </c>
      <c r="G153" s="9">
        <f t="shared" si="16"/>
        <v>44683</v>
      </c>
      <c r="H153" s="11">
        <f t="shared" si="17"/>
        <v>1.5</v>
      </c>
      <c r="I153" s="10">
        <f t="shared" si="13"/>
        <v>9.1</v>
      </c>
      <c r="J153" s="10">
        <f t="shared" si="14"/>
        <v>7.2</v>
      </c>
      <c r="K153" s="10">
        <f t="shared" si="15"/>
        <v>9.1</v>
      </c>
      <c r="L153" s="10">
        <f t="shared" si="18"/>
        <v>9.1</v>
      </c>
    </row>
    <row r="154" spans="1:12" x14ac:dyDescent="0.25">
      <c r="A154" s="7">
        <v>44684</v>
      </c>
      <c r="B154" t="s">
        <v>6</v>
      </c>
      <c r="C154" s="6" t="s">
        <v>416</v>
      </c>
      <c r="D154" s="2" t="s">
        <v>94</v>
      </c>
      <c r="E154" s="1">
        <v>0.32222222222222224</v>
      </c>
      <c r="F154" s="1">
        <v>0.43263888888888885</v>
      </c>
      <c r="G154" s="9">
        <f t="shared" si="16"/>
        <v>44683</v>
      </c>
      <c r="H154" s="11">
        <f t="shared" si="17"/>
        <v>2.7</v>
      </c>
      <c r="I154" s="10">
        <f t="shared" si="13"/>
        <v>2.7</v>
      </c>
      <c r="J154" s="10">
        <f t="shared" si="14"/>
        <v>7.2</v>
      </c>
      <c r="K154" s="10">
        <f t="shared" si="15"/>
        <v>11.8</v>
      </c>
      <c r="L154" s="10">
        <f t="shared" si="18"/>
        <v>11.8</v>
      </c>
    </row>
    <row r="155" spans="1:12" x14ac:dyDescent="0.25">
      <c r="A155" s="7">
        <v>44684</v>
      </c>
      <c r="B155" t="s">
        <v>17</v>
      </c>
      <c r="C155" s="6">
        <v>2420</v>
      </c>
      <c r="D155" s="2" t="s">
        <v>88</v>
      </c>
      <c r="E155" s="1">
        <v>0.43263888888888885</v>
      </c>
      <c r="F155" s="1">
        <v>0.49861111111111112</v>
      </c>
      <c r="G155" s="9">
        <f t="shared" si="16"/>
        <v>44683</v>
      </c>
      <c r="H155" s="11">
        <f t="shared" si="17"/>
        <v>1.6</v>
      </c>
      <c r="I155" s="10">
        <f t="shared" si="13"/>
        <v>4.3000000000000007</v>
      </c>
      <c r="J155" s="10">
        <f t="shared" si="14"/>
        <v>7.2</v>
      </c>
      <c r="K155" s="10">
        <f t="shared" si="15"/>
        <v>13.4</v>
      </c>
      <c r="L155" s="10">
        <f t="shared" si="18"/>
        <v>13.4</v>
      </c>
    </row>
    <row r="156" spans="1:12" x14ac:dyDescent="0.25">
      <c r="A156" s="7">
        <v>44684</v>
      </c>
      <c r="B156" t="s">
        <v>17</v>
      </c>
      <c r="C156" s="6">
        <v>2420</v>
      </c>
      <c r="D156" s="2" t="s">
        <v>88</v>
      </c>
      <c r="E156" s="1">
        <v>0.50972222222222219</v>
      </c>
      <c r="F156" s="1">
        <v>0.62222222222222223</v>
      </c>
      <c r="G156" s="9">
        <f t="shared" si="16"/>
        <v>44683</v>
      </c>
      <c r="H156" s="11">
        <f t="shared" si="17"/>
        <v>2.7</v>
      </c>
      <c r="I156" s="10">
        <f t="shared" si="13"/>
        <v>7</v>
      </c>
      <c r="J156" s="10">
        <f t="shared" si="14"/>
        <v>7.2</v>
      </c>
      <c r="K156" s="10">
        <f t="shared" si="15"/>
        <v>16.100000000000001</v>
      </c>
      <c r="L156" s="10">
        <f t="shared" si="18"/>
        <v>16.100000000000001</v>
      </c>
    </row>
    <row r="157" spans="1:12" x14ac:dyDescent="0.25">
      <c r="A157" s="7">
        <v>44685</v>
      </c>
      <c r="B157" t="s">
        <v>17</v>
      </c>
      <c r="C157" s="6">
        <v>2420</v>
      </c>
      <c r="D157" s="2" t="s">
        <v>88</v>
      </c>
      <c r="E157" s="1">
        <v>0.33680555555555558</v>
      </c>
      <c r="F157" s="1">
        <v>0.47222222222222227</v>
      </c>
      <c r="G157" s="9">
        <f t="shared" si="16"/>
        <v>44683</v>
      </c>
      <c r="H157" s="11">
        <f t="shared" si="17"/>
        <v>3.3</v>
      </c>
      <c r="I157" s="10">
        <f t="shared" si="13"/>
        <v>3.3</v>
      </c>
      <c r="J157" s="10">
        <f t="shared" si="14"/>
        <v>7.2</v>
      </c>
      <c r="K157" s="10">
        <f t="shared" si="15"/>
        <v>19.400000000000002</v>
      </c>
      <c r="L157" s="10">
        <f t="shared" si="18"/>
        <v>19.400000000000002</v>
      </c>
    </row>
    <row r="158" spans="1:12" x14ac:dyDescent="0.25">
      <c r="A158" s="7">
        <v>44685</v>
      </c>
      <c r="B158" t="s">
        <v>17</v>
      </c>
      <c r="C158" s="6">
        <v>2420</v>
      </c>
      <c r="D158" s="2" t="s">
        <v>88</v>
      </c>
      <c r="E158" s="1">
        <v>0.48541666666666666</v>
      </c>
      <c r="F158" s="1">
        <v>0.58333333333333337</v>
      </c>
      <c r="G158" s="9">
        <f t="shared" si="16"/>
        <v>44683</v>
      </c>
      <c r="H158" s="11">
        <f t="shared" si="17"/>
        <v>2.4</v>
      </c>
      <c r="I158" s="10">
        <f t="shared" si="13"/>
        <v>5.6999999999999993</v>
      </c>
      <c r="J158" s="10">
        <f t="shared" si="14"/>
        <v>7.2</v>
      </c>
      <c r="K158" s="10">
        <f t="shared" si="15"/>
        <v>21.799999999999997</v>
      </c>
      <c r="L158" s="10">
        <f t="shared" si="18"/>
        <v>21.799999999999997</v>
      </c>
    </row>
    <row r="159" spans="1:12" x14ac:dyDescent="0.25">
      <c r="A159" s="7">
        <v>44685</v>
      </c>
      <c r="B159" s="2" t="s">
        <v>464</v>
      </c>
      <c r="C159" s="24">
        <v>2431</v>
      </c>
      <c r="D159" s="2" t="s">
        <v>44</v>
      </c>
      <c r="E159" s="1">
        <v>0.58333333333333337</v>
      </c>
      <c r="F159" s="1">
        <v>0.625</v>
      </c>
      <c r="G159" s="9">
        <f t="shared" si="16"/>
        <v>44683</v>
      </c>
      <c r="H159" s="11">
        <f t="shared" si="17"/>
        <v>1</v>
      </c>
      <c r="I159" s="10">
        <f t="shared" si="13"/>
        <v>6.7</v>
      </c>
      <c r="J159" s="10">
        <f t="shared" si="14"/>
        <v>7.2</v>
      </c>
      <c r="K159" s="10">
        <f t="shared" si="15"/>
        <v>22.8</v>
      </c>
      <c r="L159" s="10">
        <f t="shared" si="18"/>
        <v>22.8</v>
      </c>
    </row>
    <row r="160" spans="1:12" x14ac:dyDescent="0.25">
      <c r="A160" s="7">
        <v>44685</v>
      </c>
      <c r="B160" t="s">
        <v>17</v>
      </c>
      <c r="C160" s="6">
        <v>2420</v>
      </c>
      <c r="D160" s="2" t="s">
        <v>88</v>
      </c>
      <c r="E160" s="1">
        <v>0.625</v>
      </c>
      <c r="F160" s="1">
        <v>0.65555555555555556</v>
      </c>
      <c r="G160" s="9">
        <f t="shared" si="16"/>
        <v>44683</v>
      </c>
      <c r="H160" s="11">
        <f t="shared" si="17"/>
        <v>0.7</v>
      </c>
      <c r="I160" s="10">
        <f t="shared" si="13"/>
        <v>7.4</v>
      </c>
      <c r="J160" s="10">
        <f t="shared" si="14"/>
        <v>7.2</v>
      </c>
      <c r="K160" s="10">
        <f t="shared" si="15"/>
        <v>23.5</v>
      </c>
      <c r="L160" s="10">
        <f t="shared" si="18"/>
        <v>23.5</v>
      </c>
    </row>
    <row r="161" spans="1:12" x14ac:dyDescent="0.25">
      <c r="A161" s="7">
        <v>44686</v>
      </c>
      <c r="B161" t="s">
        <v>6</v>
      </c>
      <c r="C161" s="6" t="s">
        <v>416</v>
      </c>
      <c r="D161" s="2" t="s">
        <v>96</v>
      </c>
      <c r="E161" s="1">
        <v>0.36249999999999999</v>
      </c>
      <c r="F161" s="1">
        <v>0.4055555555555555</v>
      </c>
      <c r="G161" s="9">
        <f t="shared" si="16"/>
        <v>44683</v>
      </c>
      <c r="H161" s="11">
        <f t="shared" si="17"/>
        <v>1</v>
      </c>
      <c r="I161" s="10">
        <f t="shared" si="13"/>
        <v>1</v>
      </c>
      <c r="J161" s="10">
        <f t="shared" si="14"/>
        <v>7.2</v>
      </c>
      <c r="K161" s="10">
        <f t="shared" si="15"/>
        <v>24.5</v>
      </c>
      <c r="L161" s="10">
        <f t="shared" si="18"/>
        <v>24.5</v>
      </c>
    </row>
    <row r="162" spans="1:12" x14ac:dyDescent="0.25">
      <c r="A162" s="7">
        <v>44686</v>
      </c>
      <c r="B162" t="s">
        <v>7</v>
      </c>
      <c r="C162" s="6" t="s">
        <v>22</v>
      </c>
      <c r="D162" s="2" t="s">
        <v>97</v>
      </c>
      <c r="E162" s="1">
        <v>0.40972222222222227</v>
      </c>
      <c r="F162" s="1">
        <v>0.70833333333333337</v>
      </c>
      <c r="G162" s="9">
        <f t="shared" si="16"/>
        <v>44683</v>
      </c>
      <c r="H162" s="11">
        <f t="shared" si="17"/>
        <v>7.2</v>
      </c>
      <c r="I162" s="10">
        <f t="shared" si="13"/>
        <v>8.1999999999999993</v>
      </c>
      <c r="J162" s="10">
        <f t="shared" si="14"/>
        <v>7.2</v>
      </c>
      <c r="K162" s="10">
        <f t="shared" si="15"/>
        <v>31.7</v>
      </c>
      <c r="L162" s="10">
        <f t="shared" si="18"/>
        <v>31.7</v>
      </c>
    </row>
    <row r="163" spans="1:12" x14ac:dyDescent="0.25">
      <c r="A163" s="7">
        <v>44687</v>
      </c>
      <c r="B163" s="2" t="s">
        <v>464</v>
      </c>
      <c r="C163" s="24">
        <v>2431</v>
      </c>
      <c r="D163" s="2" t="s">
        <v>98</v>
      </c>
      <c r="E163" s="1">
        <v>0.43333333333333335</v>
      </c>
      <c r="F163" s="1">
        <v>0.49513888888888885</v>
      </c>
      <c r="G163" s="9">
        <f t="shared" si="16"/>
        <v>44683</v>
      </c>
      <c r="H163" s="11">
        <f t="shared" si="17"/>
        <v>1.5</v>
      </c>
      <c r="I163" s="10">
        <f t="shared" si="13"/>
        <v>1.5</v>
      </c>
      <c r="J163" s="10">
        <f t="shared" si="14"/>
        <v>7.2</v>
      </c>
      <c r="K163" s="10">
        <f t="shared" si="15"/>
        <v>33.200000000000003</v>
      </c>
      <c r="L163" s="10">
        <f t="shared" si="18"/>
        <v>33.200000000000003</v>
      </c>
    </row>
    <row r="164" spans="1:12" x14ac:dyDescent="0.25">
      <c r="A164" s="7">
        <v>44687</v>
      </c>
      <c r="B164" s="2" t="s">
        <v>464</v>
      </c>
      <c r="C164" s="24">
        <v>2431</v>
      </c>
      <c r="D164" s="2" t="s">
        <v>98</v>
      </c>
      <c r="E164" s="1">
        <v>0.50694444444444442</v>
      </c>
      <c r="F164" s="1">
        <v>0.52847222222222223</v>
      </c>
      <c r="G164" s="9">
        <f t="shared" si="16"/>
        <v>44683</v>
      </c>
      <c r="H164" s="11">
        <f t="shared" si="17"/>
        <v>0.5</v>
      </c>
      <c r="I164" s="10">
        <f t="shared" si="13"/>
        <v>2</v>
      </c>
      <c r="J164" s="10">
        <f t="shared" si="14"/>
        <v>7.2</v>
      </c>
      <c r="K164" s="10">
        <f t="shared" si="15"/>
        <v>33.700000000000003</v>
      </c>
      <c r="L164" s="10">
        <f t="shared" si="18"/>
        <v>33.700000000000003</v>
      </c>
    </row>
    <row r="165" spans="1:12" x14ac:dyDescent="0.25">
      <c r="A165" s="7">
        <v>44687</v>
      </c>
      <c r="B165" s="2" t="s">
        <v>28</v>
      </c>
      <c r="C165" s="24">
        <v>2704</v>
      </c>
      <c r="D165" s="2" t="s">
        <v>99</v>
      </c>
      <c r="E165" s="1">
        <v>0.52847222222222223</v>
      </c>
      <c r="F165" s="1">
        <v>0.65208333333333335</v>
      </c>
      <c r="G165" s="9">
        <f t="shared" si="16"/>
        <v>44683</v>
      </c>
      <c r="H165" s="11">
        <f t="shared" si="17"/>
        <v>3</v>
      </c>
      <c r="I165" s="10">
        <f t="shared" si="13"/>
        <v>5</v>
      </c>
      <c r="J165" s="10">
        <f t="shared" si="14"/>
        <v>7.2</v>
      </c>
      <c r="K165" s="10">
        <f t="shared" si="15"/>
        <v>36.700000000000003</v>
      </c>
      <c r="L165" s="10">
        <f t="shared" si="18"/>
        <v>36.700000000000003</v>
      </c>
    </row>
    <row r="166" spans="1:12" x14ac:dyDescent="0.25">
      <c r="A166" s="7">
        <v>44690</v>
      </c>
      <c r="B166" s="2" t="s">
        <v>28</v>
      </c>
      <c r="C166" s="24">
        <v>2704</v>
      </c>
      <c r="D166" s="2" t="s">
        <v>99</v>
      </c>
      <c r="E166" s="1">
        <v>0.3527777777777778</v>
      </c>
      <c r="F166" s="1">
        <v>0.43611111111111112</v>
      </c>
      <c r="G166" s="9">
        <f t="shared" si="16"/>
        <v>44690</v>
      </c>
      <c r="H166" s="11">
        <f t="shared" si="17"/>
        <v>2</v>
      </c>
      <c r="I166" s="10">
        <f t="shared" si="13"/>
        <v>2</v>
      </c>
      <c r="J166" s="10">
        <f t="shared" si="14"/>
        <v>7.2</v>
      </c>
      <c r="K166" s="10">
        <f t="shared" si="15"/>
        <v>2</v>
      </c>
      <c r="L166" s="10">
        <f t="shared" si="18"/>
        <v>38.700000000000003</v>
      </c>
    </row>
    <row r="167" spans="1:12" x14ac:dyDescent="0.25">
      <c r="A167" s="7">
        <v>44690</v>
      </c>
      <c r="B167" t="s">
        <v>17</v>
      </c>
      <c r="C167" s="6">
        <v>2420</v>
      </c>
      <c r="D167" s="2" t="s">
        <v>100</v>
      </c>
      <c r="E167" s="1">
        <v>0.43611111111111112</v>
      </c>
      <c r="F167" s="1">
        <v>0.49722222222222223</v>
      </c>
      <c r="G167" s="9">
        <f t="shared" si="16"/>
        <v>44690</v>
      </c>
      <c r="H167" s="11">
        <f t="shared" si="17"/>
        <v>1.5</v>
      </c>
      <c r="I167" s="10">
        <f t="shared" si="13"/>
        <v>3.5</v>
      </c>
      <c r="J167" s="10">
        <f t="shared" si="14"/>
        <v>7.2</v>
      </c>
      <c r="K167" s="10">
        <f t="shared" si="15"/>
        <v>3.5</v>
      </c>
      <c r="L167" s="10">
        <f t="shared" si="18"/>
        <v>40.200000000000003</v>
      </c>
    </row>
    <row r="168" spans="1:12" x14ac:dyDescent="0.25">
      <c r="A168" s="7">
        <v>44690</v>
      </c>
      <c r="B168" t="s">
        <v>17</v>
      </c>
      <c r="C168" s="6">
        <v>2420</v>
      </c>
      <c r="D168" s="2" t="s">
        <v>100</v>
      </c>
      <c r="E168" s="1">
        <v>0.51944444444444449</v>
      </c>
      <c r="F168" s="1">
        <v>0.61736111111111114</v>
      </c>
      <c r="G168" s="9">
        <f t="shared" si="16"/>
        <v>44690</v>
      </c>
      <c r="H168" s="11">
        <f t="shared" si="17"/>
        <v>2.4</v>
      </c>
      <c r="I168" s="10">
        <f t="shared" si="13"/>
        <v>5.9</v>
      </c>
      <c r="J168" s="10">
        <f t="shared" si="14"/>
        <v>7.2</v>
      </c>
      <c r="K168" s="10">
        <f t="shared" si="15"/>
        <v>5.9</v>
      </c>
      <c r="L168" s="10">
        <f t="shared" si="18"/>
        <v>42.6</v>
      </c>
    </row>
    <row r="169" spans="1:12" x14ac:dyDescent="0.25">
      <c r="A169" s="7">
        <v>44691</v>
      </c>
      <c r="B169" t="s">
        <v>6</v>
      </c>
      <c r="C169" s="6" t="s">
        <v>416</v>
      </c>
      <c r="D169" s="2" t="s">
        <v>101</v>
      </c>
      <c r="E169" s="1">
        <v>0.35555555555555557</v>
      </c>
      <c r="F169" s="1">
        <v>0.49444444444444446</v>
      </c>
      <c r="G169" s="9">
        <f t="shared" si="16"/>
        <v>44690</v>
      </c>
      <c r="H169" s="11">
        <f t="shared" si="17"/>
        <v>3.3</v>
      </c>
      <c r="I169" s="10">
        <f t="shared" si="13"/>
        <v>3.3</v>
      </c>
      <c r="J169" s="10">
        <f t="shared" si="14"/>
        <v>7.2</v>
      </c>
      <c r="K169" s="10">
        <f t="shared" si="15"/>
        <v>9.1999999999999993</v>
      </c>
      <c r="L169" s="10">
        <f t="shared" si="18"/>
        <v>45.9</v>
      </c>
    </row>
    <row r="170" spans="1:12" x14ac:dyDescent="0.25">
      <c r="A170" s="7">
        <v>44691</v>
      </c>
      <c r="B170" t="s">
        <v>6</v>
      </c>
      <c r="C170" s="6" t="s">
        <v>416</v>
      </c>
      <c r="D170" s="2" t="s">
        <v>102</v>
      </c>
      <c r="E170" s="1">
        <v>0.52152777777777781</v>
      </c>
      <c r="F170" s="1">
        <v>0.58333333333333337</v>
      </c>
      <c r="G170" s="9">
        <f t="shared" si="16"/>
        <v>44690</v>
      </c>
      <c r="H170" s="11">
        <f t="shared" si="17"/>
        <v>1.5</v>
      </c>
      <c r="I170" s="10">
        <f t="shared" si="13"/>
        <v>4.8</v>
      </c>
      <c r="J170" s="10">
        <f t="shared" si="14"/>
        <v>7.2</v>
      </c>
      <c r="K170" s="10">
        <f t="shared" si="15"/>
        <v>10.7</v>
      </c>
      <c r="L170" s="10">
        <f t="shared" si="18"/>
        <v>47.4</v>
      </c>
    </row>
    <row r="171" spans="1:12" x14ac:dyDescent="0.25">
      <c r="A171" s="7">
        <v>44691</v>
      </c>
      <c r="B171" t="s">
        <v>6</v>
      </c>
      <c r="C171" s="6" t="s">
        <v>416</v>
      </c>
      <c r="D171" s="2" t="s">
        <v>103</v>
      </c>
      <c r="E171" s="1">
        <v>0.58333333333333337</v>
      </c>
      <c r="F171" s="1">
        <v>0.64583333333333337</v>
      </c>
      <c r="G171" s="9">
        <f t="shared" si="16"/>
        <v>44690</v>
      </c>
      <c r="H171" s="11">
        <f t="shared" si="17"/>
        <v>1.5</v>
      </c>
      <c r="I171" s="10">
        <f t="shared" si="13"/>
        <v>6.3</v>
      </c>
      <c r="J171" s="10">
        <f t="shared" si="14"/>
        <v>7.2</v>
      </c>
      <c r="K171" s="10">
        <f t="shared" si="15"/>
        <v>12.2</v>
      </c>
      <c r="L171" s="10">
        <f t="shared" si="18"/>
        <v>48.9</v>
      </c>
    </row>
    <row r="172" spans="1:12" x14ac:dyDescent="0.25">
      <c r="A172" s="7">
        <v>44692</v>
      </c>
      <c r="B172" t="s">
        <v>6</v>
      </c>
      <c r="C172" s="6" t="s">
        <v>416</v>
      </c>
      <c r="D172" s="2" t="s">
        <v>104</v>
      </c>
      <c r="E172" s="1">
        <v>0.33124999999999999</v>
      </c>
      <c r="F172" s="1">
        <v>0.42291666666666666</v>
      </c>
      <c r="G172" s="9">
        <f t="shared" si="16"/>
        <v>44690</v>
      </c>
      <c r="H172" s="11">
        <f t="shared" si="17"/>
        <v>2.2000000000000002</v>
      </c>
      <c r="I172" s="10">
        <f t="shared" si="13"/>
        <v>2.2000000000000002</v>
      </c>
      <c r="J172" s="10">
        <f t="shared" si="14"/>
        <v>7.2</v>
      </c>
      <c r="K172" s="10">
        <f t="shared" si="15"/>
        <v>14.399999999999999</v>
      </c>
      <c r="L172" s="10">
        <f t="shared" si="18"/>
        <v>51.1</v>
      </c>
    </row>
    <row r="173" spans="1:12" x14ac:dyDescent="0.25">
      <c r="A173" s="7">
        <v>44692</v>
      </c>
      <c r="B173" t="s">
        <v>17</v>
      </c>
      <c r="C173" s="6">
        <v>2420</v>
      </c>
      <c r="D173" s="2" t="s">
        <v>100</v>
      </c>
      <c r="E173" s="1">
        <v>0.42291666666666666</v>
      </c>
      <c r="F173" s="1">
        <v>0.5</v>
      </c>
      <c r="G173" s="9">
        <f t="shared" si="16"/>
        <v>44690</v>
      </c>
      <c r="H173" s="11">
        <f t="shared" si="17"/>
        <v>1.9</v>
      </c>
      <c r="I173" s="10">
        <f t="shared" si="13"/>
        <v>4.0999999999999996</v>
      </c>
      <c r="J173" s="10">
        <f t="shared" si="14"/>
        <v>7.2</v>
      </c>
      <c r="K173" s="10">
        <f t="shared" si="15"/>
        <v>16.3</v>
      </c>
      <c r="L173" s="10">
        <f t="shared" si="18"/>
        <v>53</v>
      </c>
    </row>
    <row r="174" spans="1:12" x14ac:dyDescent="0.25">
      <c r="A174" s="7">
        <v>44692</v>
      </c>
      <c r="B174" t="s">
        <v>6</v>
      </c>
      <c r="C174" s="6" t="s">
        <v>416</v>
      </c>
      <c r="D174" s="2" t="s">
        <v>58</v>
      </c>
      <c r="E174" s="1">
        <v>0.5</v>
      </c>
      <c r="F174" s="1">
        <v>0.56319444444444444</v>
      </c>
      <c r="G174" s="9">
        <f t="shared" si="16"/>
        <v>44690</v>
      </c>
      <c r="H174" s="11">
        <f t="shared" si="17"/>
        <v>1.5</v>
      </c>
      <c r="I174" s="10">
        <f t="shared" si="13"/>
        <v>5.6</v>
      </c>
      <c r="J174" s="10">
        <f t="shared" si="14"/>
        <v>7.2</v>
      </c>
      <c r="K174" s="10">
        <f t="shared" si="15"/>
        <v>17.8</v>
      </c>
      <c r="L174" s="10">
        <f t="shared" si="18"/>
        <v>54.5</v>
      </c>
    </row>
    <row r="175" spans="1:12" x14ac:dyDescent="0.25">
      <c r="A175" s="7">
        <v>44692</v>
      </c>
      <c r="B175" t="s">
        <v>17</v>
      </c>
      <c r="C175" s="6">
        <v>2420</v>
      </c>
      <c r="D175" s="2" t="s">
        <v>100</v>
      </c>
      <c r="E175" s="1">
        <v>0.56319444444444444</v>
      </c>
      <c r="F175" s="1">
        <v>0.63611111111111118</v>
      </c>
      <c r="G175" s="9">
        <f t="shared" si="16"/>
        <v>44690</v>
      </c>
      <c r="H175" s="11">
        <f t="shared" si="17"/>
        <v>1.8</v>
      </c>
      <c r="I175" s="10">
        <f t="shared" si="13"/>
        <v>7.3999999999999995</v>
      </c>
      <c r="J175" s="10">
        <f t="shared" si="14"/>
        <v>7.2</v>
      </c>
      <c r="K175" s="10">
        <f t="shared" si="15"/>
        <v>19.600000000000001</v>
      </c>
      <c r="L175" s="10">
        <f t="shared" si="18"/>
        <v>56.3</v>
      </c>
    </row>
    <row r="176" spans="1:12" x14ac:dyDescent="0.25">
      <c r="A176" s="7">
        <v>44693</v>
      </c>
      <c r="B176" t="s">
        <v>17</v>
      </c>
      <c r="C176" s="6">
        <v>2420</v>
      </c>
      <c r="D176" s="2" t="s">
        <v>100</v>
      </c>
      <c r="E176" s="1">
        <v>0.27777777777777779</v>
      </c>
      <c r="F176" s="1">
        <v>0.41666666666666669</v>
      </c>
      <c r="G176" s="9">
        <f t="shared" si="16"/>
        <v>44690</v>
      </c>
      <c r="H176" s="11">
        <f t="shared" si="17"/>
        <v>3.3</v>
      </c>
      <c r="I176" s="10">
        <f t="shared" si="13"/>
        <v>3.3</v>
      </c>
      <c r="J176" s="10">
        <f t="shared" si="14"/>
        <v>7.2</v>
      </c>
      <c r="K176" s="10">
        <f t="shared" si="15"/>
        <v>22.900000000000002</v>
      </c>
      <c r="L176" s="10">
        <f t="shared" si="18"/>
        <v>59.599999999999994</v>
      </c>
    </row>
    <row r="177" spans="1:12" x14ac:dyDescent="0.25">
      <c r="A177" s="7">
        <v>44693</v>
      </c>
      <c r="B177" s="2" t="s">
        <v>464</v>
      </c>
      <c r="C177" s="6">
        <v>2431</v>
      </c>
      <c r="D177" s="2" t="s">
        <v>44</v>
      </c>
      <c r="E177" s="1">
        <v>0.41666666666666669</v>
      </c>
      <c r="F177" s="1">
        <v>0.45833333333333331</v>
      </c>
      <c r="G177" s="9">
        <f t="shared" si="16"/>
        <v>44690</v>
      </c>
      <c r="H177" s="11">
        <f t="shared" si="17"/>
        <v>1</v>
      </c>
      <c r="I177" s="10">
        <f t="shared" si="13"/>
        <v>4.3</v>
      </c>
      <c r="J177" s="10">
        <f t="shared" si="14"/>
        <v>7.2</v>
      </c>
      <c r="K177" s="10">
        <f t="shared" si="15"/>
        <v>23.9</v>
      </c>
      <c r="L177" s="10">
        <f t="shared" si="18"/>
        <v>60.6</v>
      </c>
    </row>
    <row r="178" spans="1:12" x14ac:dyDescent="0.25">
      <c r="A178" s="7">
        <v>44693</v>
      </c>
      <c r="B178" t="s">
        <v>19</v>
      </c>
      <c r="C178" s="6">
        <v>2675</v>
      </c>
      <c r="D178" s="2" t="s">
        <v>44</v>
      </c>
      <c r="E178" s="1">
        <v>0.45833333333333331</v>
      </c>
      <c r="F178" s="1">
        <v>0.5</v>
      </c>
      <c r="G178" s="9">
        <f t="shared" si="16"/>
        <v>44690</v>
      </c>
      <c r="H178" s="11">
        <f t="shared" si="17"/>
        <v>1</v>
      </c>
      <c r="I178" s="10">
        <f t="shared" si="13"/>
        <v>5.3</v>
      </c>
      <c r="J178" s="10">
        <f t="shared" si="14"/>
        <v>7.2</v>
      </c>
      <c r="K178" s="10">
        <f t="shared" si="15"/>
        <v>24.9</v>
      </c>
      <c r="L178" s="10">
        <f t="shared" si="18"/>
        <v>61.6</v>
      </c>
    </row>
    <row r="179" spans="1:12" x14ac:dyDescent="0.25">
      <c r="A179" s="7">
        <v>44693</v>
      </c>
      <c r="B179" t="s">
        <v>28</v>
      </c>
      <c r="C179" s="6">
        <v>2704</v>
      </c>
      <c r="D179" s="2" t="s">
        <v>107</v>
      </c>
      <c r="E179" s="1">
        <v>0.5</v>
      </c>
      <c r="F179" s="1">
        <v>0.51458333333333328</v>
      </c>
      <c r="G179" s="9">
        <f t="shared" si="16"/>
        <v>44690</v>
      </c>
      <c r="H179" s="11">
        <f t="shared" si="17"/>
        <v>0.3</v>
      </c>
      <c r="I179" s="10">
        <f t="shared" si="13"/>
        <v>5.6</v>
      </c>
      <c r="J179" s="10">
        <f t="shared" si="14"/>
        <v>7.2</v>
      </c>
      <c r="K179" s="10">
        <f t="shared" si="15"/>
        <v>25.2</v>
      </c>
      <c r="L179" s="10">
        <f t="shared" si="18"/>
        <v>61.9</v>
      </c>
    </row>
    <row r="180" spans="1:12" x14ac:dyDescent="0.25">
      <c r="A180" s="7">
        <v>44693</v>
      </c>
      <c r="B180" t="s">
        <v>17</v>
      </c>
      <c r="C180" s="6">
        <v>2420</v>
      </c>
      <c r="D180" s="2" t="s">
        <v>100</v>
      </c>
      <c r="E180" s="1">
        <v>0.53055555555555556</v>
      </c>
      <c r="F180" s="1">
        <v>0.58333333333333337</v>
      </c>
      <c r="G180" s="9">
        <f t="shared" si="16"/>
        <v>44690</v>
      </c>
      <c r="H180" s="11">
        <f t="shared" si="17"/>
        <v>1.3</v>
      </c>
      <c r="I180" s="10">
        <f t="shared" si="13"/>
        <v>6.8999999999999995</v>
      </c>
      <c r="J180" s="10">
        <f t="shared" si="14"/>
        <v>7.2</v>
      </c>
      <c r="K180" s="10">
        <f t="shared" si="15"/>
        <v>26.5</v>
      </c>
      <c r="L180" s="10">
        <f t="shared" si="18"/>
        <v>63.199999999999996</v>
      </c>
    </row>
    <row r="181" spans="1:12" x14ac:dyDescent="0.25">
      <c r="A181" s="7">
        <v>44693</v>
      </c>
      <c r="B181" t="s">
        <v>17</v>
      </c>
      <c r="C181" s="6">
        <v>2420</v>
      </c>
      <c r="D181" s="2" t="s">
        <v>108</v>
      </c>
      <c r="E181" s="1">
        <v>0.58333333333333337</v>
      </c>
      <c r="F181" s="1">
        <v>0.61944444444444446</v>
      </c>
      <c r="G181" s="9">
        <f t="shared" si="16"/>
        <v>44690</v>
      </c>
      <c r="H181" s="11">
        <f t="shared" si="17"/>
        <v>0.9</v>
      </c>
      <c r="I181" s="10">
        <f t="shared" si="13"/>
        <v>7.8000000000000007</v>
      </c>
      <c r="J181" s="10">
        <f t="shared" si="14"/>
        <v>7.2</v>
      </c>
      <c r="K181" s="10">
        <f t="shared" si="15"/>
        <v>27.4</v>
      </c>
      <c r="L181" s="10">
        <f t="shared" si="18"/>
        <v>64.100000000000009</v>
      </c>
    </row>
    <row r="182" spans="1:12" x14ac:dyDescent="0.25">
      <c r="A182" s="7">
        <v>44694</v>
      </c>
      <c r="B182" t="s">
        <v>7</v>
      </c>
      <c r="C182" s="6" t="s">
        <v>22</v>
      </c>
      <c r="D182" s="2" t="s">
        <v>109</v>
      </c>
      <c r="E182" s="1">
        <v>0.40972222222222227</v>
      </c>
      <c r="F182" s="1">
        <v>0.70833333333333337</v>
      </c>
      <c r="G182" s="9">
        <f t="shared" si="16"/>
        <v>44690</v>
      </c>
      <c r="H182" s="11">
        <f t="shared" si="17"/>
        <v>7.2</v>
      </c>
      <c r="I182" s="10">
        <f t="shared" si="13"/>
        <v>7.2</v>
      </c>
      <c r="J182" s="10">
        <f t="shared" si="14"/>
        <v>7.2</v>
      </c>
      <c r="K182" s="10">
        <f t="shared" si="15"/>
        <v>34.6</v>
      </c>
      <c r="L182" s="10">
        <f t="shared" si="18"/>
        <v>71.3</v>
      </c>
    </row>
    <row r="183" spans="1:12" x14ac:dyDescent="0.25">
      <c r="A183" s="7">
        <v>44697</v>
      </c>
      <c r="B183" t="s">
        <v>6</v>
      </c>
      <c r="C183" s="6" t="s">
        <v>416</v>
      </c>
      <c r="D183" s="2" t="s">
        <v>104</v>
      </c>
      <c r="E183" s="1">
        <v>0.33263888888888887</v>
      </c>
      <c r="F183" s="1">
        <v>0.42569444444444443</v>
      </c>
      <c r="G183" s="9">
        <f t="shared" si="16"/>
        <v>44697</v>
      </c>
      <c r="H183" s="11">
        <f t="shared" si="17"/>
        <v>2.2000000000000002</v>
      </c>
      <c r="I183" s="10">
        <f t="shared" si="13"/>
        <v>2.2000000000000002</v>
      </c>
      <c r="J183" s="10">
        <f t="shared" si="14"/>
        <v>7.2</v>
      </c>
      <c r="K183" s="10">
        <f t="shared" si="15"/>
        <v>2.2000000000000002</v>
      </c>
      <c r="L183" s="10">
        <f t="shared" si="18"/>
        <v>73.5</v>
      </c>
    </row>
    <row r="184" spans="1:12" x14ac:dyDescent="0.25">
      <c r="A184" s="7">
        <v>44697</v>
      </c>
      <c r="B184" t="s">
        <v>17</v>
      </c>
      <c r="C184" s="6">
        <v>2420</v>
      </c>
      <c r="D184" s="2" t="s">
        <v>100</v>
      </c>
      <c r="E184" s="1">
        <v>0.42569444444444443</v>
      </c>
      <c r="F184" s="1">
        <v>0.4909722222222222</v>
      </c>
      <c r="G184" s="9">
        <f t="shared" si="16"/>
        <v>44697</v>
      </c>
      <c r="H184" s="11">
        <f t="shared" si="17"/>
        <v>1.6</v>
      </c>
      <c r="I184" s="10">
        <f t="shared" si="13"/>
        <v>3.8000000000000003</v>
      </c>
      <c r="J184" s="10">
        <f t="shared" si="14"/>
        <v>7.2</v>
      </c>
      <c r="K184" s="10">
        <f t="shared" si="15"/>
        <v>3.8000000000000003</v>
      </c>
      <c r="L184" s="10">
        <f t="shared" si="18"/>
        <v>75.099999999999994</v>
      </c>
    </row>
    <row r="185" spans="1:12" x14ac:dyDescent="0.25">
      <c r="A185" s="7">
        <v>44697</v>
      </c>
      <c r="B185" t="s">
        <v>17</v>
      </c>
      <c r="C185" s="6">
        <v>2420</v>
      </c>
      <c r="D185" s="2" t="s">
        <v>100</v>
      </c>
      <c r="E185" s="1">
        <v>0.50347222222222221</v>
      </c>
      <c r="F185" s="1">
        <v>0.5625</v>
      </c>
      <c r="G185" s="9">
        <f t="shared" si="16"/>
        <v>44697</v>
      </c>
      <c r="H185" s="11">
        <f t="shared" si="17"/>
        <v>1.4</v>
      </c>
      <c r="I185" s="10">
        <f t="shared" si="13"/>
        <v>5.1999999999999993</v>
      </c>
      <c r="J185" s="10">
        <f t="shared" si="14"/>
        <v>7.2</v>
      </c>
      <c r="K185" s="10">
        <f t="shared" si="15"/>
        <v>5.1999999999999993</v>
      </c>
      <c r="L185" s="10">
        <f t="shared" si="18"/>
        <v>76.5</v>
      </c>
    </row>
    <row r="186" spans="1:12" x14ac:dyDescent="0.25">
      <c r="A186" s="7">
        <v>44697</v>
      </c>
      <c r="B186" t="s">
        <v>19</v>
      </c>
      <c r="C186" s="6">
        <v>2675</v>
      </c>
      <c r="D186" s="2" t="s">
        <v>44</v>
      </c>
      <c r="E186" s="1">
        <v>0.5625</v>
      </c>
      <c r="F186" s="1">
        <v>0.625</v>
      </c>
      <c r="G186" s="9">
        <f t="shared" si="16"/>
        <v>44697</v>
      </c>
      <c r="H186" s="11">
        <f t="shared" si="17"/>
        <v>1.5</v>
      </c>
      <c r="I186" s="10">
        <f t="shared" si="13"/>
        <v>6.7</v>
      </c>
      <c r="J186" s="10">
        <f t="shared" si="14"/>
        <v>7.2</v>
      </c>
      <c r="K186" s="10">
        <f t="shared" si="15"/>
        <v>6.7</v>
      </c>
      <c r="L186" s="10">
        <f t="shared" si="18"/>
        <v>78</v>
      </c>
    </row>
    <row r="187" spans="1:12" x14ac:dyDescent="0.25">
      <c r="A187" s="7">
        <v>44697</v>
      </c>
      <c r="B187" s="2" t="s">
        <v>464</v>
      </c>
      <c r="C187" s="6">
        <v>2431</v>
      </c>
      <c r="D187" s="2" t="s">
        <v>44</v>
      </c>
      <c r="E187" s="1">
        <v>0.625</v>
      </c>
      <c r="F187" s="1">
        <v>0.66666666666666663</v>
      </c>
      <c r="G187" s="9">
        <f t="shared" si="16"/>
        <v>44697</v>
      </c>
      <c r="H187" s="11">
        <f t="shared" si="17"/>
        <v>1</v>
      </c>
      <c r="I187" s="10">
        <f t="shared" si="13"/>
        <v>7.7</v>
      </c>
      <c r="J187" s="10">
        <f t="shared" si="14"/>
        <v>7.2</v>
      </c>
      <c r="K187" s="10">
        <f t="shared" si="15"/>
        <v>7.7</v>
      </c>
      <c r="L187" s="10">
        <f t="shared" si="18"/>
        <v>79</v>
      </c>
    </row>
    <row r="188" spans="1:12" x14ac:dyDescent="0.25">
      <c r="A188" s="7">
        <v>44698</v>
      </c>
      <c r="B188" t="s">
        <v>17</v>
      </c>
      <c r="C188" s="6">
        <v>2420</v>
      </c>
      <c r="D188" s="2" t="s">
        <v>100</v>
      </c>
      <c r="E188" s="1">
        <v>0.3430555555555555</v>
      </c>
      <c r="F188" s="1">
        <v>0.41666666666666669</v>
      </c>
      <c r="G188" s="9">
        <f t="shared" si="16"/>
        <v>44697</v>
      </c>
      <c r="H188" s="11">
        <f t="shared" si="17"/>
        <v>1.8</v>
      </c>
      <c r="I188" s="10">
        <f t="shared" si="13"/>
        <v>1.8</v>
      </c>
      <c r="J188" s="10">
        <f t="shared" si="14"/>
        <v>7.2</v>
      </c>
      <c r="K188" s="10">
        <f t="shared" si="15"/>
        <v>9.5</v>
      </c>
      <c r="L188" s="10">
        <f t="shared" si="18"/>
        <v>80.8</v>
      </c>
    </row>
    <row r="189" spans="1:12" x14ac:dyDescent="0.25">
      <c r="A189" s="7">
        <v>44698</v>
      </c>
      <c r="B189" t="s">
        <v>6</v>
      </c>
      <c r="C189" s="6" t="s">
        <v>416</v>
      </c>
      <c r="D189" s="2" t="s">
        <v>110</v>
      </c>
      <c r="E189" s="1">
        <v>0.41666666666666669</v>
      </c>
      <c r="F189" s="1">
        <v>0.43611111111111112</v>
      </c>
      <c r="G189" s="9">
        <f t="shared" si="16"/>
        <v>44697</v>
      </c>
      <c r="H189" s="11">
        <f t="shared" si="17"/>
        <v>0.5</v>
      </c>
      <c r="I189" s="10">
        <f t="shared" si="13"/>
        <v>2.2999999999999998</v>
      </c>
      <c r="J189" s="10">
        <f t="shared" si="14"/>
        <v>7.2</v>
      </c>
      <c r="K189" s="10">
        <f t="shared" si="15"/>
        <v>10</v>
      </c>
      <c r="L189" s="10">
        <f t="shared" si="18"/>
        <v>81.3</v>
      </c>
    </row>
    <row r="190" spans="1:12" x14ac:dyDescent="0.25">
      <c r="A190" s="7">
        <v>44698</v>
      </c>
      <c r="B190" t="s">
        <v>17</v>
      </c>
      <c r="C190" s="6">
        <v>2420</v>
      </c>
      <c r="D190" s="2" t="s">
        <v>100</v>
      </c>
      <c r="E190" s="1">
        <v>0.43611111111111112</v>
      </c>
      <c r="F190" s="1">
        <v>0.45833333333333331</v>
      </c>
      <c r="G190" s="9">
        <f t="shared" si="16"/>
        <v>44697</v>
      </c>
      <c r="H190" s="11">
        <f t="shared" si="17"/>
        <v>0.5</v>
      </c>
      <c r="I190" s="10">
        <f t="shared" si="13"/>
        <v>2.8</v>
      </c>
      <c r="J190" s="10">
        <f t="shared" si="14"/>
        <v>7.2</v>
      </c>
      <c r="K190" s="10">
        <f t="shared" si="15"/>
        <v>10.5</v>
      </c>
      <c r="L190" s="10">
        <f t="shared" si="18"/>
        <v>81.8</v>
      </c>
    </row>
    <row r="191" spans="1:12" x14ac:dyDescent="0.25">
      <c r="A191" s="7">
        <v>44698</v>
      </c>
      <c r="B191" t="s">
        <v>28</v>
      </c>
      <c r="C191" s="6">
        <v>2704</v>
      </c>
      <c r="D191" s="2" t="s">
        <v>83</v>
      </c>
      <c r="E191" s="1">
        <v>0.45833333333333331</v>
      </c>
      <c r="F191" s="1">
        <v>0.47361111111111115</v>
      </c>
      <c r="G191" s="9">
        <f t="shared" si="16"/>
        <v>44697</v>
      </c>
      <c r="H191" s="11">
        <f t="shared" si="17"/>
        <v>0.4</v>
      </c>
      <c r="I191" s="10">
        <f t="shared" si="13"/>
        <v>3.1999999999999997</v>
      </c>
      <c r="J191" s="10">
        <f t="shared" si="14"/>
        <v>7.2</v>
      </c>
      <c r="K191" s="10">
        <f t="shared" si="15"/>
        <v>10.9</v>
      </c>
      <c r="L191" s="10">
        <f t="shared" si="18"/>
        <v>82.2</v>
      </c>
    </row>
    <row r="192" spans="1:12" x14ac:dyDescent="0.25">
      <c r="A192" s="7">
        <v>44698</v>
      </c>
      <c r="B192" t="s">
        <v>17</v>
      </c>
      <c r="C192" s="6">
        <v>2420</v>
      </c>
      <c r="D192" s="2" t="s">
        <v>100</v>
      </c>
      <c r="E192" s="1">
        <v>0.49027777777777781</v>
      </c>
      <c r="F192" s="1">
        <v>0.69513888888888886</v>
      </c>
      <c r="G192" s="9">
        <f t="shared" si="16"/>
        <v>44697</v>
      </c>
      <c r="H192" s="11">
        <f t="shared" si="17"/>
        <v>4.9000000000000004</v>
      </c>
      <c r="I192" s="10">
        <f t="shared" si="13"/>
        <v>8.1000000000000014</v>
      </c>
      <c r="J192" s="10">
        <f t="shared" si="14"/>
        <v>7.2</v>
      </c>
      <c r="K192" s="10">
        <f t="shared" si="15"/>
        <v>15.8</v>
      </c>
      <c r="L192" s="10">
        <f t="shared" si="18"/>
        <v>87.100000000000009</v>
      </c>
    </row>
    <row r="193" spans="1:12" x14ac:dyDescent="0.25">
      <c r="A193" s="7">
        <v>44699</v>
      </c>
      <c r="B193" t="s">
        <v>17</v>
      </c>
      <c r="C193" s="6">
        <v>2420</v>
      </c>
      <c r="D193" s="2" t="s">
        <v>100</v>
      </c>
      <c r="E193" s="1">
        <v>0.27083333333333331</v>
      </c>
      <c r="F193" s="1">
        <v>0.35416666666666669</v>
      </c>
      <c r="G193" s="9">
        <f t="shared" si="16"/>
        <v>44697</v>
      </c>
      <c r="H193" s="11">
        <f t="shared" si="17"/>
        <v>2</v>
      </c>
      <c r="I193" s="10">
        <f t="shared" si="13"/>
        <v>2</v>
      </c>
      <c r="J193" s="10">
        <f t="shared" si="14"/>
        <v>7.2</v>
      </c>
      <c r="K193" s="10">
        <f t="shared" si="15"/>
        <v>17.8</v>
      </c>
      <c r="L193" s="10">
        <f t="shared" si="18"/>
        <v>89.1</v>
      </c>
    </row>
    <row r="194" spans="1:12" x14ac:dyDescent="0.25">
      <c r="A194" s="7">
        <v>44699</v>
      </c>
      <c r="B194" t="s">
        <v>19</v>
      </c>
      <c r="C194" s="6">
        <v>2675</v>
      </c>
      <c r="D194" s="2" t="s">
        <v>111</v>
      </c>
      <c r="E194" s="1">
        <v>0.35416666666666669</v>
      </c>
      <c r="F194" s="1">
        <v>0.375</v>
      </c>
      <c r="G194" s="9">
        <f t="shared" si="16"/>
        <v>44697</v>
      </c>
      <c r="H194" s="11">
        <f t="shared" si="17"/>
        <v>0.5</v>
      </c>
      <c r="I194" s="10">
        <f t="shared" si="13"/>
        <v>2.5</v>
      </c>
      <c r="J194" s="10">
        <f t="shared" si="14"/>
        <v>7.2</v>
      </c>
      <c r="K194" s="10">
        <f t="shared" si="15"/>
        <v>18.3</v>
      </c>
      <c r="L194" s="10">
        <f t="shared" si="18"/>
        <v>89.6</v>
      </c>
    </row>
    <row r="195" spans="1:12" x14ac:dyDescent="0.25">
      <c r="A195" s="7">
        <v>44699</v>
      </c>
      <c r="B195" t="s">
        <v>6</v>
      </c>
      <c r="C195" s="6" t="s">
        <v>416</v>
      </c>
      <c r="D195" s="2" t="s">
        <v>112</v>
      </c>
      <c r="E195" s="1">
        <v>0.375</v>
      </c>
      <c r="F195" s="1">
        <v>0.42708333333333331</v>
      </c>
      <c r="G195" s="9">
        <f t="shared" si="16"/>
        <v>44697</v>
      </c>
      <c r="H195" s="11">
        <f t="shared" si="17"/>
        <v>1.3</v>
      </c>
      <c r="I195" s="10">
        <f t="shared" ref="I195:I258" si="19">IF(H195="",H195,H195+IF(A195=A194,_xlfn.NUMBERVALUE(I194),0))</f>
        <v>3.8</v>
      </c>
      <c r="J195" s="10">
        <f t="shared" ref="J195:J258" si="20">IF(H195="",H195,7.2)</f>
        <v>7.2</v>
      </c>
      <c r="K195" s="10">
        <f t="shared" ref="K195:K258" si="21">IF(H195="",H195,H195+IF(G195=G194,_xlfn.NUMBERVALUE(K194),0))</f>
        <v>19.600000000000001</v>
      </c>
      <c r="L195" s="10">
        <f t="shared" si="18"/>
        <v>90.899999999999991</v>
      </c>
    </row>
    <row r="196" spans="1:12" x14ac:dyDescent="0.25">
      <c r="A196" s="7">
        <v>44699</v>
      </c>
      <c r="B196" t="s">
        <v>17</v>
      </c>
      <c r="C196" s="6">
        <v>2420</v>
      </c>
      <c r="D196" s="2" t="s">
        <v>100</v>
      </c>
      <c r="E196" s="1">
        <v>0.42708333333333331</v>
      </c>
      <c r="F196" s="1">
        <v>0.55208333333333337</v>
      </c>
      <c r="G196" s="9">
        <f t="shared" ref="G196:G259" si="22">IF(E196&gt;0,INT((A196-2)/7)*7+2,"")</f>
        <v>44697</v>
      </c>
      <c r="H196" s="11">
        <f t="shared" ref="H196:H259" si="23">IF(E196&gt;0,ROUND(24*(IF(F196&gt;0,F196,NowTime)-E196),1),"")</f>
        <v>3</v>
      </c>
      <c r="I196" s="10">
        <f t="shared" si="19"/>
        <v>6.8</v>
      </c>
      <c r="J196" s="10">
        <f t="shared" si="20"/>
        <v>7.2</v>
      </c>
      <c r="K196" s="10">
        <f t="shared" si="21"/>
        <v>22.6</v>
      </c>
      <c r="L196" s="10">
        <f t="shared" si="18"/>
        <v>93.9</v>
      </c>
    </row>
    <row r="197" spans="1:12" x14ac:dyDescent="0.25">
      <c r="A197" s="7">
        <v>44699</v>
      </c>
      <c r="B197" t="s">
        <v>6</v>
      </c>
      <c r="C197" s="6" t="s">
        <v>416</v>
      </c>
      <c r="D197" t="s">
        <v>30</v>
      </c>
      <c r="E197" s="1">
        <v>0.56180555555555556</v>
      </c>
      <c r="F197" s="1">
        <v>0.5854166666666667</v>
      </c>
      <c r="G197" s="9">
        <f t="shared" si="22"/>
        <v>44697</v>
      </c>
      <c r="H197" s="11">
        <f t="shared" si="23"/>
        <v>0.6</v>
      </c>
      <c r="I197" s="10">
        <f t="shared" si="19"/>
        <v>7.3999999999999995</v>
      </c>
      <c r="J197" s="10">
        <f t="shared" si="20"/>
        <v>7.2</v>
      </c>
      <c r="K197" s="10">
        <f t="shared" si="21"/>
        <v>23.200000000000003</v>
      </c>
      <c r="L197" s="10">
        <f t="shared" ref="L197:L260" si="24">IF(H197="",H197,H197+IF(MONTH(A197)=MONTH(A196),_xlfn.NUMBERVALUE(L196),0))</f>
        <v>94.5</v>
      </c>
    </row>
    <row r="198" spans="1:12" x14ac:dyDescent="0.25">
      <c r="A198" s="7">
        <v>44699</v>
      </c>
      <c r="B198" t="s">
        <v>17</v>
      </c>
      <c r="C198" s="6">
        <v>2420</v>
      </c>
      <c r="D198" s="2" t="s">
        <v>100</v>
      </c>
      <c r="E198" s="1">
        <v>0.5854166666666667</v>
      </c>
      <c r="F198" s="1">
        <v>0.6118055555555556</v>
      </c>
      <c r="G198" s="9">
        <f t="shared" si="22"/>
        <v>44697</v>
      </c>
      <c r="H198" s="11">
        <f t="shared" si="23"/>
        <v>0.6</v>
      </c>
      <c r="I198" s="10">
        <f t="shared" si="19"/>
        <v>8</v>
      </c>
      <c r="J198" s="10">
        <f t="shared" si="20"/>
        <v>7.2</v>
      </c>
      <c r="K198" s="10">
        <f t="shared" si="21"/>
        <v>23.8</v>
      </c>
      <c r="L198" s="10">
        <f t="shared" si="24"/>
        <v>95.1</v>
      </c>
    </row>
    <row r="199" spans="1:12" x14ac:dyDescent="0.25">
      <c r="A199" s="7">
        <v>44700</v>
      </c>
      <c r="B199" t="s">
        <v>17</v>
      </c>
      <c r="C199" s="6">
        <v>2420</v>
      </c>
      <c r="D199" s="2" t="s">
        <v>113</v>
      </c>
      <c r="E199" s="1">
        <v>0.36458333333333331</v>
      </c>
      <c r="F199" s="1">
        <v>0.52569444444444446</v>
      </c>
      <c r="G199" s="9">
        <f t="shared" si="22"/>
        <v>44697</v>
      </c>
      <c r="H199" s="11">
        <f t="shared" si="23"/>
        <v>3.9</v>
      </c>
      <c r="I199" s="10">
        <f t="shared" si="19"/>
        <v>3.9</v>
      </c>
      <c r="J199" s="10">
        <f t="shared" si="20"/>
        <v>7.2</v>
      </c>
      <c r="K199" s="10">
        <f t="shared" si="21"/>
        <v>27.7</v>
      </c>
      <c r="L199" s="10">
        <f t="shared" si="24"/>
        <v>99</v>
      </c>
    </row>
    <row r="200" spans="1:12" x14ac:dyDescent="0.25">
      <c r="A200" s="7">
        <v>44700</v>
      </c>
      <c r="B200" t="s">
        <v>19</v>
      </c>
      <c r="C200" s="6">
        <v>2675</v>
      </c>
      <c r="D200" s="2" t="s">
        <v>114</v>
      </c>
      <c r="E200" s="1">
        <v>0.56458333333333333</v>
      </c>
      <c r="F200" s="5">
        <v>0.60416666666666663</v>
      </c>
      <c r="G200" s="9">
        <f t="shared" si="22"/>
        <v>44697</v>
      </c>
      <c r="H200" s="11">
        <f t="shared" si="23"/>
        <v>0.9</v>
      </c>
      <c r="I200" s="10">
        <f t="shared" si="19"/>
        <v>4.8</v>
      </c>
      <c r="J200" s="10">
        <f t="shared" si="20"/>
        <v>7.2</v>
      </c>
      <c r="K200" s="10">
        <f t="shared" si="21"/>
        <v>28.599999999999998</v>
      </c>
      <c r="L200" s="10">
        <f t="shared" si="24"/>
        <v>99.9</v>
      </c>
    </row>
    <row r="201" spans="1:12" x14ac:dyDescent="0.25">
      <c r="A201" s="7">
        <v>44700</v>
      </c>
      <c r="B201" t="s">
        <v>21</v>
      </c>
      <c r="C201" s="6">
        <v>2002</v>
      </c>
      <c r="D201" s="2" t="s">
        <v>44</v>
      </c>
      <c r="E201" s="5">
        <v>0.60416666666666663</v>
      </c>
      <c r="F201" s="1">
        <v>0.64583333333333337</v>
      </c>
      <c r="G201" s="9">
        <f t="shared" si="22"/>
        <v>44697</v>
      </c>
      <c r="H201" s="11">
        <f t="shared" si="23"/>
        <v>1</v>
      </c>
      <c r="I201" s="10">
        <f t="shared" si="19"/>
        <v>5.8</v>
      </c>
      <c r="J201" s="10">
        <f t="shared" si="20"/>
        <v>7.2</v>
      </c>
      <c r="K201" s="10">
        <f t="shared" si="21"/>
        <v>29.6</v>
      </c>
      <c r="L201" s="10">
        <f t="shared" si="24"/>
        <v>100.9</v>
      </c>
    </row>
    <row r="202" spans="1:12" x14ac:dyDescent="0.25">
      <c r="A202" s="7">
        <v>44700</v>
      </c>
      <c r="B202" t="s">
        <v>17</v>
      </c>
      <c r="C202" s="6">
        <v>2420</v>
      </c>
      <c r="D202" s="2" t="s">
        <v>44</v>
      </c>
      <c r="E202" s="1">
        <v>0.64583333333333337</v>
      </c>
      <c r="F202" s="1">
        <v>0.69097222222222221</v>
      </c>
      <c r="G202" s="9">
        <f t="shared" si="22"/>
        <v>44697</v>
      </c>
      <c r="H202" s="11">
        <f t="shared" si="23"/>
        <v>1.1000000000000001</v>
      </c>
      <c r="I202" s="10">
        <f t="shared" si="19"/>
        <v>6.9</v>
      </c>
      <c r="J202" s="10">
        <f t="shared" si="20"/>
        <v>7.2</v>
      </c>
      <c r="K202" s="10">
        <f t="shared" si="21"/>
        <v>30.700000000000003</v>
      </c>
      <c r="L202" s="10">
        <f t="shared" si="24"/>
        <v>102</v>
      </c>
    </row>
    <row r="203" spans="1:12" x14ac:dyDescent="0.25">
      <c r="A203" s="7">
        <v>44700</v>
      </c>
      <c r="B203" t="s">
        <v>17</v>
      </c>
      <c r="C203" s="6">
        <v>2420</v>
      </c>
      <c r="D203" s="2" t="s">
        <v>115</v>
      </c>
      <c r="E203" s="1">
        <v>0.69097222222222221</v>
      </c>
      <c r="F203" s="1">
        <v>0.71250000000000002</v>
      </c>
      <c r="G203" s="9">
        <f t="shared" si="22"/>
        <v>44697</v>
      </c>
      <c r="H203" s="11">
        <f t="shared" si="23"/>
        <v>0.5</v>
      </c>
      <c r="I203" s="10">
        <f t="shared" si="19"/>
        <v>7.4</v>
      </c>
      <c r="J203" s="10">
        <f t="shared" si="20"/>
        <v>7.2</v>
      </c>
      <c r="K203" s="10">
        <f t="shared" si="21"/>
        <v>31.2</v>
      </c>
      <c r="L203" s="10">
        <f t="shared" si="24"/>
        <v>102.5</v>
      </c>
    </row>
    <row r="204" spans="1:12" x14ac:dyDescent="0.25">
      <c r="A204" s="7">
        <v>44701</v>
      </c>
      <c r="B204" t="s">
        <v>28</v>
      </c>
      <c r="C204" s="6">
        <v>2704</v>
      </c>
      <c r="D204" s="2" t="s">
        <v>116</v>
      </c>
      <c r="E204" s="1">
        <v>0.34513888888888888</v>
      </c>
      <c r="F204" s="1">
        <v>0.51250000000000007</v>
      </c>
      <c r="G204" s="9">
        <f t="shared" si="22"/>
        <v>44697</v>
      </c>
      <c r="H204" s="11">
        <f t="shared" si="23"/>
        <v>4</v>
      </c>
      <c r="I204" s="10">
        <f t="shared" si="19"/>
        <v>4</v>
      </c>
      <c r="J204" s="10">
        <f t="shared" si="20"/>
        <v>7.2</v>
      </c>
      <c r="K204" s="10">
        <f t="shared" si="21"/>
        <v>35.200000000000003</v>
      </c>
      <c r="L204" s="10">
        <f t="shared" si="24"/>
        <v>106.5</v>
      </c>
    </row>
    <row r="205" spans="1:12" x14ac:dyDescent="0.25">
      <c r="A205" s="7">
        <v>44701</v>
      </c>
      <c r="B205" t="s">
        <v>21</v>
      </c>
      <c r="C205" s="6">
        <v>2002</v>
      </c>
      <c r="D205" s="2" t="s">
        <v>117</v>
      </c>
      <c r="E205" s="1">
        <v>0.53749999999999998</v>
      </c>
      <c r="F205" s="1">
        <v>0.57638888888888895</v>
      </c>
      <c r="G205" s="9">
        <f t="shared" si="22"/>
        <v>44697</v>
      </c>
      <c r="H205" s="11">
        <f t="shared" si="23"/>
        <v>0.9</v>
      </c>
      <c r="I205" s="10">
        <f t="shared" si="19"/>
        <v>4.9000000000000004</v>
      </c>
      <c r="J205" s="10">
        <f t="shared" si="20"/>
        <v>7.2</v>
      </c>
      <c r="K205" s="10">
        <f t="shared" si="21"/>
        <v>36.1</v>
      </c>
      <c r="L205" s="10">
        <f t="shared" si="24"/>
        <v>107.4</v>
      </c>
    </row>
    <row r="206" spans="1:12" x14ac:dyDescent="0.25">
      <c r="A206" s="7">
        <v>44704</v>
      </c>
      <c r="B206" t="s">
        <v>21</v>
      </c>
      <c r="C206" s="6">
        <v>2002</v>
      </c>
      <c r="D206" s="2" t="s">
        <v>118</v>
      </c>
      <c r="E206" s="1">
        <v>0.35416666666666669</v>
      </c>
      <c r="F206" s="1">
        <v>0.49652777777777773</v>
      </c>
      <c r="G206" s="9">
        <f t="shared" si="22"/>
        <v>44704</v>
      </c>
      <c r="H206" s="11">
        <f t="shared" si="23"/>
        <v>3.4</v>
      </c>
      <c r="I206" s="10">
        <f t="shared" si="19"/>
        <v>3.4</v>
      </c>
      <c r="J206" s="10">
        <f t="shared" si="20"/>
        <v>7.2</v>
      </c>
      <c r="K206" s="10">
        <f t="shared" si="21"/>
        <v>3.4</v>
      </c>
      <c r="L206" s="10">
        <f t="shared" si="24"/>
        <v>110.80000000000001</v>
      </c>
    </row>
    <row r="207" spans="1:12" x14ac:dyDescent="0.25">
      <c r="A207" s="7">
        <v>44704</v>
      </c>
      <c r="B207" t="s">
        <v>6</v>
      </c>
      <c r="C207" s="6" t="s">
        <v>416</v>
      </c>
      <c r="D207" s="2" t="s">
        <v>112</v>
      </c>
      <c r="E207" s="1">
        <v>0.51250000000000007</v>
      </c>
      <c r="F207" s="1">
        <v>0.58263888888888882</v>
      </c>
      <c r="G207" s="9">
        <f t="shared" si="22"/>
        <v>44704</v>
      </c>
      <c r="H207" s="11">
        <f t="shared" si="23"/>
        <v>1.7</v>
      </c>
      <c r="I207" s="10">
        <f t="shared" si="19"/>
        <v>5.0999999999999996</v>
      </c>
      <c r="J207" s="10">
        <f t="shared" si="20"/>
        <v>7.2</v>
      </c>
      <c r="K207" s="10">
        <f t="shared" si="21"/>
        <v>5.0999999999999996</v>
      </c>
      <c r="L207" s="10">
        <f t="shared" si="24"/>
        <v>112.5</v>
      </c>
    </row>
    <row r="208" spans="1:12" x14ac:dyDescent="0.25">
      <c r="A208" s="7">
        <v>44704</v>
      </c>
      <c r="B208" t="s">
        <v>6</v>
      </c>
      <c r="C208" s="6" t="s">
        <v>416</v>
      </c>
      <c r="D208" s="2" t="s">
        <v>119</v>
      </c>
      <c r="E208" s="1">
        <v>0.58263888888888882</v>
      </c>
      <c r="F208" s="1">
        <v>0.625</v>
      </c>
      <c r="G208" s="9">
        <f t="shared" si="22"/>
        <v>44704</v>
      </c>
      <c r="H208" s="11">
        <f t="shared" si="23"/>
        <v>1</v>
      </c>
      <c r="I208" s="10">
        <f t="shared" si="19"/>
        <v>6.1</v>
      </c>
      <c r="J208" s="10">
        <f t="shared" si="20"/>
        <v>7.2</v>
      </c>
      <c r="K208" s="10">
        <f t="shared" si="21"/>
        <v>6.1</v>
      </c>
      <c r="L208" s="10">
        <f t="shared" si="24"/>
        <v>113.5</v>
      </c>
    </row>
    <row r="209" spans="1:12" x14ac:dyDescent="0.25">
      <c r="A209" s="7">
        <v>44704</v>
      </c>
      <c r="B209" s="2" t="s">
        <v>464</v>
      </c>
      <c r="C209" s="6">
        <v>2431</v>
      </c>
      <c r="D209" s="2" t="s">
        <v>44</v>
      </c>
      <c r="E209" s="1">
        <v>0.625</v>
      </c>
      <c r="F209" s="1">
        <v>0.68819444444444444</v>
      </c>
      <c r="G209" s="9">
        <f t="shared" si="22"/>
        <v>44704</v>
      </c>
      <c r="H209" s="11">
        <f t="shared" si="23"/>
        <v>1.5</v>
      </c>
      <c r="I209" s="10">
        <f t="shared" si="19"/>
        <v>7.6</v>
      </c>
      <c r="J209" s="10">
        <f t="shared" si="20"/>
        <v>7.2</v>
      </c>
      <c r="K209" s="10">
        <f t="shared" si="21"/>
        <v>7.6</v>
      </c>
      <c r="L209" s="10">
        <f t="shared" si="24"/>
        <v>115</v>
      </c>
    </row>
    <row r="210" spans="1:12" x14ac:dyDescent="0.25">
      <c r="A210" s="7">
        <v>44705</v>
      </c>
      <c r="B210" t="s">
        <v>19</v>
      </c>
      <c r="C210" s="6">
        <v>2675</v>
      </c>
      <c r="D210" s="2" t="s">
        <v>114</v>
      </c>
      <c r="E210" s="1">
        <v>0.30069444444444443</v>
      </c>
      <c r="F210" s="1">
        <v>0.36458333333333331</v>
      </c>
      <c r="G210" s="9">
        <f t="shared" si="22"/>
        <v>44704</v>
      </c>
      <c r="H210" s="11">
        <f t="shared" si="23"/>
        <v>1.5</v>
      </c>
      <c r="I210" s="10">
        <f t="shared" si="19"/>
        <v>1.5</v>
      </c>
      <c r="J210" s="10">
        <f t="shared" si="20"/>
        <v>7.2</v>
      </c>
      <c r="K210" s="10">
        <f t="shared" si="21"/>
        <v>9.1</v>
      </c>
      <c r="L210" s="10">
        <f t="shared" si="24"/>
        <v>116.5</v>
      </c>
    </row>
    <row r="211" spans="1:12" x14ac:dyDescent="0.25">
      <c r="A211" s="7">
        <v>44705</v>
      </c>
      <c r="B211" t="s">
        <v>6</v>
      </c>
      <c r="C211" s="6" t="s">
        <v>416</v>
      </c>
      <c r="D211" s="2" t="s">
        <v>117</v>
      </c>
      <c r="E211" s="1">
        <v>0.36458333333333331</v>
      </c>
      <c r="F211" s="1">
        <v>0.4375</v>
      </c>
      <c r="G211" s="9">
        <f t="shared" si="22"/>
        <v>44704</v>
      </c>
      <c r="H211" s="11">
        <f t="shared" si="23"/>
        <v>1.8</v>
      </c>
      <c r="I211" s="10">
        <f t="shared" si="19"/>
        <v>3.3</v>
      </c>
      <c r="J211" s="10">
        <f t="shared" si="20"/>
        <v>7.2</v>
      </c>
      <c r="K211" s="10">
        <f t="shared" si="21"/>
        <v>10.9</v>
      </c>
      <c r="L211" s="10">
        <f t="shared" si="24"/>
        <v>118.3</v>
      </c>
    </row>
    <row r="212" spans="1:12" x14ac:dyDescent="0.25">
      <c r="A212" s="7">
        <v>44705</v>
      </c>
      <c r="B212" t="s">
        <v>19</v>
      </c>
      <c r="C212" s="6">
        <v>2675</v>
      </c>
      <c r="D212" s="2" t="s">
        <v>114</v>
      </c>
      <c r="E212" s="1">
        <v>0.46875</v>
      </c>
      <c r="F212" s="1">
        <v>0.67152777777777783</v>
      </c>
      <c r="G212" s="9">
        <f t="shared" si="22"/>
        <v>44704</v>
      </c>
      <c r="H212" s="11">
        <f t="shared" si="23"/>
        <v>4.9000000000000004</v>
      </c>
      <c r="I212" s="10">
        <f t="shared" si="19"/>
        <v>8.1999999999999993</v>
      </c>
      <c r="J212" s="10">
        <f t="shared" si="20"/>
        <v>7.2</v>
      </c>
      <c r="K212" s="10">
        <f t="shared" si="21"/>
        <v>15.8</v>
      </c>
      <c r="L212" s="10">
        <f t="shared" si="24"/>
        <v>123.2</v>
      </c>
    </row>
    <row r="213" spans="1:12" x14ac:dyDescent="0.25">
      <c r="A213" s="7">
        <v>44706</v>
      </c>
      <c r="B213" t="s">
        <v>19</v>
      </c>
      <c r="C213" s="6">
        <v>2675</v>
      </c>
      <c r="D213" s="2" t="s">
        <v>114</v>
      </c>
      <c r="E213" s="1">
        <v>0.33680555555555558</v>
      </c>
      <c r="F213" s="1">
        <v>0.50902777777777775</v>
      </c>
      <c r="G213" s="9">
        <f t="shared" si="22"/>
        <v>44704</v>
      </c>
      <c r="H213" s="11">
        <f t="shared" si="23"/>
        <v>4.0999999999999996</v>
      </c>
      <c r="I213" s="10">
        <f t="shared" si="19"/>
        <v>4.0999999999999996</v>
      </c>
      <c r="J213" s="10">
        <f t="shared" si="20"/>
        <v>7.2</v>
      </c>
      <c r="K213" s="10">
        <f t="shared" si="21"/>
        <v>19.899999999999999</v>
      </c>
      <c r="L213" s="10">
        <f t="shared" si="24"/>
        <v>127.3</v>
      </c>
    </row>
    <row r="214" spans="1:12" x14ac:dyDescent="0.25">
      <c r="A214" s="7">
        <v>44706</v>
      </c>
      <c r="B214" t="s">
        <v>19</v>
      </c>
      <c r="C214" s="6">
        <v>2675</v>
      </c>
      <c r="D214" s="2" t="s">
        <v>114</v>
      </c>
      <c r="E214" s="1">
        <v>0.52083333333333337</v>
      </c>
      <c r="F214" s="1">
        <v>0.58472222222222225</v>
      </c>
      <c r="G214" s="9">
        <f t="shared" si="22"/>
        <v>44704</v>
      </c>
      <c r="H214" s="11">
        <f t="shared" si="23"/>
        <v>1.5</v>
      </c>
      <c r="I214" s="10">
        <f t="shared" si="19"/>
        <v>5.6</v>
      </c>
      <c r="J214" s="10">
        <f t="shared" si="20"/>
        <v>7.2</v>
      </c>
      <c r="K214" s="10">
        <f t="shared" si="21"/>
        <v>21.4</v>
      </c>
      <c r="L214" s="10">
        <f t="shared" si="24"/>
        <v>128.80000000000001</v>
      </c>
    </row>
    <row r="215" spans="1:12" x14ac:dyDescent="0.25">
      <c r="A215" s="7">
        <v>44707</v>
      </c>
      <c r="B215" t="s">
        <v>6</v>
      </c>
      <c r="C215" s="6" t="s">
        <v>416</v>
      </c>
      <c r="D215" s="2" t="s">
        <v>104</v>
      </c>
      <c r="E215" s="1">
        <v>0.34097222222222223</v>
      </c>
      <c r="F215" s="1">
        <v>0.45833333333333331</v>
      </c>
      <c r="G215" s="9">
        <f t="shared" si="22"/>
        <v>44704</v>
      </c>
      <c r="H215" s="11">
        <f t="shared" si="23"/>
        <v>2.8</v>
      </c>
      <c r="I215" s="10">
        <f t="shared" si="19"/>
        <v>2.8</v>
      </c>
      <c r="J215" s="10">
        <f t="shared" si="20"/>
        <v>7.2</v>
      </c>
      <c r="K215" s="10">
        <f t="shared" si="21"/>
        <v>24.2</v>
      </c>
      <c r="L215" s="10">
        <f t="shared" si="24"/>
        <v>131.60000000000002</v>
      </c>
    </row>
    <row r="216" spans="1:12" x14ac:dyDescent="0.25">
      <c r="A216" s="7">
        <v>44707</v>
      </c>
      <c r="B216" t="s">
        <v>19</v>
      </c>
      <c r="C216" s="6">
        <v>2675</v>
      </c>
      <c r="D216" s="2" t="s">
        <v>44</v>
      </c>
      <c r="E216" s="1">
        <v>0.45833333333333331</v>
      </c>
      <c r="F216" s="1">
        <v>0.52083333333333337</v>
      </c>
      <c r="G216" s="9">
        <f t="shared" si="22"/>
        <v>44704</v>
      </c>
      <c r="H216" s="11">
        <f t="shared" si="23"/>
        <v>1.5</v>
      </c>
      <c r="I216" s="10">
        <f t="shared" si="19"/>
        <v>4.3</v>
      </c>
      <c r="J216" s="10">
        <f t="shared" si="20"/>
        <v>7.2</v>
      </c>
      <c r="K216" s="10">
        <f t="shared" si="21"/>
        <v>25.7</v>
      </c>
      <c r="L216" s="10">
        <f t="shared" si="24"/>
        <v>133.1</v>
      </c>
    </row>
    <row r="217" spans="1:12" x14ac:dyDescent="0.25">
      <c r="A217" s="7">
        <v>44707</v>
      </c>
      <c r="B217" t="s">
        <v>17</v>
      </c>
      <c r="C217" s="6">
        <v>2420</v>
      </c>
      <c r="D217" s="2" t="s">
        <v>44</v>
      </c>
      <c r="E217" s="1">
        <v>0.52986111111111112</v>
      </c>
      <c r="F217" s="1">
        <v>0.57152777777777775</v>
      </c>
      <c r="G217" s="9">
        <f t="shared" si="22"/>
        <v>44704</v>
      </c>
      <c r="H217" s="11">
        <f t="shared" si="23"/>
        <v>1</v>
      </c>
      <c r="I217" s="10">
        <f t="shared" si="19"/>
        <v>5.3</v>
      </c>
      <c r="J217" s="10">
        <f t="shared" si="20"/>
        <v>7.2</v>
      </c>
      <c r="K217" s="10">
        <f t="shared" si="21"/>
        <v>26.7</v>
      </c>
      <c r="L217" s="10">
        <f t="shared" si="24"/>
        <v>134.1</v>
      </c>
    </row>
    <row r="218" spans="1:12" x14ac:dyDescent="0.25">
      <c r="A218" s="7">
        <v>44707</v>
      </c>
      <c r="B218" t="s">
        <v>17</v>
      </c>
      <c r="C218" s="6">
        <v>2420</v>
      </c>
      <c r="D218" s="2" t="s">
        <v>90</v>
      </c>
      <c r="E218" s="1">
        <v>0.57152777777777775</v>
      </c>
      <c r="F218" s="1">
        <v>0.65763888888888888</v>
      </c>
      <c r="G218" s="9">
        <f t="shared" si="22"/>
        <v>44704</v>
      </c>
      <c r="H218" s="11">
        <f t="shared" si="23"/>
        <v>2.1</v>
      </c>
      <c r="I218" s="10">
        <f t="shared" si="19"/>
        <v>7.4</v>
      </c>
      <c r="J218" s="10">
        <f t="shared" si="20"/>
        <v>7.2</v>
      </c>
      <c r="K218" s="10">
        <f t="shared" si="21"/>
        <v>28.8</v>
      </c>
      <c r="L218" s="10">
        <f t="shared" si="24"/>
        <v>136.19999999999999</v>
      </c>
    </row>
    <row r="219" spans="1:12" x14ac:dyDescent="0.25">
      <c r="A219" s="7">
        <v>44708</v>
      </c>
      <c r="B219" t="s">
        <v>7</v>
      </c>
      <c r="C219" s="6" t="s">
        <v>22</v>
      </c>
      <c r="D219" s="2" t="s">
        <v>120</v>
      </c>
      <c r="E219" s="1">
        <v>0.40972222222222227</v>
      </c>
      <c r="F219" s="1">
        <v>0.70833333333333337</v>
      </c>
      <c r="G219" s="9">
        <f t="shared" si="22"/>
        <v>44704</v>
      </c>
      <c r="H219" s="11">
        <f t="shared" si="23"/>
        <v>7.2</v>
      </c>
      <c r="I219" s="10">
        <f t="shared" si="19"/>
        <v>7.2</v>
      </c>
      <c r="J219" s="10">
        <f t="shared" si="20"/>
        <v>7.2</v>
      </c>
      <c r="K219" s="10">
        <f t="shared" si="21"/>
        <v>36</v>
      </c>
      <c r="L219" s="10">
        <f t="shared" si="24"/>
        <v>143.39999999999998</v>
      </c>
    </row>
    <row r="220" spans="1:12" x14ac:dyDescent="0.25">
      <c r="A220" s="7">
        <v>44711</v>
      </c>
      <c r="B220" t="s">
        <v>7</v>
      </c>
      <c r="C220" s="6" t="s">
        <v>22</v>
      </c>
      <c r="D220" s="2" t="s">
        <v>121</v>
      </c>
      <c r="E220" s="1">
        <v>0.40972222222222227</v>
      </c>
      <c r="F220" s="1">
        <v>0.70833333333333337</v>
      </c>
      <c r="G220" s="9">
        <f t="shared" si="22"/>
        <v>44711</v>
      </c>
      <c r="H220" s="11">
        <f t="shared" si="23"/>
        <v>7.2</v>
      </c>
      <c r="I220" s="10">
        <f t="shared" si="19"/>
        <v>7.2</v>
      </c>
      <c r="J220" s="10">
        <f t="shared" si="20"/>
        <v>7.2</v>
      </c>
      <c r="K220" s="10">
        <f t="shared" si="21"/>
        <v>7.2</v>
      </c>
      <c r="L220" s="10">
        <f t="shared" si="24"/>
        <v>150.6</v>
      </c>
    </row>
    <row r="221" spans="1:12" x14ac:dyDescent="0.25">
      <c r="A221" s="7">
        <v>44712</v>
      </c>
      <c r="B221" t="s">
        <v>7</v>
      </c>
      <c r="C221" s="6" t="s">
        <v>22</v>
      </c>
      <c r="D221" s="2" t="s">
        <v>121</v>
      </c>
      <c r="E221" s="1">
        <v>0.40972222222222227</v>
      </c>
      <c r="F221" s="1">
        <v>0.70833333333333337</v>
      </c>
      <c r="G221" s="9">
        <f t="shared" si="22"/>
        <v>44711</v>
      </c>
      <c r="H221" s="11">
        <f t="shared" si="23"/>
        <v>7.2</v>
      </c>
      <c r="I221" s="10">
        <f t="shared" si="19"/>
        <v>7.2</v>
      </c>
      <c r="J221" s="10">
        <f t="shared" si="20"/>
        <v>7.2</v>
      </c>
      <c r="K221" s="10">
        <f t="shared" si="21"/>
        <v>14.4</v>
      </c>
      <c r="L221" s="10">
        <f t="shared" si="24"/>
        <v>157.79999999999998</v>
      </c>
    </row>
    <row r="222" spans="1:12" x14ac:dyDescent="0.25">
      <c r="A222" s="7">
        <v>44713</v>
      </c>
      <c r="B222" t="s">
        <v>7</v>
      </c>
      <c r="C222" s="6" t="s">
        <v>22</v>
      </c>
      <c r="D222" s="2" t="s">
        <v>121</v>
      </c>
      <c r="E222" s="1">
        <v>0.40972222222222227</v>
      </c>
      <c r="F222" s="1">
        <v>0.70833333333333337</v>
      </c>
      <c r="G222" s="9">
        <f t="shared" si="22"/>
        <v>44711</v>
      </c>
      <c r="H222" s="11">
        <f t="shared" si="23"/>
        <v>7.2</v>
      </c>
      <c r="I222" s="10">
        <f t="shared" si="19"/>
        <v>7.2</v>
      </c>
      <c r="J222" s="10">
        <f t="shared" si="20"/>
        <v>7.2</v>
      </c>
      <c r="K222" s="10">
        <f t="shared" si="21"/>
        <v>21.6</v>
      </c>
      <c r="L222" s="10">
        <f t="shared" si="24"/>
        <v>7.2</v>
      </c>
    </row>
    <row r="223" spans="1:12" x14ac:dyDescent="0.25">
      <c r="A223" s="7">
        <v>44714</v>
      </c>
      <c r="B223" t="s">
        <v>7</v>
      </c>
      <c r="C223" s="6" t="s">
        <v>22</v>
      </c>
      <c r="D223" s="2" t="s">
        <v>121</v>
      </c>
      <c r="E223" s="1">
        <v>0.40972222222222227</v>
      </c>
      <c r="F223" s="1">
        <v>0.70833333333333337</v>
      </c>
      <c r="G223" s="9">
        <f t="shared" si="22"/>
        <v>44711</v>
      </c>
      <c r="H223" s="11">
        <f t="shared" si="23"/>
        <v>7.2</v>
      </c>
      <c r="I223" s="10">
        <f t="shared" si="19"/>
        <v>7.2</v>
      </c>
      <c r="J223" s="10">
        <f t="shared" si="20"/>
        <v>7.2</v>
      </c>
      <c r="K223" s="10">
        <f t="shared" si="21"/>
        <v>28.8</v>
      </c>
      <c r="L223" s="10">
        <f t="shared" si="24"/>
        <v>14.4</v>
      </c>
    </row>
    <row r="224" spans="1:12" x14ac:dyDescent="0.25">
      <c r="A224" s="7">
        <v>44715</v>
      </c>
      <c r="B224" t="s">
        <v>7</v>
      </c>
      <c r="C224" s="6" t="s">
        <v>22</v>
      </c>
      <c r="D224" s="2" t="s">
        <v>121</v>
      </c>
      <c r="E224" s="1">
        <v>0.40972222222222227</v>
      </c>
      <c r="F224" s="1">
        <v>0.70833333333333337</v>
      </c>
      <c r="G224" s="9">
        <f t="shared" si="22"/>
        <v>44711</v>
      </c>
      <c r="H224" s="11">
        <f t="shared" si="23"/>
        <v>7.2</v>
      </c>
      <c r="I224" s="10">
        <f t="shared" si="19"/>
        <v>7.2</v>
      </c>
      <c r="J224" s="10">
        <f t="shared" si="20"/>
        <v>7.2</v>
      </c>
      <c r="K224" s="10">
        <f t="shared" si="21"/>
        <v>36</v>
      </c>
      <c r="L224" s="10">
        <f t="shared" si="24"/>
        <v>21.6</v>
      </c>
    </row>
    <row r="225" spans="1:12" x14ac:dyDescent="0.25">
      <c r="A225" s="7">
        <v>44718</v>
      </c>
      <c r="B225" t="s">
        <v>7</v>
      </c>
      <c r="C225" s="6" t="s">
        <v>22</v>
      </c>
      <c r="D225" s="2" t="s">
        <v>122</v>
      </c>
      <c r="E225" s="1">
        <v>0.40972222222222227</v>
      </c>
      <c r="F225" s="1">
        <v>0.70833333333333337</v>
      </c>
      <c r="G225" s="9">
        <f t="shared" si="22"/>
        <v>44718</v>
      </c>
      <c r="H225" s="11">
        <f t="shared" si="23"/>
        <v>7.2</v>
      </c>
      <c r="I225" s="10">
        <f t="shared" si="19"/>
        <v>7.2</v>
      </c>
      <c r="J225" s="10">
        <f t="shared" si="20"/>
        <v>7.2</v>
      </c>
      <c r="K225" s="10">
        <f t="shared" si="21"/>
        <v>7.2</v>
      </c>
      <c r="L225" s="10">
        <f t="shared" si="24"/>
        <v>28.8</v>
      </c>
    </row>
    <row r="226" spans="1:12" x14ac:dyDescent="0.25">
      <c r="A226" s="7">
        <v>44719</v>
      </c>
      <c r="B226" t="s">
        <v>17</v>
      </c>
      <c r="C226" s="6">
        <v>2420</v>
      </c>
      <c r="D226" s="2" t="s">
        <v>123</v>
      </c>
      <c r="E226" s="1">
        <v>0.3354166666666667</v>
      </c>
      <c r="F226" s="1">
        <v>0.39583333333333331</v>
      </c>
      <c r="G226" s="9">
        <f t="shared" si="22"/>
        <v>44718</v>
      </c>
      <c r="H226" s="11">
        <f t="shared" si="23"/>
        <v>1.5</v>
      </c>
      <c r="I226" s="10">
        <f t="shared" si="19"/>
        <v>1.5</v>
      </c>
      <c r="J226" s="10">
        <f t="shared" si="20"/>
        <v>7.2</v>
      </c>
      <c r="K226" s="10">
        <f t="shared" si="21"/>
        <v>8.6999999999999993</v>
      </c>
      <c r="L226" s="10">
        <f t="shared" si="24"/>
        <v>30.3</v>
      </c>
    </row>
    <row r="227" spans="1:12" x14ac:dyDescent="0.25">
      <c r="A227" s="7">
        <v>44719</v>
      </c>
      <c r="B227" t="s">
        <v>6</v>
      </c>
      <c r="C227" s="6" t="s">
        <v>416</v>
      </c>
      <c r="D227" s="2" t="s">
        <v>124</v>
      </c>
      <c r="E227" s="1">
        <v>0.39583333333333331</v>
      </c>
      <c r="F227" s="1">
        <v>0.43055555555555558</v>
      </c>
      <c r="G227" s="9">
        <f t="shared" si="22"/>
        <v>44718</v>
      </c>
      <c r="H227" s="11">
        <f t="shared" si="23"/>
        <v>0.8</v>
      </c>
      <c r="I227" s="10">
        <f t="shared" si="19"/>
        <v>2.2999999999999998</v>
      </c>
      <c r="J227" s="10">
        <f t="shared" si="20"/>
        <v>7.2</v>
      </c>
      <c r="K227" s="10">
        <f t="shared" si="21"/>
        <v>9.5</v>
      </c>
      <c r="L227" s="10">
        <f t="shared" si="24"/>
        <v>31.1</v>
      </c>
    </row>
    <row r="228" spans="1:12" x14ac:dyDescent="0.25">
      <c r="A228" s="7">
        <v>44719</v>
      </c>
      <c r="B228" t="s">
        <v>17</v>
      </c>
      <c r="C228" s="6">
        <v>2420</v>
      </c>
      <c r="D228" s="2" t="s">
        <v>123</v>
      </c>
      <c r="E228" s="1">
        <v>0.43055555555555558</v>
      </c>
      <c r="F228" s="1">
        <v>0.48402777777777778</v>
      </c>
      <c r="G228" s="9">
        <f t="shared" si="22"/>
        <v>44718</v>
      </c>
      <c r="H228" s="11">
        <f t="shared" si="23"/>
        <v>1.3</v>
      </c>
      <c r="I228" s="10">
        <f t="shared" si="19"/>
        <v>3.5999999999999996</v>
      </c>
      <c r="J228" s="10">
        <f t="shared" si="20"/>
        <v>7.2</v>
      </c>
      <c r="K228" s="10">
        <f t="shared" si="21"/>
        <v>10.8</v>
      </c>
      <c r="L228" s="10">
        <f t="shared" si="24"/>
        <v>32.4</v>
      </c>
    </row>
    <row r="229" spans="1:12" x14ac:dyDescent="0.25">
      <c r="A229" s="7">
        <v>44719</v>
      </c>
      <c r="B229" t="s">
        <v>17</v>
      </c>
      <c r="C229" s="6">
        <v>2420</v>
      </c>
      <c r="D229" s="2" t="s">
        <v>123</v>
      </c>
      <c r="E229" s="1">
        <v>0.49444444444444446</v>
      </c>
      <c r="F229" s="1">
        <v>0.58333333333333337</v>
      </c>
      <c r="G229" s="9">
        <f t="shared" si="22"/>
        <v>44718</v>
      </c>
      <c r="H229" s="11">
        <f t="shared" si="23"/>
        <v>2.1</v>
      </c>
      <c r="I229" s="10">
        <f t="shared" si="19"/>
        <v>5.7</v>
      </c>
      <c r="J229" s="10">
        <f t="shared" si="20"/>
        <v>7.2</v>
      </c>
      <c r="K229" s="10">
        <f t="shared" si="21"/>
        <v>12.9</v>
      </c>
      <c r="L229" s="10">
        <f t="shared" si="24"/>
        <v>34.5</v>
      </c>
    </row>
    <row r="230" spans="1:12" x14ac:dyDescent="0.25">
      <c r="A230" s="7">
        <v>44719</v>
      </c>
      <c r="B230" t="s">
        <v>6</v>
      </c>
      <c r="C230" s="6" t="s">
        <v>416</v>
      </c>
      <c r="D230" s="2" t="s">
        <v>71</v>
      </c>
      <c r="E230" s="1">
        <v>0.58333333333333337</v>
      </c>
      <c r="F230" s="1">
        <v>0.62916666666666665</v>
      </c>
      <c r="G230" s="9">
        <f t="shared" si="22"/>
        <v>44718</v>
      </c>
      <c r="H230" s="11">
        <f t="shared" si="23"/>
        <v>1.1000000000000001</v>
      </c>
      <c r="I230" s="10">
        <f t="shared" si="19"/>
        <v>6.8000000000000007</v>
      </c>
      <c r="J230" s="10">
        <f t="shared" si="20"/>
        <v>7.2</v>
      </c>
      <c r="K230" s="10">
        <f t="shared" si="21"/>
        <v>14</v>
      </c>
      <c r="L230" s="10">
        <f t="shared" si="24"/>
        <v>35.6</v>
      </c>
    </row>
    <row r="231" spans="1:12" x14ac:dyDescent="0.25">
      <c r="A231" s="7">
        <v>44719</v>
      </c>
      <c r="B231" t="s">
        <v>17</v>
      </c>
      <c r="C231" s="6">
        <v>2420</v>
      </c>
      <c r="D231" s="2" t="s">
        <v>123</v>
      </c>
      <c r="E231" s="1">
        <v>0.62916666666666665</v>
      </c>
      <c r="F231" s="1">
        <v>0.68611111111111101</v>
      </c>
      <c r="G231" s="9">
        <f t="shared" si="22"/>
        <v>44718</v>
      </c>
      <c r="H231" s="11">
        <f t="shared" si="23"/>
        <v>1.4</v>
      </c>
      <c r="I231" s="10">
        <f t="shared" si="19"/>
        <v>8.1999999999999993</v>
      </c>
      <c r="J231" s="10">
        <f t="shared" si="20"/>
        <v>7.2</v>
      </c>
      <c r="K231" s="10">
        <f t="shared" si="21"/>
        <v>15.4</v>
      </c>
      <c r="L231" s="10">
        <f t="shared" si="24"/>
        <v>37</v>
      </c>
    </row>
    <row r="232" spans="1:12" x14ac:dyDescent="0.25">
      <c r="A232" s="7">
        <v>44720</v>
      </c>
      <c r="B232" t="s">
        <v>17</v>
      </c>
      <c r="C232" s="6">
        <v>2420</v>
      </c>
      <c r="D232" s="2" t="s">
        <v>127</v>
      </c>
      <c r="E232" s="1">
        <v>0.30138888888888887</v>
      </c>
      <c r="F232" s="1">
        <v>0.48958333333333331</v>
      </c>
      <c r="G232" s="9">
        <f t="shared" si="22"/>
        <v>44718</v>
      </c>
      <c r="H232" s="11">
        <f t="shared" si="23"/>
        <v>4.5</v>
      </c>
      <c r="I232" s="10">
        <f t="shared" si="19"/>
        <v>4.5</v>
      </c>
      <c r="J232" s="10">
        <f t="shared" si="20"/>
        <v>7.2</v>
      </c>
      <c r="K232" s="10">
        <f t="shared" si="21"/>
        <v>19.899999999999999</v>
      </c>
      <c r="L232" s="10">
        <f t="shared" si="24"/>
        <v>41.5</v>
      </c>
    </row>
    <row r="233" spans="1:12" x14ac:dyDescent="0.25">
      <c r="A233" s="7">
        <v>44720</v>
      </c>
      <c r="B233" t="s">
        <v>17</v>
      </c>
      <c r="C233" s="6">
        <v>2420</v>
      </c>
      <c r="D233" s="2" t="s">
        <v>127</v>
      </c>
      <c r="E233" s="1">
        <v>0.50069444444444444</v>
      </c>
      <c r="F233" s="1">
        <v>0.54166666666666663</v>
      </c>
      <c r="G233" s="9">
        <f t="shared" si="22"/>
        <v>44718</v>
      </c>
      <c r="H233" s="11">
        <f t="shared" si="23"/>
        <v>1</v>
      </c>
      <c r="I233" s="10">
        <f t="shared" si="19"/>
        <v>5.5</v>
      </c>
      <c r="J233" s="10">
        <f t="shared" si="20"/>
        <v>7.2</v>
      </c>
      <c r="K233" s="10">
        <f t="shared" si="21"/>
        <v>20.9</v>
      </c>
      <c r="L233" s="10">
        <f t="shared" si="24"/>
        <v>42.5</v>
      </c>
    </row>
    <row r="234" spans="1:12" x14ac:dyDescent="0.25">
      <c r="A234" s="7">
        <v>44720</v>
      </c>
      <c r="B234" t="s">
        <v>126</v>
      </c>
      <c r="C234" s="6" t="s">
        <v>125</v>
      </c>
      <c r="D234" s="2" t="s">
        <v>128</v>
      </c>
      <c r="E234" s="1">
        <v>0.54166666666666663</v>
      </c>
      <c r="F234" s="1">
        <v>0.58333333333333337</v>
      </c>
      <c r="G234" s="9">
        <f t="shared" si="22"/>
        <v>44718</v>
      </c>
      <c r="H234" s="11">
        <f t="shared" si="23"/>
        <v>1</v>
      </c>
      <c r="I234" s="10">
        <f t="shared" si="19"/>
        <v>6.5</v>
      </c>
      <c r="J234" s="10">
        <f t="shared" si="20"/>
        <v>7.2</v>
      </c>
      <c r="K234" s="10">
        <f t="shared" si="21"/>
        <v>21.9</v>
      </c>
      <c r="L234" s="10">
        <f t="shared" si="24"/>
        <v>43.5</v>
      </c>
    </row>
    <row r="235" spans="1:12" x14ac:dyDescent="0.25">
      <c r="A235" s="7">
        <v>44720</v>
      </c>
      <c r="B235" s="2" t="s">
        <v>464</v>
      </c>
      <c r="C235" s="6">
        <v>2431</v>
      </c>
      <c r="D235" s="2" t="s">
        <v>129</v>
      </c>
      <c r="E235" s="1">
        <v>0.58333333333333337</v>
      </c>
      <c r="F235" s="1">
        <v>0.625</v>
      </c>
      <c r="G235" s="9">
        <f t="shared" si="22"/>
        <v>44718</v>
      </c>
      <c r="H235" s="11">
        <f t="shared" si="23"/>
        <v>1</v>
      </c>
      <c r="I235" s="10">
        <f t="shared" si="19"/>
        <v>7.5</v>
      </c>
      <c r="J235" s="10">
        <f t="shared" si="20"/>
        <v>7.2</v>
      </c>
      <c r="K235" s="10">
        <f t="shared" si="21"/>
        <v>22.9</v>
      </c>
      <c r="L235" s="10">
        <f t="shared" si="24"/>
        <v>44.5</v>
      </c>
    </row>
    <row r="236" spans="1:12" x14ac:dyDescent="0.25">
      <c r="A236" s="7">
        <v>44720</v>
      </c>
      <c r="B236" t="s">
        <v>17</v>
      </c>
      <c r="C236" s="6">
        <v>2420</v>
      </c>
      <c r="D236" s="2" t="s">
        <v>127</v>
      </c>
      <c r="E236" s="1">
        <v>0.625</v>
      </c>
      <c r="F236" s="1">
        <v>0.69097222222222221</v>
      </c>
      <c r="G236" s="9">
        <f t="shared" si="22"/>
        <v>44718</v>
      </c>
      <c r="H236" s="11">
        <f t="shared" si="23"/>
        <v>1.6</v>
      </c>
      <c r="I236" s="10">
        <f t="shared" si="19"/>
        <v>9.1</v>
      </c>
      <c r="J236" s="10">
        <f t="shared" si="20"/>
        <v>7.2</v>
      </c>
      <c r="K236" s="10">
        <f t="shared" si="21"/>
        <v>24.5</v>
      </c>
      <c r="L236" s="10">
        <f t="shared" si="24"/>
        <v>46.1</v>
      </c>
    </row>
    <row r="237" spans="1:12" x14ac:dyDescent="0.25">
      <c r="A237" s="7">
        <v>44721</v>
      </c>
      <c r="B237" t="s">
        <v>17</v>
      </c>
      <c r="C237" s="6">
        <v>2420</v>
      </c>
      <c r="D237" s="2" t="s">
        <v>127</v>
      </c>
      <c r="E237" s="1">
        <v>0.37986111111111115</v>
      </c>
      <c r="F237" s="1">
        <v>0.41666666666666669</v>
      </c>
      <c r="G237" s="9">
        <f t="shared" si="22"/>
        <v>44718</v>
      </c>
      <c r="H237" s="11">
        <f t="shared" si="23"/>
        <v>0.9</v>
      </c>
      <c r="I237" s="10">
        <f t="shared" si="19"/>
        <v>0.9</v>
      </c>
      <c r="J237" s="10">
        <f t="shared" si="20"/>
        <v>7.2</v>
      </c>
      <c r="K237" s="10">
        <f t="shared" si="21"/>
        <v>25.4</v>
      </c>
      <c r="L237" s="10">
        <f t="shared" si="24"/>
        <v>47</v>
      </c>
    </row>
    <row r="238" spans="1:12" x14ac:dyDescent="0.25">
      <c r="A238" s="7">
        <v>44721</v>
      </c>
      <c r="B238" t="s">
        <v>6</v>
      </c>
      <c r="C238" s="6" t="s">
        <v>416</v>
      </c>
      <c r="D238" s="2" t="s">
        <v>130</v>
      </c>
      <c r="E238" s="1">
        <v>0.41666666666666669</v>
      </c>
      <c r="F238" s="1">
        <v>0.45833333333333331</v>
      </c>
      <c r="G238" s="9">
        <f t="shared" si="22"/>
        <v>44718</v>
      </c>
      <c r="H238" s="11">
        <f t="shared" si="23"/>
        <v>1</v>
      </c>
      <c r="I238" s="10">
        <f t="shared" si="19"/>
        <v>1.9</v>
      </c>
      <c r="J238" s="10">
        <f t="shared" si="20"/>
        <v>7.2</v>
      </c>
      <c r="K238" s="10">
        <f t="shared" si="21"/>
        <v>26.4</v>
      </c>
      <c r="L238" s="10">
        <f t="shared" si="24"/>
        <v>48</v>
      </c>
    </row>
    <row r="239" spans="1:12" x14ac:dyDescent="0.25">
      <c r="A239" s="7">
        <v>44721</v>
      </c>
      <c r="B239" t="s">
        <v>17</v>
      </c>
      <c r="C239" s="6">
        <v>2420</v>
      </c>
      <c r="D239" s="2" t="s">
        <v>131</v>
      </c>
      <c r="E239" s="1">
        <v>0.45833333333333331</v>
      </c>
      <c r="F239" s="1">
        <v>0.5131944444444444</v>
      </c>
      <c r="G239" s="9">
        <f t="shared" si="22"/>
        <v>44718</v>
      </c>
      <c r="H239" s="11">
        <f t="shared" si="23"/>
        <v>1.3</v>
      </c>
      <c r="I239" s="10">
        <f t="shared" si="19"/>
        <v>3.2</v>
      </c>
      <c r="J239" s="10">
        <f t="shared" si="20"/>
        <v>7.2</v>
      </c>
      <c r="K239" s="10">
        <f t="shared" si="21"/>
        <v>27.7</v>
      </c>
      <c r="L239" s="10">
        <f t="shared" si="24"/>
        <v>49.3</v>
      </c>
    </row>
    <row r="240" spans="1:12" x14ac:dyDescent="0.25">
      <c r="A240" s="7">
        <v>44721</v>
      </c>
      <c r="B240" t="s">
        <v>17</v>
      </c>
      <c r="C240" s="6">
        <v>2420</v>
      </c>
      <c r="D240" s="2" t="s">
        <v>131</v>
      </c>
      <c r="E240" s="1">
        <v>0.53055555555555556</v>
      </c>
      <c r="F240" s="1">
        <v>0.625</v>
      </c>
      <c r="G240" s="9">
        <f t="shared" si="22"/>
        <v>44718</v>
      </c>
      <c r="H240" s="11">
        <f t="shared" si="23"/>
        <v>2.2999999999999998</v>
      </c>
      <c r="I240" s="10">
        <f t="shared" si="19"/>
        <v>5.5</v>
      </c>
      <c r="J240" s="10">
        <f t="shared" si="20"/>
        <v>7.2</v>
      </c>
      <c r="K240" s="10">
        <f t="shared" si="21"/>
        <v>30</v>
      </c>
      <c r="L240" s="10">
        <f t="shared" si="24"/>
        <v>51.599999999999994</v>
      </c>
    </row>
    <row r="241" spans="1:12" x14ac:dyDescent="0.25">
      <c r="A241" s="7">
        <v>44721</v>
      </c>
      <c r="B241" s="2" t="s">
        <v>464</v>
      </c>
      <c r="C241" s="6">
        <v>2431</v>
      </c>
      <c r="D241" s="2" t="s">
        <v>132</v>
      </c>
      <c r="E241" s="1">
        <v>0.625</v>
      </c>
      <c r="F241" s="1">
        <v>0.65347222222222223</v>
      </c>
      <c r="G241" s="9">
        <f t="shared" si="22"/>
        <v>44718</v>
      </c>
      <c r="H241" s="11">
        <f t="shared" si="23"/>
        <v>0.7</v>
      </c>
      <c r="I241" s="10">
        <f t="shared" si="19"/>
        <v>6.2</v>
      </c>
      <c r="J241" s="10">
        <f t="shared" si="20"/>
        <v>7.2</v>
      </c>
      <c r="K241" s="10">
        <f t="shared" si="21"/>
        <v>30.7</v>
      </c>
      <c r="L241" s="10">
        <f t="shared" si="24"/>
        <v>52.300000000000004</v>
      </c>
    </row>
    <row r="242" spans="1:12" x14ac:dyDescent="0.25">
      <c r="A242" s="7">
        <v>44722</v>
      </c>
      <c r="B242" t="s">
        <v>17</v>
      </c>
      <c r="C242" s="6">
        <v>2420</v>
      </c>
      <c r="D242" s="2" t="s">
        <v>131</v>
      </c>
      <c r="E242" s="1">
        <v>0.35069444444444442</v>
      </c>
      <c r="F242" s="1">
        <v>0.47361111111111115</v>
      </c>
      <c r="G242" s="9">
        <f t="shared" si="22"/>
        <v>44718</v>
      </c>
      <c r="H242" s="11">
        <f t="shared" si="23"/>
        <v>3</v>
      </c>
      <c r="I242" s="10">
        <f t="shared" si="19"/>
        <v>3</v>
      </c>
      <c r="J242" s="10">
        <f t="shared" si="20"/>
        <v>7.2</v>
      </c>
      <c r="K242" s="10">
        <f t="shared" si="21"/>
        <v>33.700000000000003</v>
      </c>
      <c r="L242" s="10">
        <f t="shared" si="24"/>
        <v>55.3</v>
      </c>
    </row>
    <row r="243" spans="1:12" x14ac:dyDescent="0.25">
      <c r="A243" s="7">
        <v>44722</v>
      </c>
      <c r="B243" t="s">
        <v>17</v>
      </c>
      <c r="C243" s="6">
        <v>2420</v>
      </c>
      <c r="D243" s="2" t="s">
        <v>133</v>
      </c>
      <c r="E243" s="1">
        <v>0.47361111111111115</v>
      </c>
      <c r="F243" s="1">
        <v>0.48541666666666666</v>
      </c>
      <c r="G243" s="9">
        <f t="shared" si="22"/>
        <v>44718</v>
      </c>
      <c r="H243" s="11">
        <f t="shared" si="23"/>
        <v>0.3</v>
      </c>
      <c r="I243" s="10">
        <f t="shared" si="19"/>
        <v>3.3</v>
      </c>
      <c r="J243" s="10">
        <f t="shared" si="20"/>
        <v>7.2</v>
      </c>
      <c r="K243" s="10">
        <f t="shared" si="21"/>
        <v>34</v>
      </c>
      <c r="L243" s="10">
        <f t="shared" si="24"/>
        <v>55.599999999999994</v>
      </c>
    </row>
    <row r="244" spans="1:12" x14ac:dyDescent="0.25">
      <c r="A244" s="7">
        <v>44722</v>
      </c>
      <c r="B244" t="s">
        <v>17</v>
      </c>
      <c r="C244" s="6">
        <v>2420</v>
      </c>
      <c r="D244" s="2" t="s">
        <v>133</v>
      </c>
      <c r="E244" s="1">
        <v>0.49652777777777773</v>
      </c>
      <c r="F244" s="1">
        <v>0.6069444444444444</v>
      </c>
      <c r="G244" s="9">
        <f t="shared" si="22"/>
        <v>44718</v>
      </c>
      <c r="H244" s="11">
        <f t="shared" si="23"/>
        <v>2.7</v>
      </c>
      <c r="I244" s="10">
        <f t="shared" si="19"/>
        <v>6</v>
      </c>
      <c r="J244" s="10">
        <f t="shared" si="20"/>
        <v>7.2</v>
      </c>
      <c r="K244" s="10">
        <f t="shared" si="21"/>
        <v>36.700000000000003</v>
      </c>
      <c r="L244" s="10">
        <f t="shared" si="24"/>
        <v>58.300000000000004</v>
      </c>
    </row>
    <row r="245" spans="1:12" x14ac:dyDescent="0.25">
      <c r="A245" s="7">
        <v>44725</v>
      </c>
      <c r="B245" t="s">
        <v>6</v>
      </c>
      <c r="C245" s="6" t="s">
        <v>416</v>
      </c>
      <c r="D245" s="2" t="s">
        <v>134</v>
      </c>
      <c r="E245" s="1">
        <v>0.37152777777777773</v>
      </c>
      <c r="F245" s="1">
        <v>0.45833333333333331</v>
      </c>
      <c r="G245" s="9">
        <f t="shared" si="22"/>
        <v>44725</v>
      </c>
      <c r="H245" s="11">
        <f t="shared" si="23"/>
        <v>2.1</v>
      </c>
      <c r="I245" s="10">
        <f t="shared" si="19"/>
        <v>2.1</v>
      </c>
      <c r="J245" s="10">
        <f t="shared" si="20"/>
        <v>7.2</v>
      </c>
      <c r="K245" s="10">
        <f t="shared" si="21"/>
        <v>2.1</v>
      </c>
      <c r="L245" s="10">
        <f t="shared" si="24"/>
        <v>60.4</v>
      </c>
    </row>
    <row r="246" spans="1:12" x14ac:dyDescent="0.25">
      <c r="A246" s="7">
        <v>44725</v>
      </c>
      <c r="B246" t="s">
        <v>19</v>
      </c>
      <c r="C246" s="6">
        <v>2675</v>
      </c>
      <c r="D246" s="2" t="s">
        <v>135</v>
      </c>
      <c r="E246" s="1">
        <v>0.45833333333333331</v>
      </c>
      <c r="F246" s="1">
        <v>0.47916666666666669</v>
      </c>
      <c r="G246" s="9">
        <f t="shared" si="22"/>
        <v>44725</v>
      </c>
      <c r="H246" s="11">
        <f t="shared" si="23"/>
        <v>0.5</v>
      </c>
      <c r="I246" s="10">
        <f t="shared" si="19"/>
        <v>2.6</v>
      </c>
      <c r="J246" s="10">
        <f t="shared" si="20"/>
        <v>7.2</v>
      </c>
      <c r="K246" s="10">
        <f t="shared" si="21"/>
        <v>2.6</v>
      </c>
      <c r="L246" s="10">
        <f t="shared" si="24"/>
        <v>60.9</v>
      </c>
    </row>
    <row r="247" spans="1:12" x14ac:dyDescent="0.25">
      <c r="A247" s="7">
        <v>44725</v>
      </c>
      <c r="B247" s="2" t="s">
        <v>464</v>
      </c>
      <c r="C247" s="6">
        <v>2431</v>
      </c>
      <c r="D247" s="2" t="s">
        <v>137</v>
      </c>
      <c r="E247" s="1">
        <v>0.52500000000000002</v>
      </c>
      <c r="F247" s="1">
        <v>0.5625</v>
      </c>
      <c r="G247" s="9">
        <f>IF(E248&gt;0,INT((A248-2)/7)*7+2,"")</f>
        <v>44725</v>
      </c>
      <c r="H247" s="11">
        <f t="shared" ref="H247:H252" si="25">IF(E247&gt;0,ROUND(24*(IF(F247&gt;0,F247,NowTime)-E247),1),"")</f>
        <v>0.9</v>
      </c>
      <c r="I247" s="10">
        <f t="shared" si="19"/>
        <v>3.5</v>
      </c>
      <c r="J247" s="10">
        <f t="shared" ref="J247:J252" si="26">IF(H247="",H247,7.2)</f>
        <v>7.2</v>
      </c>
      <c r="K247" s="10">
        <f t="shared" ref="K247:K252" si="27">IF(H247="",H247,H247+IF(G247=G246,_xlfn.NUMBERVALUE(K246),0))</f>
        <v>3.5</v>
      </c>
      <c r="L247" s="10">
        <f t="shared" ref="L247:L252" si="28">IF(H247="",H247,H247+IF(MONTH(A247)=MONTH(A246),_xlfn.NUMBERVALUE(L246),0))</f>
        <v>61.8</v>
      </c>
    </row>
    <row r="248" spans="1:12" x14ac:dyDescent="0.25">
      <c r="A248" s="7">
        <v>44725</v>
      </c>
      <c r="B248" t="s">
        <v>19</v>
      </c>
      <c r="C248" s="6">
        <v>2675</v>
      </c>
      <c r="D248" s="2" t="s">
        <v>136</v>
      </c>
      <c r="E248" s="1">
        <v>0.5625</v>
      </c>
      <c r="F248" s="1">
        <v>0.65138888888888891</v>
      </c>
      <c r="G248" s="9">
        <f>IF(E249&gt;0,INT((A249-2)/7)*7+2,"")</f>
        <v>44725</v>
      </c>
      <c r="H248" s="11">
        <f t="shared" si="25"/>
        <v>2.1</v>
      </c>
      <c r="I248" s="10">
        <f t="shared" si="19"/>
        <v>5.6</v>
      </c>
      <c r="J248" s="10">
        <f t="shared" si="26"/>
        <v>7.2</v>
      </c>
      <c r="K248" s="10">
        <f t="shared" si="27"/>
        <v>5.6</v>
      </c>
      <c r="L248" s="10">
        <f t="shared" si="28"/>
        <v>63.9</v>
      </c>
    </row>
    <row r="249" spans="1:12" x14ac:dyDescent="0.25">
      <c r="A249" s="7">
        <v>44726</v>
      </c>
      <c r="B249" t="s">
        <v>6</v>
      </c>
      <c r="C249" s="6" t="s">
        <v>416</v>
      </c>
      <c r="D249" s="2" t="s">
        <v>138</v>
      </c>
      <c r="E249" s="1">
        <v>0.34930555555555554</v>
      </c>
      <c r="F249" s="1">
        <v>0.44236111111111115</v>
      </c>
      <c r="G249" s="9">
        <f>IF(E250&gt;0,INT((A250-2)/7)*7+2,"")</f>
        <v>44725</v>
      </c>
      <c r="H249" s="11">
        <f t="shared" si="25"/>
        <v>2.2000000000000002</v>
      </c>
      <c r="I249" s="10">
        <f t="shared" si="19"/>
        <v>2.2000000000000002</v>
      </c>
      <c r="J249" s="10">
        <f t="shared" si="26"/>
        <v>7.2</v>
      </c>
      <c r="K249" s="10">
        <f t="shared" si="27"/>
        <v>7.8</v>
      </c>
      <c r="L249" s="10">
        <f t="shared" si="28"/>
        <v>66.099999999999994</v>
      </c>
    </row>
    <row r="250" spans="1:12" x14ac:dyDescent="0.25">
      <c r="A250" s="7">
        <v>44726</v>
      </c>
      <c r="B250" t="s">
        <v>19</v>
      </c>
      <c r="C250" s="6">
        <v>2675</v>
      </c>
      <c r="D250" s="2" t="s">
        <v>136</v>
      </c>
      <c r="E250" s="1">
        <v>0.44236111111111115</v>
      </c>
      <c r="F250" s="1">
        <v>0.50138888888888888</v>
      </c>
      <c r="G250" s="9">
        <f>IF(E251&gt;0,INT((A251-2)/7)*7+2,"")</f>
        <v>44725</v>
      </c>
      <c r="H250" s="11">
        <f t="shared" si="25"/>
        <v>1.4</v>
      </c>
      <c r="I250" s="10">
        <f t="shared" si="19"/>
        <v>3.6</v>
      </c>
      <c r="J250" s="10">
        <f t="shared" si="26"/>
        <v>7.2</v>
      </c>
      <c r="K250" s="10">
        <f t="shared" si="27"/>
        <v>9.1999999999999993</v>
      </c>
      <c r="L250" s="10">
        <f t="shared" si="28"/>
        <v>67.5</v>
      </c>
    </row>
    <row r="251" spans="1:12" x14ac:dyDescent="0.25">
      <c r="A251" s="7">
        <v>44726</v>
      </c>
      <c r="B251" t="s">
        <v>19</v>
      </c>
      <c r="C251" s="6">
        <v>2675</v>
      </c>
      <c r="D251" s="2" t="s">
        <v>136</v>
      </c>
      <c r="E251" s="1">
        <v>0.51250000000000007</v>
      </c>
      <c r="F251" s="1">
        <v>0.54166666666666663</v>
      </c>
      <c r="G251" s="9">
        <f>IF(E252&gt;0,INT((A252-2)/7)*7+2,"")</f>
        <v>44725</v>
      </c>
      <c r="H251" s="11">
        <f t="shared" si="25"/>
        <v>0.7</v>
      </c>
      <c r="I251" s="10">
        <f t="shared" si="19"/>
        <v>4.3</v>
      </c>
      <c r="J251" s="10">
        <f t="shared" si="26"/>
        <v>7.2</v>
      </c>
      <c r="K251" s="10">
        <f t="shared" si="27"/>
        <v>9.8999999999999986</v>
      </c>
      <c r="L251" s="10">
        <f t="shared" si="28"/>
        <v>68.2</v>
      </c>
    </row>
    <row r="252" spans="1:12" x14ac:dyDescent="0.25">
      <c r="A252" s="7">
        <v>44726</v>
      </c>
      <c r="B252" t="s">
        <v>6</v>
      </c>
      <c r="C252" s="6" t="s">
        <v>416</v>
      </c>
      <c r="D252" s="2" t="s">
        <v>103</v>
      </c>
      <c r="E252" s="1">
        <v>0.54166666666666663</v>
      </c>
      <c r="F252" s="1">
        <v>0.58472222222222225</v>
      </c>
      <c r="G252" s="9">
        <f t="shared" si="22"/>
        <v>44725</v>
      </c>
      <c r="H252" s="11">
        <f t="shared" si="25"/>
        <v>1</v>
      </c>
      <c r="I252" s="10">
        <f t="shared" si="19"/>
        <v>5.3</v>
      </c>
      <c r="J252" s="10">
        <f t="shared" si="26"/>
        <v>7.2</v>
      </c>
      <c r="K252" s="10">
        <f t="shared" si="27"/>
        <v>10.9</v>
      </c>
      <c r="L252" s="10">
        <f t="shared" si="28"/>
        <v>69.2</v>
      </c>
    </row>
    <row r="253" spans="1:12" x14ac:dyDescent="0.25">
      <c r="A253" s="7">
        <v>44726</v>
      </c>
      <c r="B253" t="s">
        <v>19</v>
      </c>
      <c r="C253" s="6">
        <v>2675</v>
      </c>
      <c r="D253" s="2" t="s">
        <v>136</v>
      </c>
      <c r="E253" s="1">
        <v>0.58472222222222225</v>
      </c>
      <c r="F253" s="1">
        <v>0.65902777777777777</v>
      </c>
      <c r="G253" s="9">
        <f t="shared" si="22"/>
        <v>44725</v>
      </c>
      <c r="H253" s="11">
        <f t="shared" si="23"/>
        <v>1.8</v>
      </c>
      <c r="I253" s="10">
        <f t="shared" si="19"/>
        <v>7.1</v>
      </c>
      <c r="J253" s="10">
        <f t="shared" si="20"/>
        <v>7.2</v>
      </c>
      <c r="K253" s="10">
        <f t="shared" si="21"/>
        <v>12.700000000000001</v>
      </c>
      <c r="L253" s="10">
        <f t="shared" si="24"/>
        <v>71</v>
      </c>
    </row>
    <row r="254" spans="1:12" x14ac:dyDescent="0.25">
      <c r="A254" s="7">
        <v>44727</v>
      </c>
      <c r="B254" t="s">
        <v>6</v>
      </c>
      <c r="C254" s="6" t="s">
        <v>416</v>
      </c>
      <c r="D254" s="2" t="s">
        <v>139</v>
      </c>
      <c r="E254" s="1">
        <v>0.32777777777777778</v>
      </c>
      <c r="F254" s="1">
        <v>0.44305555555555554</v>
      </c>
      <c r="G254" s="9">
        <f t="shared" si="22"/>
        <v>44725</v>
      </c>
      <c r="H254" s="11">
        <f t="shared" si="23"/>
        <v>2.8</v>
      </c>
      <c r="I254" s="10">
        <f t="shared" si="19"/>
        <v>2.8</v>
      </c>
      <c r="J254" s="10">
        <f t="shared" si="20"/>
        <v>7.2</v>
      </c>
      <c r="K254" s="10">
        <f t="shared" si="21"/>
        <v>15.5</v>
      </c>
      <c r="L254" s="10">
        <f t="shared" si="24"/>
        <v>73.8</v>
      </c>
    </row>
    <row r="255" spans="1:12" x14ac:dyDescent="0.25">
      <c r="A255" s="7">
        <v>44727</v>
      </c>
      <c r="B255" t="s">
        <v>19</v>
      </c>
      <c r="C255" s="6">
        <v>2675</v>
      </c>
      <c r="D255" s="2" t="s">
        <v>136</v>
      </c>
      <c r="E255" s="1">
        <v>0.44305555555555554</v>
      </c>
      <c r="F255" s="1">
        <v>0.51736111111111105</v>
      </c>
      <c r="G255" s="9">
        <f t="shared" si="22"/>
        <v>44725</v>
      </c>
      <c r="H255" s="11">
        <f t="shared" si="23"/>
        <v>1.8</v>
      </c>
      <c r="I255" s="10">
        <f t="shared" si="19"/>
        <v>4.5999999999999996</v>
      </c>
      <c r="J255" s="10">
        <f t="shared" si="20"/>
        <v>7.2</v>
      </c>
      <c r="K255" s="10">
        <f t="shared" si="21"/>
        <v>17.3</v>
      </c>
      <c r="L255" s="10">
        <f t="shared" si="24"/>
        <v>75.599999999999994</v>
      </c>
    </row>
    <row r="256" spans="1:12" x14ac:dyDescent="0.25">
      <c r="A256" s="7">
        <v>44727</v>
      </c>
      <c r="B256" t="s">
        <v>19</v>
      </c>
      <c r="C256" s="6">
        <v>2675</v>
      </c>
      <c r="D256" s="2" t="s">
        <v>136</v>
      </c>
      <c r="E256" s="1">
        <v>0.5444444444444444</v>
      </c>
      <c r="F256" s="1">
        <v>0.58333333333333337</v>
      </c>
      <c r="G256" s="9">
        <f t="shared" si="22"/>
        <v>44725</v>
      </c>
      <c r="H256" s="11">
        <f t="shared" si="23"/>
        <v>0.9</v>
      </c>
      <c r="I256" s="10">
        <f t="shared" si="19"/>
        <v>5.5</v>
      </c>
      <c r="J256" s="10">
        <f t="shared" si="20"/>
        <v>7.2</v>
      </c>
      <c r="K256" s="10">
        <f t="shared" si="21"/>
        <v>18.2</v>
      </c>
      <c r="L256" s="10">
        <f t="shared" si="24"/>
        <v>76.5</v>
      </c>
    </row>
    <row r="257" spans="1:12" x14ac:dyDescent="0.25">
      <c r="A257" s="7">
        <v>44727</v>
      </c>
      <c r="B257" t="s">
        <v>6</v>
      </c>
      <c r="C257" s="6" t="s">
        <v>416</v>
      </c>
      <c r="D257" s="2" t="s">
        <v>130</v>
      </c>
      <c r="E257" s="1">
        <v>0.58333333333333337</v>
      </c>
      <c r="F257" s="1">
        <v>0.62708333333333333</v>
      </c>
      <c r="G257" s="9">
        <f t="shared" si="22"/>
        <v>44725</v>
      </c>
      <c r="H257" s="11">
        <f t="shared" si="23"/>
        <v>1.1000000000000001</v>
      </c>
      <c r="I257" s="10">
        <f t="shared" si="19"/>
        <v>6.6</v>
      </c>
      <c r="J257" s="10">
        <f t="shared" si="20"/>
        <v>7.2</v>
      </c>
      <c r="K257" s="10">
        <f t="shared" si="21"/>
        <v>19.3</v>
      </c>
      <c r="L257" s="10">
        <f t="shared" si="24"/>
        <v>77.599999999999994</v>
      </c>
    </row>
    <row r="258" spans="1:12" x14ac:dyDescent="0.25">
      <c r="A258" s="7">
        <v>44727</v>
      </c>
      <c r="B258" t="s">
        <v>19</v>
      </c>
      <c r="C258" s="6">
        <v>2675</v>
      </c>
      <c r="D258" s="2" t="s">
        <v>140</v>
      </c>
      <c r="E258" s="1">
        <v>0.62708333333333333</v>
      </c>
      <c r="F258" s="1">
        <v>0.64861111111111114</v>
      </c>
      <c r="G258" s="9">
        <f t="shared" si="22"/>
        <v>44725</v>
      </c>
      <c r="H258" s="11">
        <f t="shared" si="23"/>
        <v>0.5</v>
      </c>
      <c r="I258" s="10">
        <f t="shared" si="19"/>
        <v>7.1</v>
      </c>
      <c r="J258" s="10">
        <f t="shared" si="20"/>
        <v>7.2</v>
      </c>
      <c r="K258" s="10">
        <f t="shared" si="21"/>
        <v>19.8</v>
      </c>
      <c r="L258" s="10">
        <f t="shared" si="24"/>
        <v>78.099999999999994</v>
      </c>
    </row>
    <row r="259" spans="1:12" x14ac:dyDescent="0.25">
      <c r="A259" s="7">
        <v>44728</v>
      </c>
      <c r="B259" t="s">
        <v>19</v>
      </c>
      <c r="C259" s="6">
        <v>2675</v>
      </c>
      <c r="D259" s="2" t="s">
        <v>141</v>
      </c>
      <c r="E259" s="1">
        <v>0.3659722222222222</v>
      </c>
      <c r="F259" s="1">
        <v>0.51041666666666663</v>
      </c>
      <c r="G259" s="9">
        <f t="shared" si="22"/>
        <v>44725</v>
      </c>
      <c r="H259" s="11">
        <f t="shared" si="23"/>
        <v>3.5</v>
      </c>
      <c r="I259" s="10">
        <f t="shared" ref="I259:I322" si="29">IF(H259="",H259,H259+IF(A259=A258,_xlfn.NUMBERVALUE(I258),0))</f>
        <v>3.5</v>
      </c>
      <c r="J259" s="10">
        <f t="shared" ref="J259:J322" si="30">IF(H259="",H259,7.2)</f>
        <v>7.2</v>
      </c>
      <c r="K259" s="10">
        <f t="shared" ref="K259:K322" si="31">IF(H259="",H259,H259+IF(G259=G258,_xlfn.NUMBERVALUE(K258),0))</f>
        <v>23.3</v>
      </c>
      <c r="L259" s="10">
        <f t="shared" si="24"/>
        <v>81.599999999999994</v>
      </c>
    </row>
    <row r="260" spans="1:12" x14ac:dyDescent="0.25">
      <c r="A260" s="7">
        <v>44728</v>
      </c>
      <c r="B260" t="s">
        <v>19</v>
      </c>
      <c r="C260" s="6">
        <v>2675</v>
      </c>
      <c r="D260" s="2" t="s">
        <v>142</v>
      </c>
      <c r="E260" s="1">
        <v>0.57013888888888886</v>
      </c>
      <c r="F260" s="1">
        <v>0.68472222222222223</v>
      </c>
      <c r="G260" s="9">
        <f t="shared" ref="G260:G323" si="32">IF(E260&gt;0,INT((A260-2)/7)*7+2,"")</f>
        <v>44725</v>
      </c>
      <c r="H260" s="11">
        <f t="shared" ref="H260:H323" si="33">IF(E260&gt;0,ROUND(24*(IF(F260&gt;0,F260,NowTime)-E260),1),"")</f>
        <v>2.8</v>
      </c>
      <c r="I260" s="10">
        <f t="shared" si="29"/>
        <v>6.3</v>
      </c>
      <c r="J260" s="10">
        <f t="shared" si="30"/>
        <v>7.2</v>
      </c>
      <c r="K260" s="10">
        <f t="shared" si="31"/>
        <v>26.1</v>
      </c>
      <c r="L260" s="10">
        <f t="shared" si="24"/>
        <v>84.399999999999991</v>
      </c>
    </row>
    <row r="261" spans="1:12" x14ac:dyDescent="0.25">
      <c r="A261" s="7">
        <v>44729</v>
      </c>
      <c r="B261" t="s">
        <v>19</v>
      </c>
      <c r="C261" s="6">
        <v>2675</v>
      </c>
      <c r="D261" s="2" t="s">
        <v>142</v>
      </c>
      <c r="E261" s="1">
        <v>0.35625000000000001</v>
      </c>
      <c r="F261" s="1">
        <v>0.51874999999999993</v>
      </c>
      <c r="G261" s="9">
        <f t="shared" si="32"/>
        <v>44725</v>
      </c>
      <c r="H261" s="11">
        <f t="shared" si="33"/>
        <v>3.9</v>
      </c>
      <c r="I261" s="10">
        <f t="shared" si="29"/>
        <v>3.9</v>
      </c>
      <c r="J261" s="10">
        <f t="shared" si="30"/>
        <v>7.2</v>
      </c>
      <c r="K261" s="10">
        <f t="shared" si="31"/>
        <v>30</v>
      </c>
      <c r="L261" s="10">
        <f t="shared" ref="L261:L324" si="34">IF(H261="",H261,H261+IF(MONTH(A261)=MONTH(A260),_xlfn.NUMBERVALUE(L260),0))</f>
        <v>88.300000000000011</v>
      </c>
    </row>
    <row r="262" spans="1:12" x14ac:dyDescent="0.25">
      <c r="A262" s="7">
        <v>44729</v>
      </c>
      <c r="B262" t="s">
        <v>19</v>
      </c>
      <c r="C262" s="6">
        <v>2675</v>
      </c>
      <c r="D262" s="2" t="s">
        <v>143</v>
      </c>
      <c r="E262" s="1">
        <v>0.52638888888888891</v>
      </c>
      <c r="F262" s="1">
        <v>0.53888888888888886</v>
      </c>
      <c r="G262" s="9">
        <f t="shared" si="32"/>
        <v>44725</v>
      </c>
      <c r="H262" s="11">
        <f t="shared" si="33"/>
        <v>0.3</v>
      </c>
      <c r="I262" s="10">
        <f t="shared" si="29"/>
        <v>4.2</v>
      </c>
      <c r="J262" s="10">
        <f t="shared" si="30"/>
        <v>7.2</v>
      </c>
      <c r="K262" s="10">
        <f t="shared" si="31"/>
        <v>30.3</v>
      </c>
      <c r="L262" s="10">
        <f t="shared" si="34"/>
        <v>88.6</v>
      </c>
    </row>
    <row r="263" spans="1:12" x14ac:dyDescent="0.25">
      <c r="A263" s="7">
        <v>44729</v>
      </c>
      <c r="B263" t="s">
        <v>6</v>
      </c>
      <c r="C263" s="6" t="s">
        <v>416</v>
      </c>
      <c r="D263" s="2" t="s">
        <v>144</v>
      </c>
      <c r="E263" s="1">
        <v>0.53888888888888886</v>
      </c>
      <c r="F263" s="1">
        <v>0.58333333333333337</v>
      </c>
      <c r="G263" s="9">
        <f t="shared" si="32"/>
        <v>44725</v>
      </c>
      <c r="H263" s="11">
        <f t="shared" si="33"/>
        <v>1.1000000000000001</v>
      </c>
      <c r="I263" s="10">
        <f t="shared" si="29"/>
        <v>5.3000000000000007</v>
      </c>
      <c r="J263" s="10">
        <f t="shared" si="30"/>
        <v>7.2</v>
      </c>
      <c r="K263" s="10">
        <f t="shared" si="31"/>
        <v>31.400000000000002</v>
      </c>
      <c r="L263" s="10">
        <f t="shared" si="34"/>
        <v>89.699999999999989</v>
      </c>
    </row>
    <row r="264" spans="1:12" x14ac:dyDescent="0.25">
      <c r="A264" s="7">
        <v>44729</v>
      </c>
      <c r="B264" s="2" t="s">
        <v>464</v>
      </c>
      <c r="C264" s="6">
        <v>2431</v>
      </c>
      <c r="D264" s="2" t="s">
        <v>137</v>
      </c>
      <c r="E264" s="1">
        <v>0.58333333333333337</v>
      </c>
      <c r="F264" s="1">
        <v>0.66180555555555554</v>
      </c>
      <c r="G264" s="9">
        <f t="shared" si="32"/>
        <v>44725</v>
      </c>
      <c r="H264" s="11">
        <f t="shared" si="33"/>
        <v>1.9</v>
      </c>
      <c r="I264" s="10">
        <f t="shared" si="29"/>
        <v>7.1999999999999993</v>
      </c>
      <c r="J264" s="10">
        <f t="shared" si="30"/>
        <v>7.2</v>
      </c>
      <c r="K264" s="10">
        <f t="shared" si="31"/>
        <v>33.299999999999997</v>
      </c>
      <c r="L264" s="10">
        <f t="shared" si="34"/>
        <v>91.600000000000009</v>
      </c>
    </row>
    <row r="265" spans="1:12" x14ac:dyDescent="0.25">
      <c r="A265" s="7">
        <v>44732</v>
      </c>
      <c r="B265" t="s">
        <v>19</v>
      </c>
      <c r="C265" s="6">
        <v>2675</v>
      </c>
      <c r="D265" s="2" t="s">
        <v>145</v>
      </c>
      <c r="E265" s="1">
        <v>0.34583333333333338</v>
      </c>
      <c r="F265" s="1">
        <v>0.38055555555555554</v>
      </c>
      <c r="G265" s="9">
        <f t="shared" si="32"/>
        <v>44732</v>
      </c>
      <c r="H265" s="11">
        <f t="shared" si="33"/>
        <v>0.8</v>
      </c>
      <c r="I265" s="10">
        <f t="shared" si="29"/>
        <v>0.8</v>
      </c>
      <c r="J265" s="10">
        <f t="shared" si="30"/>
        <v>7.2</v>
      </c>
      <c r="K265" s="10">
        <f t="shared" si="31"/>
        <v>0.8</v>
      </c>
      <c r="L265" s="10">
        <f t="shared" si="34"/>
        <v>92.399999999999991</v>
      </c>
    </row>
    <row r="266" spans="1:12" x14ac:dyDescent="0.25">
      <c r="A266" s="7">
        <v>44732</v>
      </c>
      <c r="B266" t="s">
        <v>17</v>
      </c>
      <c r="C266" s="6">
        <v>2420</v>
      </c>
      <c r="D266" s="2" t="s">
        <v>146</v>
      </c>
      <c r="E266" s="1">
        <v>0.38055555555555554</v>
      </c>
      <c r="F266" s="1">
        <v>0.41666666666666669</v>
      </c>
      <c r="G266" s="9">
        <f t="shared" si="32"/>
        <v>44732</v>
      </c>
      <c r="H266" s="11">
        <f t="shared" si="33"/>
        <v>0.9</v>
      </c>
      <c r="I266" s="10">
        <f t="shared" si="29"/>
        <v>1.7000000000000002</v>
      </c>
      <c r="J266" s="10">
        <f t="shared" si="30"/>
        <v>7.2</v>
      </c>
      <c r="K266" s="10">
        <f t="shared" si="31"/>
        <v>1.7000000000000002</v>
      </c>
      <c r="L266" s="10">
        <f t="shared" si="34"/>
        <v>93.300000000000011</v>
      </c>
    </row>
    <row r="267" spans="1:12" x14ac:dyDescent="0.25">
      <c r="A267" s="7">
        <v>44732</v>
      </c>
      <c r="B267" t="s">
        <v>6</v>
      </c>
      <c r="C267" s="6" t="s">
        <v>416</v>
      </c>
      <c r="D267" s="2" t="s">
        <v>112</v>
      </c>
      <c r="E267" s="1">
        <v>0.41666666666666669</v>
      </c>
      <c r="F267" s="1">
        <v>0.43263888888888885</v>
      </c>
      <c r="G267" s="9">
        <f t="shared" si="32"/>
        <v>44732</v>
      </c>
      <c r="H267" s="11">
        <f t="shared" si="33"/>
        <v>0.4</v>
      </c>
      <c r="I267" s="10">
        <f t="shared" si="29"/>
        <v>2.1</v>
      </c>
      <c r="J267" s="10">
        <f t="shared" si="30"/>
        <v>7.2</v>
      </c>
      <c r="K267" s="10">
        <f t="shared" si="31"/>
        <v>2.1</v>
      </c>
      <c r="L267" s="10">
        <f t="shared" si="34"/>
        <v>93.7</v>
      </c>
    </row>
    <row r="268" spans="1:12" x14ac:dyDescent="0.25">
      <c r="A268" s="7">
        <v>44732</v>
      </c>
      <c r="B268" t="s">
        <v>17</v>
      </c>
      <c r="C268" s="6">
        <v>2420</v>
      </c>
      <c r="D268" s="2" t="s">
        <v>146</v>
      </c>
      <c r="E268" s="1">
        <v>0.43263888888888885</v>
      </c>
      <c r="F268" s="1">
        <v>0.47500000000000003</v>
      </c>
      <c r="G268" s="9">
        <f t="shared" si="32"/>
        <v>44732</v>
      </c>
      <c r="H268" s="11">
        <f t="shared" si="33"/>
        <v>1</v>
      </c>
      <c r="I268" s="10">
        <f t="shared" si="29"/>
        <v>3.1</v>
      </c>
      <c r="J268" s="10">
        <f t="shared" si="30"/>
        <v>7.2</v>
      </c>
      <c r="K268" s="10">
        <f t="shared" si="31"/>
        <v>3.1</v>
      </c>
      <c r="L268" s="10">
        <f t="shared" si="34"/>
        <v>94.7</v>
      </c>
    </row>
    <row r="269" spans="1:12" x14ac:dyDescent="0.25">
      <c r="A269" s="7">
        <v>44732</v>
      </c>
      <c r="B269" t="s">
        <v>17</v>
      </c>
      <c r="C269" s="6">
        <v>2420</v>
      </c>
      <c r="D269" s="2" t="s">
        <v>146</v>
      </c>
      <c r="E269" s="1">
        <v>0.48958333333333331</v>
      </c>
      <c r="F269" s="1">
        <v>0.66527777777777775</v>
      </c>
      <c r="G269" s="9">
        <f t="shared" si="32"/>
        <v>44732</v>
      </c>
      <c r="H269" s="11">
        <f t="shared" si="33"/>
        <v>4.2</v>
      </c>
      <c r="I269" s="10">
        <f t="shared" si="29"/>
        <v>7.3000000000000007</v>
      </c>
      <c r="J269" s="10">
        <f t="shared" si="30"/>
        <v>7.2</v>
      </c>
      <c r="K269" s="10">
        <f t="shared" si="31"/>
        <v>7.3000000000000007</v>
      </c>
      <c r="L269" s="10">
        <f t="shared" si="34"/>
        <v>98.9</v>
      </c>
    </row>
    <row r="270" spans="1:12" x14ac:dyDescent="0.25">
      <c r="A270" s="7">
        <v>44733</v>
      </c>
      <c r="B270" t="s">
        <v>21</v>
      </c>
      <c r="C270" s="6">
        <v>2002</v>
      </c>
      <c r="D270" s="2" t="s">
        <v>107</v>
      </c>
      <c r="E270" s="1">
        <v>0.35694444444444445</v>
      </c>
      <c r="F270" s="1">
        <v>0.39861111111111108</v>
      </c>
      <c r="G270" s="9">
        <f t="shared" si="32"/>
        <v>44732</v>
      </c>
      <c r="H270" s="11">
        <f t="shared" si="33"/>
        <v>1</v>
      </c>
      <c r="I270" s="10">
        <f t="shared" si="29"/>
        <v>1</v>
      </c>
      <c r="J270" s="10">
        <f t="shared" si="30"/>
        <v>7.2</v>
      </c>
      <c r="K270" s="10">
        <f t="shared" si="31"/>
        <v>8.3000000000000007</v>
      </c>
      <c r="L270" s="10">
        <f t="shared" si="34"/>
        <v>99.9</v>
      </c>
    </row>
    <row r="271" spans="1:12" x14ac:dyDescent="0.25">
      <c r="A271" s="7">
        <v>44733</v>
      </c>
      <c r="B271" t="s">
        <v>6</v>
      </c>
      <c r="C271" s="6" t="s">
        <v>416</v>
      </c>
      <c r="D271" s="2" t="s">
        <v>147</v>
      </c>
      <c r="E271" s="1">
        <v>0.39861111111111108</v>
      </c>
      <c r="F271" s="1">
        <v>0.5</v>
      </c>
      <c r="G271" s="9">
        <f t="shared" si="32"/>
        <v>44732</v>
      </c>
      <c r="H271" s="11">
        <f t="shared" si="33"/>
        <v>2.4</v>
      </c>
      <c r="I271" s="10">
        <f t="shared" si="29"/>
        <v>3.4</v>
      </c>
      <c r="J271" s="10">
        <f t="shared" si="30"/>
        <v>7.2</v>
      </c>
      <c r="K271" s="10">
        <f t="shared" si="31"/>
        <v>10.700000000000001</v>
      </c>
      <c r="L271" s="10">
        <f t="shared" si="34"/>
        <v>102.30000000000001</v>
      </c>
    </row>
    <row r="272" spans="1:12" x14ac:dyDescent="0.25">
      <c r="A272" s="7">
        <v>44733</v>
      </c>
      <c r="B272" t="s">
        <v>17</v>
      </c>
      <c r="C272" s="6">
        <v>2420</v>
      </c>
      <c r="D272" s="2" t="s">
        <v>146</v>
      </c>
      <c r="E272" s="1">
        <v>0.5</v>
      </c>
      <c r="F272" s="1">
        <v>0.5625</v>
      </c>
      <c r="G272" s="9">
        <f t="shared" si="32"/>
        <v>44732</v>
      </c>
      <c r="H272" s="11">
        <f t="shared" si="33"/>
        <v>1.5</v>
      </c>
      <c r="I272" s="10">
        <f t="shared" si="29"/>
        <v>4.9000000000000004</v>
      </c>
      <c r="J272" s="10">
        <f t="shared" si="30"/>
        <v>7.2</v>
      </c>
      <c r="K272" s="10">
        <f t="shared" si="31"/>
        <v>12.2</v>
      </c>
      <c r="L272" s="10">
        <f t="shared" si="34"/>
        <v>103.8</v>
      </c>
    </row>
    <row r="273" spans="1:12" x14ac:dyDescent="0.25">
      <c r="A273" s="7">
        <v>44733</v>
      </c>
      <c r="B273" t="s">
        <v>17</v>
      </c>
      <c r="C273" s="6">
        <v>2420</v>
      </c>
      <c r="D273" s="2" t="s">
        <v>146</v>
      </c>
      <c r="E273" s="1">
        <v>0.60416666666666663</v>
      </c>
      <c r="F273" s="1">
        <v>0.6791666666666667</v>
      </c>
      <c r="G273" s="9">
        <f t="shared" si="32"/>
        <v>44732</v>
      </c>
      <c r="H273" s="11">
        <f t="shared" si="33"/>
        <v>1.8</v>
      </c>
      <c r="I273" s="10">
        <f t="shared" si="29"/>
        <v>6.7</v>
      </c>
      <c r="J273" s="10">
        <f t="shared" si="30"/>
        <v>7.2</v>
      </c>
      <c r="K273" s="10">
        <f t="shared" si="31"/>
        <v>14</v>
      </c>
      <c r="L273" s="10">
        <f t="shared" si="34"/>
        <v>105.6</v>
      </c>
    </row>
    <row r="274" spans="1:12" x14ac:dyDescent="0.25">
      <c r="A274" s="7">
        <v>44734</v>
      </c>
      <c r="B274" t="s">
        <v>17</v>
      </c>
      <c r="C274" s="6">
        <v>2420</v>
      </c>
      <c r="D274" s="2" t="s">
        <v>148</v>
      </c>
      <c r="E274" s="1">
        <v>0.31527777777777777</v>
      </c>
      <c r="F274" s="1">
        <v>0.50486111111111109</v>
      </c>
      <c r="G274" s="9">
        <f t="shared" si="32"/>
        <v>44732</v>
      </c>
      <c r="H274" s="11">
        <f t="shared" si="33"/>
        <v>4.5999999999999996</v>
      </c>
      <c r="I274" s="10">
        <f t="shared" si="29"/>
        <v>4.5999999999999996</v>
      </c>
      <c r="J274" s="10">
        <f t="shared" si="30"/>
        <v>7.2</v>
      </c>
      <c r="K274" s="10">
        <f t="shared" si="31"/>
        <v>18.600000000000001</v>
      </c>
      <c r="L274" s="10">
        <f t="shared" si="34"/>
        <v>110.19999999999999</v>
      </c>
    </row>
    <row r="275" spans="1:12" x14ac:dyDescent="0.25">
      <c r="A275" s="7">
        <v>44734</v>
      </c>
      <c r="B275" t="s">
        <v>17</v>
      </c>
      <c r="C275" s="6">
        <v>2420</v>
      </c>
      <c r="D275" s="2" t="s">
        <v>148</v>
      </c>
      <c r="E275" s="1">
        <v>0.53263888888888888</v>
      </c>
      <c r="F275" s="1">
        <v>0.65347222222222223</v>
      </c>
      <c r="G275" s="9">
        <f t="shared" si="32"/>
        <v>44732</v>
      </c>
      <c r="H275" s="11">
        <f t="shared" si="33"/>
        <v>2.9</v>
      </c>
      <c r="I275" s="10">
        <f t="shared" si="29"/>
        <v>7.5</v>
      </c>
      <c r="J275" s="10">
        <f t="shared" si="30"/>
        <v>7.2</v>
      </c>
      <c r="K275" s="10">
        <f t="shared" si="31"/>
        <v>21.5</v>
      </c>
      <c r="L275" s="10">
        <f t="shared" si="34"/>
        <v>113.10000000000001</v>
      </c>
    </row>
    <row r="276" spans="1:12" x14ac:dyDescent="0.25">
      <c r="A276" s="7">
        <v>44735</v>
      </c>
      <c r="B276" t="s">
        <v>17</v>
      </c>
      <c r="C276" s="6">
        <v>2420</v>
      </c>
      <c r="D276" s="2" t="s">
        <v>149</v>
      </c>
      <c r="E276" s="1">
        <v>0.33333333333333331</v>
      </c>
      <c r="F276" s="1">
        <v>0.4145833333333333</v>
      </c>
      <c r="G276" s="9">
        <f t="shared" si="32"/>
        <v>44732</v>
      </c>
      <c r="H276" s="11">
        <f t="shared" si="33"/>
        <v>2</v>
      </c>
      <c r="I276" s="10">
        <f t="shared" si="29"/>
        <v>2</v>
      </c>
      <c r="J276" s="10">
        <f t="shared" si="30"/>
        <v>7.2</v>
      </c>
      <c r="K276" s="10">
        <f t="shared" si="31"/>
        <v>23.5</v>
      </c>
      <c r="L276" s="10">
        <f t="shared" si="34"/>
        <v>115.1</v>
      </c>
    </row>
    <row r="277" spans="1:12" x14ac:dyDescent="0.25">
      <c r="A277" s="7">
        <v>44735</v>
      </c>
      <c r="B277" s="2" t="s">
        <v>464</v>
      </c>
      <c r="C277" s="6">
        <v>2431</v>
      </c>
      <c r="D277" s="2" t="s">
        <v>44</v>
      </c>
      <c r="E277" s="1">
        <v>0.4145833333333333</v>
      </c>
      <c r="F277" s="1">
        <v>0.45833333333333331</v>
      </c>
      <c r="G277" s="9">
        <f t="shared" si="32"/>
        <v>44732</v>
      </c>
      <c r="H277" s="11">
        <f t="shared" si="33"/>
        <v>1.1000000000000001</v>
      </c>
      <c r="I277" s="10">
        <f t="shared" si="29"/>
        <v>3.1</v>
      </c>
      <c r="J277" s="10">
        <f t="shared" si="30"/>
        <v>7.2</v>
      </c>
      <c r="K277" s="10">
        <f t="shared" si="31"/>
        <v>24.6</v>
      </c>
      <c r="L277" s="10">
        <f t="shared" si="34"/>
        <v>116.19999999999999</v>
      </c>
    </row>
    <row r="278" spans="1:12" x14ac:dyDescent="0.25">
      <c r="A278" s="7">
        <v>44735</v>
      </c>
      <c r="B278" t="s">
        <v>19</v>
      </c>
      <c r="C278" s="6">
        <v>2675</v>
      </c>
      <c r="D278" s="2" t="s">
        <v>44</v>
      </c>
      <c r="E278" s="1">
        <v>0.45833333333333331</v>
      </c>
      <c r="F278" s="1">
        <v>0.48402777777777778</v>
      </c>
      <c r="G278" s="9">
        <f t="shared" si="32"/>
        <v>44732</v>
      </c>
      <c r="H278" s="11">
        <f t="shared" si="33"/>
        <v>0.6</v>
      </c>
      <c r="I278" s="10">
        <f t="shared" si="29"/>
        <v>3.7</v>
      </c>
      <c r="J278" s="10">
        <f t="shared" si="30"/>
        <v>7.2</v>
      </c>
      <c r="K278" s="10">
        <f t="shared" si="31"/>
        <v>25.200000000000003</v>
      </c>
      <c r="L278" s="10">
        <f t="shared" si="34"/>
        <v>116.8</v>
      </c>
    </row>
    <row r="279" spans="1:12" x14ac:dyDescent="0.25">
      <c r="A279" s="7">
        <v>44735</v>
      </c>
      <c r="B279" t="s">
        <v>17</v>
      </c>
      <c r="C279" s="6">
        <v>2420</v>
      </c>
      <c r="D279" s="2" t="s">
        <v>149</v>
      </c>
      <c r="E279" s="1">
        <v>0.48402777777777778</v>
      </c>
      <c r="F279" s="1">
        <v>0.60069444444444442</v>
      </c>
      <c r="G279" s="9">
        <f t="shared" si="32"/>
        <v>44732</v>
      </c>
      <c r="H279" s="11">
        <f t="shared" si="33"/>
        <v>2.8</v>
      </c>
      <c r="I279" s="10">
        <f t="shared" si="29"/>
        <v>6.5</v>
      </c>
      <c r="J279" s="10">
        <f t="shared" si="30"/>
        <v>7.2</v>
      </c>
      <c r="K279" s="10">
        <f t="shared" si="31"/>
        <v>28</v>
      </c>
      <c r="L279" s="10">
        <f t="shared" si="34"/>
        <v>119.6</v>
      </c>
    </row>
    <row r="280" spans="1:12" x14ac:dyDescent="0.25">
      <c r="A280" s="7">
        <v>44736</v>
      </c>
      <c r="B280" t="s">
        <v>7</v>
      </c>
      <c r="C280" s="6" t="s">
        <v>22</v>
      </c>
      <c r="D280" s="2" t="s">
        <v>150</v>
      </c>
      <c r="E280" s="1">
        <v>0.40972222222222227</v>
      </c>
      <c r="F280" s="1">
        <v>0.70833333333333337</v>
      </c>
      <c r="G280" s="9">
        <f t="shared" si="32"/>
        <v>44732</v>
      </c>
      <c r="H280" s="11">
        <f t="shared" si="33"/>
        <v>7.2</v>
      </c>
      <c r="I280" s="10">
        <f t="shared" si="29"/>
        <v>7.2</v>
      </c>
      <c r="J280" s="10">
        <f t="shared" si="30"/>
        <v>7.2</v>
      </c>
      <c r="K280" s="10">
        <f t="shared" si="31"/>
        <v>35.200000000000003</v>
      </c>
      <c r="L280" s="10">
        <f t="shared" si="34"/>
        <v>126.8</v>
      </c>
    </row>
    <row r="281" spans="1:12" x14ac:dyDescent="0.25">
      <c r="A281" s="7">
        <v>44739</v>
      </c>
      <c r="B281" t="s">
        <v>17</v>
      </c>
      <c r="C281" s="6">
        <v>2420</v>
      </c>
      <c r="D281" s="2" t="s">
        <v>149</v>
      </c>
      <c r="E281" s="1">
        <v>0.33888888888888885</v>
      </c>
      <c r="F281" s="1">
        <v>0.41666666666666669</v>
      </c>
      <c r="G281" s="9">
        <f t="shared" si="32"/>
        <v>44739</v>
      </c>
      <c r="H281" s="11">
        <f t="shared" si="33"/>
        <v>1.9</v>
      </c>
      <c r="I281" s="10">
        <f t="shared" si="29"/>
        <v>1.9</v>
      </c>
      <c r="J281" s="10">
        <f t="shared" si="30"/>
        <v>7.2</v>
      </c>
      <c r="K281" s="10">
        <f t="shared" si="31"/>
        <v>1.9</v>
      </c>
      <c r="L281" s="10">
        <f t="shared" si="34"/>
        <v>128.69999999999999</v>
      </c>
    </row>
    <row r="282" spans="1:12" x14ac:dyDescent="0.25">
      <c r="A282" s="7">
        <v>44739</v>
      </c>
      <c r="B282" t="s">
        <v>6</v>
      </c>
      <c r="C282" s="6" t="s">
        <v>416</v>
      </c>
      <c r="D282" s="2" t="s">
        <v>151</v>
      </c>
      <c r="E282" s="1">
        <v>0.41666666666666669</v>
      </c>
      <c r="F282" s="1">
        <v>0.45833333333333331</v>
      </c>
      <c r="G282" s="9">
        <f t="shared" si="32"/>
        <v>44739</v>
      </c>
      <c r="H282" s="11">
        <f t="shared" si="33"/>
        <v>1</v>
      </c>
      <c r="I282" s="10">
        <f t="shared" si="29"/>
        <v>2.9</v>
      </c>
      <c r="J282" s="10">
        <f t="shared" si="30"/>
        <v>7.2</v>
      </c>
      <c r="K282" s="10">
        <f t="shared" si="31"/>
        <v>2.9</v>
      </c>
      <c r="L282" s="10">
        <f t="shared" si="34"/>
        <v>129.69999999999999</v>
      </c>
    </row>
    <row r="283" spans="1:12" x14ac:dyDescent="0.25">
      <c r="A283" s="7">
        <v>44739</v>
      </c>
      <c r="B283" t="s">
        <v>17</v>
      </c>
      <c r="C283" s="6">
        <v>2420</v>
      </c>
      <c r="D283" s="2" t="s">
        <v>149</v>
      </c>
      <c r="E283" s="1">
        <v>0.45833333333333331</v>
      </c>
      <c r="F283" s="1">
        <v>0.51944444444444449</v>
      </c>
      <c r="G283" s="9">
        <f t="shared" si="32"/>
        <v>44739</v>
      </c>
      <c r="H283" s="11">
        <f t="shared" si="33"/>
        <v>1.5</v>
      </c>
      <c r="I283" s="10">
        <f t="shared" si="29"/>
        <v>4.4000000000000004</v>
      </c>
      <c r="J283" s="10">
        <f t="shared" si="30"/>
        <v>7.2</v>
      </c>
      <c r="K283" s="10">
        <f t="shared" si="31"/>
        <v>4.4000000000000004</v>
      </c>
      <c r="L283" s="10">
        <f t="shared" si="34"/>
        <v>131.19999999999999</v>
      </c>
    </row>
    <row r="284" spans="1:12" x14ac:dyDescent="0.25">
      <c r="A284" s="7">
        <v>44739</v>
      </c>
      <c r="B284" t="s">
        <v>17</v>
      </c>
      <c r="C284" s="6">
        <v>2420</v>
      </c>
      <c r="D284" s="2" t="s">
        <v>149</v>
      </c>
      <c r="E284" s="1">
        <v>0.53263888888888888</v>
      </c>
      <c r="F284" s="1">
        <v>0.64722222222222225</v>
      </c>
      <c r="G284" s="9">
        <f t="shared" si="32"/>
        <v>44739</v>
      </c>
      <c r="H284" s="11">
        <f t="shared" si="33"/>
        <v>2.8</v>
      </c>
      <c r="I284" s="10">
        <f t="shared" si="29"/>
        <v>7.2</v>
      </c>
      <c r="J284" s="10">
        <f t="shared" si="30"/>
        <v>7.2</v>
      </c>
      <c r="K284" s="10">
        <f t="shared" si="31"/>
        <v>7.2</v>
      </c>
      <c r="L284" s="10">
        <f t="shared" si="34"/>
        <v>134</v>
      </c>
    </row>
    <row r="285" spans="1:12" x14ac:dyDescent="0.25">
      <c r="A285" s="7">
        <v>44740</v>
      </c>
      <c r="B285" t="s">
        <v>17</v>
      </c>
      <c r="C285" s="6">
        <v>2420</v>
      </c>
      <c r="D285" s="2" t="s">
        <v>149</v>
      </c>
      <c r="E285" s="1">
        <v>0.31805555555555554</v>
      </c>
      <c r="F285" s="1">
        <v>0.45833333333333331</v>
      </c>
      <c r="G285" s="9">
        <f t="shared" si="32"/>
        <v>44739</v>
      </c>
      <c r="H285" s="11">
        <f t="shared" si="33"/>
        <v>3.4</v>
      </c>
      <c r="I285" s="10">
        <f t="shared" si="29"/>
        <v>3.4</v>
      </c>
      <c r="J285" s="10">
        <f t="shared" si="30"/>
        <v>7.2</v>
      </c>
      <c r="K285" s="10">
        <f t="shared" si="31"/>
        <v>10.6</v>
      </c>
      <c r="L285" s="10">
        <f t="shared" si="34"/>
        <v>137.4</v>
      </c>
    </row>
    <row r="286" spans="1:12" x14ac:dyDescent="0.25">
      <c r="A286" s="7">
        <v>44740</v>
      </c>
      <c r="B286" t="s">
        <v>17</v>
      </c>
      <c r="C286" s="6">
        <v>2420</v>
      </c>
      <c r="D286" s="2" t="s">
        <v>152</v>
      </c>
      <c r="E286" s="1">
        <v>0.45833333333333331</v>
      </c>
      <c r="F286" s="1">
        <v>0.50347222222222221</v>
      </c>
      <c r="G286" s="9">
        <f t="shared" si="32"/>
        <v>44739</v>
      </c>
      <c r="H286" s="11">
        <f t="shared" si="33"/>
        <v>1.1000000000000001</v>
      </c>
      <c r="I286" s="10">
        <f t="shared" si="29"/>
        <v>4.5</v>
      </c>
      <c r="J286" s="10">
        <f t="shared" si="30"/>
        <v>7.2</v>
      </c>
      <c r="K286" s="10">
        <f t="shared" si="31"/>
        <v>11.7</v>
      </c>
      <c r="L286" s="10">
        <f t="shared" si="34"/>
        <v>138.5</v>
      </c>
    </row>
    <row r="287" spans="1:12" x14ac:dyDescent="0.25">
      <c r="A287" s="7">
        <v>44740</v>
      </c>
      <c r="B287" t="s">
        <v>17</v>
      </c>
      <c r="C287" s="6">
        <v>2420</v>
      </c>
      <c r="D287" s="2" t="s">
        <v>149</v>
      </c>
      <c r="E287" s="1">
        <v>0.53680555555555554</v>
      </c>
      <c r="F287" s="1">
        <v>0.66875000000000007</v>
      </c>
      <c r="G287" s="9">
        <f t="shared" si="32"/>
        <v>44739</v>
      </c>
      <c r="H287" s="11">
        <f t="shared" si="33"/>
        <v>3.2</v>
      </c>
      <c r="I287" s="10">
        <f t="shared" si="29"/>
        <v>7.7</v>
      </c>
      <c r="J287" s="10">
        <f t="shared" si="30"/>
        <v>7.2</v>
      </c>
      <c r="K287" s="10">
        <f t="shared" si="31"/>
        <v>14.899999999999999</v>
      </c>
      <c r="L287" s="10">
        <f t="shared" si="34"/>
        <v>141.69999999999999</v>
      </c>
    </row>
    <row r="288" spans="1:12" x14ac:dyDescent="0.25">
      <c r="A288" s="7">
        <v>44741</v>
      </c>
      <c r="B288" t="s">
        <v>17</v>
      </c>
      <c r="C288" s="6">
        <v>2420</v>
      </c>
      <c r="D288" s="2" t="s">
        <v>149</v>
      </c>
      <c r="E288" s="1">
        <v>0.30555555555555552</v>
      </c>
      <c r="F288" s="1">
        <v>0.50069444444444444</v>
      </c>
      <c r="G288" s="9">
        <f t="shared" si="32"/>
        <v>44739</v>
      </c>
      <c r="H288" s="11">
        <f t="shared" si="33"/>
        <v>4.7</v>
      </c>
      <c r="I288" s="10">
        <f t="shared" si="29"/>
        <v>4.7</v>
      </c>
      <c r="J288" s="10">
        <f t="shared" si="30"/>
        <v>7.2</v>
      </c>
      <c r="K288" s="10">
        <f t="shared" si="31"/>
        <v>19.600000000000001</v>
      </c>
      <c r="L288" s="10">
        <f t="shared" si="34"/>
        <v>146.39999999999998</v>
      </c>
    </row>
    <row r="289" spans="1:12" x14ac:dyDescent="0.25">
      <c r="A289" s="7">
        <v>44741</v>
      </c>
      <c r="B289" t="s">
        <v>17</v>
      </c>
      <c r="C289" s="6">
        <v>2420</v>
      </c>
      <c r="D289" s="2" t="s">
        <v>153</v>
      </c>
      <c r="E289" s="1">
        <v>0.53125</v>
      </c>
      <c r="F289" s="1">
        <v>0.66319444444444442</v>
      </c>
      <c r="G289" s="9">
        <f t="shared" si="32"/>
        <v>44739</v>
      </c>
      <c r="H289" s="11">
        <f t="shared" si="33"/>
        <v>3.2</v>
      </c>
      <c r="I289" s="10">
        <f t="shared" si="29"/>
        <v>7.9</v>
      </c>
      <c r="J289" s="10">
        <f t="shared" si="30"/>
        <v>7.2</v>
      </c>
      <c r="K289" s="10">
        <f t="shared" si="31"/>
        <v>22.8</v>
      </c>
      <c r="L289" s="10">
        <f t="shared" si="34"/>
        <v>149.6</v>
      </c>
    </row>
    <row r="290" spans="1:12" x14ac:dyDescent="0.25">
      <c r="A290" s="7">
        <v>44742</v>
      </c>
      <c r="B290" t="s">
        <v>17</v>
      </c>
      <c r="C290" s="6">
        <v>2420</v>
      </c>
      <c r="D290" s="2" t="s">
        <v>153</v>
      </c>
      <c r="E290" s="1">
        <v>0.29791666666666666</v>
      </c>
      <c r="F290" s="1">
        <v>0.45833333333333331</v>
      </c>
      <c r="G290" s="9">
        <f t="shared" si="32"/>
        <v>44739</v>
      </c>
      <c r="H290" s="11">
        <f t="shared" si="33"/>
        <v>3.9</v>
      </c>
      <c r="I290" s="10">
        <f t="shared" si="29"/>
        <v>3.9</v>
      </c>
      <c r="J290" s="10">
        <f t="shared" si="30"/>
        <v>7.2</v>
      </c>
      <c r="K290" s="10">
        <f t="shared" si="31"/>
        <v>26.7</v>
      </c>
      <c r="L290" s="10">
        <f t="shared" si="34"/>
        <v>153.5</v>
      </c>
    </row>
    <row r="291" spans="1:12" x14ac:dyDescent="0.25">
      <c r="A291" s="7">
        <v>44742</v>
      </c>
      <c r="B291" t="s">
        <v>19</v>
      </c>
      <c r="C291" s="6">
        <v>2675</v>
      </c>
      <c r="D291" s="2" t="s">
        <v>44</v>
      </c>
      <c r="E291" s="1">
        <v>0.45833333333333331</v>
      </c>
      <c r="F291" s="1">
        <v>0.51111111111111118</v>
      </c>
      <c r="G291" s="9">
        <f t="shared" si="32"/>
        <v>44739</v>
      </c>
      <c r="H291" s="11">
        <f t="shared" si="33"/>
        <v>1.3</v>
      </c>
      <c r="I291" s="10">
        <f t="shared" si="29"/>
        <v>5.2</v>
      </c>
      <c r="J291" s="10">
        <f t="shared" si="30"/>
        <v>7.2</v>
      </c>
      <c r="K291" s="10">
        <f t="shared" si="31"/>
        <v>28</v>
      </c>
      <c r="L291" s="10">
        <f t="shared" si="34"/>
        <v>154.80000000000001</v>
      </c>
    </row>
    <row r="292" spans="1:12" x14ac:dyDescent="0.25">
      <c r="A292" s="7">
        <v>44742</v>
      </c>
      <c r="B292" t="s">
        <v>17</v>
      </c>
      <c r="C292" s="6">
        <v>2420</v>
      </c>
      <c r="D292" s="2" t="s">
        <v>100</v>
      </c>
      <c r="E292" s="1">
        <v>0.51111111111111118</v>
      </c>
      <c r="F292" s="1">
        <v>0.51874999999999993</v>
      </c>
      <c r="G292" s="9">
        <f t="shared" si="32"/>
        <v>44739</v>
      </c>
      <c r="H292" s="11">
        <f t="shared" si="33"/>
        <v>0.2</v>
      </c>
      <c r="I292" s="10">
        <f t="shared" si="29"/>
        <v>5.4</v>
      </c>
      <c r="J292" s="10">
        <f t="shared" si="30"/>
        <v>7.2</v>
      </c>
      <c r="K292" s="10">
        <f t="shared" si="31"/>
        <v>28.2</v>
      </c>
      <c r="L292" s="10">
        <f t="shared" si="34"/>
        <v>155</v>
      </c>
    </row>
    <row r="293" spans="1:12" x14ac:dyDescent="0.25">
      <c r="A293" s="7">
        <v>44742</v>
      </c>
      <c r="B293" t="s">
        <v>17</v>
      </c>
      <c r="C293" s="6">
        <v>2420</v>
      </c>
      <c r="D293" s="2" t="s">
        <v>100</v>
      </c>
      <c r="E293" s="1">
        <v>0.54236111111111118</v>
      </c>
      <c r="F293" s="1">
        <v>0.63680555555555551</v>
      </c>
      <c r="G293" s="9">
        <f t="shared" si="32"/>
        <v>44739</v>
      </c>
      <c r="H293" s="11">
        <f t="shared" si="33"/>
        <v>2.2999999999999998</v>
      </c>
      <c r="I293" s="10">
        <f t="shared" si="29"/>
        <v>7.7</v>
      </c>
      <c r="J293" s="10">
        <f t="shared" si="30"/>
        <v>7.2</v>
      </c>
      <c r="K293" s="10">
        <f t="shared" si="31"/>
        <v>30.5</v>
      </c>
      <c r="L293" s="10">
        <f t="shared" si="34"/>
        <v>157.30000000000001</v>
      </c>
    </row>
    <row r="294" spans="1:12" x14ac:dyDescent="0.25">
      <c r="A294" s="7">
        <v>44743</v>
      </c>
      <c r="B294" t="s">
        <v>17</v>
      </c>
      <c r="C294" s="6">
        <v>2420</v>
      </c>
      <c r="D294" s="2" t="s">
        <v>100</v>
      </c>
      <c r="E294" s="1">
        <v>0.35625000000000001</v>
      </c>
      <c r="F294" s="1">
        <v>0.50486111111111109</v>
      </c>
      <c r="G294" s="9">
        <f t="shared" si="32"/>
        <v>44739</v>
      </c>
      <c r="H294" s="11">
        <f t="shared" si="33"/>
        <v>3.6</v>
      </c>
      <c r="I294" s="10">
        <f t="shared" si="29"/>
        <v>3.6</v>
      </c>
      <c r="J294" s="10">
        <f t="shared" si="30"/>
        <v>7.2</v>
      </c>
      <c r="K294" s="10">
        <f t="shared" si="31"/>
        <v>34.1</v>
      </c>
      <c r="L294" s="10">
        <f t="shared" si="34"/>
        <v>3.6</v>
      </c>
    </row>
    <row r="295" spans="1:12" x14ac:dyDescent="0.25">
      <c r="A295" s="7">
        <v>44743</v>
      </c>
      <c r="B295" t="s">
        <v>17</v>
      </c>
      <c r="C295" s="6">
        <v>2420</v>
      </c>
      <c r="D295" s="2" t="s">
        <v>100</v>
      </c>
      <c r="E295" s="1">
        <v>0.52361111111111114</v>
      </c>
      <c r="F295" s="1">
        <v>0.58333333333333337</v>
      </c>
      <c r="G295" s="9">
        <f t="shared" si="32"/>
        <v>44739</v>
      </c>
      <c r="H295" s="11">
        <f t="shared" si="33"/>
        <v>1.4</v>
      </c>
      <c r="I295" s="10">
        <f t="shared" si="29"/>
        <v>5</v>
      </c>
      <c r="J295" s="10">
        <f t="shared" si="30"/>
        <v>7.2</v>
      </c>
      <c r="K295" s="10">
        <f t="shared" si="31"/>
        <v>35.5</v>
      </c>
      <c r="L295" s="10">
        <f t="shared" si="34"/>
        <v>5</v>
      </c>
    </row>
    <row r="296" spans="1:12" x14ac:dyDescent="0.25">
      <c r="A296" s="7">
        <v>44743</v>
      </c>
      <c r="B296" t="s">
        <v>19</v>
      </c>
      <c r="C296" s="6">
        <v>2675</v>
      </c>
      <c r="D296" s="2" t="s">
        <v>154</v>
      </c>
      <c r="E296" s="1">
        <v>0.58333333333333337</v>
      </c>
      <c r="F296" s="1">
        <v>0.66111111111111109</v>
      </c>
      <c r="G296" s="9">
        <f t="shared" si="32"/>
        <v>44739</v>
      </c>
      <c r="H296" s="11">
        <f t="shared" si="33"/>
        <v>1.9</v>
      </c>
      <c r="I296" s="10">
        <f t="shared" si="29"/>
        <v>6.9</v>
      </c>
      <c r="J296" s="10">
        <f t="shared" si="30"/>
        <v>7.2</v>
      </c>
      <c r="K296" s="10">
        <f t="shared" si="31"/>
        <v>37.4</v>
      </c>
      <c r="L296" s="10">
        <f t="shared" si="34"/>
        <v>6.9</v>
      </c>
    </row>
    <row r="297" spans="1:12" ht="14.4" x14ac:dyDescent="0.3">
      <c r="A297" s="7">
        <v>44746</v>
      </c>
      <c r="B297" s="2" t="s">
        <v>464</v>
      </c>
      <c r="C297" s="28">
        <v>2431</v>
      </c>
      <c r="D297" s="2" t="s">
        <v>156</v>
      </c>
      <c r="E297" s="1">
        <v>0.375</v>
      </c>
      <c r="F297" s="1">
        <v>0.41666666666666669</v>
      </c>
      <c r="G297" s="9">
        <f t="shared" si="32"/>
        <v>44746</v>
      </c>
      <c r="H297" s="11">
        <f t="shared" si="33"/>
        <v>1</v>
      </c>
      <c r="I297" s="10">
        <f t="shared" si="29"/>
        <v>1</v>
      </c>
      <c r="J297" s="10">
        <f t="shared" si="30"/>
        <v>7.2</v>
      </c>
      <c r="K297" s="10">
        <f t="shared" si="31"/>
        <v>1</v>
      </c>
      <c r="L297" s="10">
        <f t="shared" si="34"/>
        <v>7.9</v>
      </c>
    </row>
    <row r="298" spans="1:12" x14ac:dyDescent="0.25">
      <c r="A298" s="7">
        <v>44746</v>
      </c>
      <c r="B298" t="s">
        <v>6</v>
      </c>
      <c r="C298" s="6" t="s">
        <v>416</v>
      </c>
      <c r="D298" s="2" t="s">
        <v>151</v>
      </c>
      <c r="E298" s="1">
        <v>0.41666666666666669</v>
      </c>
      <c r="F298" s="1">
        <v>0.46249999999999997</v>
      </c>
      <c r="G298" s="9">
        <f t="shared" si="32"/>
        <v>44746</v>
      </c>
      <c r="H298" s="11">
        <f t="shared" si="33"/>
        <v>1.1000000000000001</v>
      </c>
      <c r="I298" s="10">
        <f t="shared" si="29"/>
        <v>2.1</v>
      </c>
      <c r="J298" s="10">
        <f t="shared" si="30"/>
        <v>7.2</v>
      </c>
      <c r="K298" s="10">
        <f t="shared" si="31"/>
        <v>2.1</v>
      </c>
      <c r="L298" s="10">
        <f t="shared" si="34"/>
        <v>9</v>
      </c>
    </row>
    <row r="299" spans="1:12" ht="14.4" x14ac:dyDescent="0.3">
      <c r="A299" s="7">
        <v>44746</v>
      </c>
      <c r="B299" s="2" t="s">
        <v>464</v>
      </c>
      <c r="C299" s="28">
        <v>2431</v>
      </c>
      <c r="D299" s="2" t="s">
        <v>156</v>
      </c>
      <c r="E299" s="1">
        <v>0.46249999999999997</v>
      </c>
      <c r="F299" s="1">
        <v>0.49861111111111112</v>
      </c>
      <c r="G299" s="9">
        <f t="shared" si="32"/>
        <v>44746</v>
      </c>
      <c r="H299" s="11">
        <f t="shared" si="33"/>
        <v>0.9</v>
      </c>
      <c r="I299" s="10">
        <f t="shared" si="29"/>
        <v>3</v>
      </c>
      <c r="J299" s="10">
        <f t="shared" si="30"/>
        <v>7.2</v>
      </c>
      <c r="K299" s="10">
        <f t="shared" si="31"/>
        <v>3</v>
      </c>
      <c r="L299" s="10">
        <f t="shared" si="34"/>
        <v>9.9</v>
      </c>
    </row>
    <row r="300" spans="1:12" ht="14.4" x14ac:dyDescent="0.3">
      <c r="A300" s="7">
        <v>44746</v>
      </c>
      <c r="B300" s="2" t="s">
        <v>464</v>
      </c>
      <c r="C300" s="28">
        <v>2431</v>
      </c>
      <c r="D300" s="2" t="s">
        <v>156</v>
      </c>
      <c r="E300" s="1">
        <v>0.51250000000000007</v>
      </c>
      <c r="F300" s="1">
        <v>0.58680555555555558</v>
      </c>
      <c r="G300" s="9">
        <f t="shared" si="32"/>
        <v>44746</v>
      </c>
      <c r="H300" s="11">
        <f t="shared" si="33"/>
        <v>1.8</v>
      </c>
      <c r="I300" s="10">
        <f t="shared" si="29"/>
        <v>4.8</v>
      </c>
      <c r="J300" s="10">
        <f t="shared" si="30"/>
        <v>7.2</v>
      </c>
      <c r="K300" s="10">
        <f t="shared" si="31"/>
        <v>4.8</v>
      </c>
      <c r="L300" s="10">
        <f t="shared" si="34"/>
        <v>11.700000000000001</v>
      </c>
    </row>
    <row r="301" spans="1:12" ht="14.4" x14ac:dyDescent="0.3">
      <c r="A301" s="7">
        <v>44747</v>
      </c>
      <c r="B301" s="2" t="s">
        <v>464</v>
      </c>
      <c r="C301" s="28">
        <v>2431</v>
      </c>
      <c r="D301" s="2" t="s">
        <v>156</v>
      </c>
      <c r="E301" s="1">
        <v>0.35000000000000003</v>
      </c>
      <c r="F301" s="1">
        <v>0.375</v>
      </c>
      <c r="G301" s="9">
        <f t="shared" si="32"/>
        <v>44746</v>
      </c>
      <c r="H301" s="11">
        <f t="shared" si="33"/>
        <v>0.6</v>
      </c>
      <c r="I301" s="10">
        <f t="shared" si="29"/>
        <v>0.6</v>
      </c>
      <c r="J301" s="10">
        <f t="shared" si="30"/>
        <v>7.2</v>
      </c>
      <c r="K301" s="10">
        <f t="shared" si="31"/>
        <v>5.3999999999999995</v>
      </c>
      <c r="L301" s="10">
        <f t="shared" si="34"/>
        <v>12.299999999999999</v>
      </c>
    </row>
    <row r="302" spans="1:12" x14ac:dyDescent="0.25">
      <c r="A302" s="7">
        <v>44747</v>
      </c>
      <c r="B302" t="s">
        <v>19</v>
      </c>
      <c r="C302" s="6">
        <v>2675</v>
      </c>
      <c r="D302" s="2" t="s">
        <v>155</v>
      </c>
      <c r="E302" s="1">
        <v>0.375</v>
      </c>
      <c r="F302" s="1">
        <v>0.4375</v>
      </c>
      <c r="G302" s="9">
        <f t="shared" si="32"/>
        <v>44746</v>
      </c>
      <c r="H302" s="11">
        <f t="shared" si="33"/>
        <v>1.5</v>
      </c>
      <c r="I302" s="10">
        <f t="shared" si="29"/>
        <v>2.1</v>
      </c>
      <c r="J302" s="10">
        <f t="shared" si="30"/>
        <v>7.2</v>
      </c>
      <c r="K302" s="10">
        <f t="shared" si="31"/>
        <v>6.9</v>
      </c>
      <c r="L302" s="10">
        <f t="shared" si="34"/>
        <v>13.8</v>
      </c>
    </row>
    <row r="303" spans="1:12" ht="14.4" x14ac:dyDescent="0.3">
      <c r="A303" s="7">
        <v>44747</v>
      </c>
      <c r="B303" s="2" t="s">
        <v>464</v>
      </c>
      <c r="C303" s="28">
        <v>2431</v>
      </c>
      <c r="D303" s="2" t="s">
        <v>156</v>
      </c>
      <c r="E303" s="1">
        <v>0.4375</v>
      </c>
      <c r="F303" s="1">
        <v>0.48541666666666666</v>
      </c>
      <c r="G303" s="9">
        <f t="shared" si="32"/>
        <v>44746</v>
      </c>
      <c r="H303" s="11">
        <f t="shared" si="33"/>
        <v>1.2</v>
      </c>
      <c r="I303" s="10">
        <f t="shared" si="29"/>
        <v>3.3</v>
      </c>
      <c r="J303" s="10">
        <f t="shared" si="30"/>
        <v>7.2</v>
      </c>
      <c r="K303" s="10">
        <f t="shared" si="31"/>
        <v>8.1</v>
      </c>
      <c r="L303" s="10">
        <f t="shared" si="34"/>
        <v>15</v>
      </c>
    </row>
    <row r="304" spans="1:12" x14ac:dyDescent="0.25">
      <c r="A304" s="7">
        <v>44747</v>
      </c>
      <c r="B304" t="s">
        <v>6</v>
      </c>
      <c r="C304" s="6" t="s">
        <v>416</v>
      </c>
      <c r="D304" s="2" t="s">
        <v>71</v>
      </c>
      <c r="E304" s="1">
        <v>0.5083333333333333</v>
      </c>
      <c r="F304" s="1">
        <v>0.53125</v>
      </c>
      <c r="G304" s="9">
        <f t="shared" si="32"/>
        <v>44746</v>
      </c>
      <c r="H304" s="11">
        <f t="shared" si="33"/>
        <v>0.6</v>
      </c>
      <c r="I304" s="10">
        <f t="shared" si="29"/>
        <v>3.9</v>
      </c>
      <c r="J304" s="10">
        <f t="shared" si="30"/>
        <v>7.2</v>
      </c>
      <c r="K304" s="10">
        <f t="shared" si="31"/>
        <v>8.6999999999999993</v>
      </c>
      <c r="L304" s="10">
        <f t="shared" si="34"/>
        <v>15.6</v>
      </c>
    </row>
    <row r="305" spans="1:12" ht="14.4" x14ac:dyDescent="0.3">
      <c r="A305" s="7">
        <v>44747</v>
      </c>
      <c r="B305" s="2" t="s">
        <v>464</v>
      </c>
      <c r="C305" s="28">
        <v>2431</v>
      </c>
      <c r="D305" s="2" t="s">
        <v>156</v>
      </c>
      <c r="E305" s="1">
        <v>0.53125</v>
      </c>
      <c r="F305" s="1">
        <v>0.625</v>
      </c>
      <c r="G305" s="9">
        <f t="shared" si="32"/>
        <v>44746</v>
      </c>
      <c r="H305" s="11">
        <f t="shared" si="33"/>
        <v>2.2999999999999998</v>
      </c>
      <c r="I305" s="10">
        <f t="shared" si="29"/>
        <v>6.1999999999999993</v>
      </c>
      <c r="J305" s="10">
        <f t="shared" si="30"/>
        <v>7.2</v>
      </c>
      <c r="K305" s="10">
        <f t="shared" si="31"/>
        <v>11</v>
      </c>
      <c r="L305" s="10">
        <f t="shared" si="34"/>
        <v>17.899999999999999</v>
      </c>
    </row>
    <row r="306" spans="1:12" x14ac:dyDescent="0.25">
      <c r="A306" s="7">
        <v>44747</v>
      </c>
      <c r="B306" t="s">
        <v>17</v>
      </c>
      <c r="C306" s="6">
        <v>2420</v>
      </c>
      <c r="D306" s="2" t="s">
        <v>157</v>
      </c>
      <c r="E306" s="1">
        <v>0.625</v>
      </c>
      <c r="F306" s="1">
        <v>0.71111111111111114</v>
      </c>
      <c r="G306" s="9">
        <f t="shared" si="32"/>
        <v>44746</v>
      </c>
      <c r="H306" s="11">
        <f t="shared" si="33"/>
        <v>2.1</v>
      </c>
      <c r="I306" s="10">
        <f t="shared" si="29"/>
        <v>8.3000000000000007</v>
      </c>
      <c r="J306" s="10">
        <f t="shared" si="30"/>
        <v>7.2</v>
      </c>
      <c r="K306" s="10">
        <f t="shared" si="31"/>
        <v>13.1</v>
      </c>
      <c r="L306" s="10">
        <f t="shared" si="34"/>
        <v>20</v>
      </c>
    </row>
    <row r="307" spans="1:12" ht="14.4" x14ac:dyDescent="0.3">
      <c r="A307" s="7">
        <v>44748</v>
      </c>
      <c r="B307" s="2" t="s">
        <v>464</v>
      </c>
      <c r="C307" s="28">
        <v>2431</v>
      </c>
      <c r="D307" s="2" t="s">
        <v>156</v>
      </c>
      <c r="E307" s="1">
        <v>0.32430555555555557</v>
      </c>
      <c r="F307" s="1">
        <v>0.64861111111111114</v>
      </c>
      <c r="G307" s="9">
        <f t="shared" si="32"/>
        <v>44746</v>
      </c>
      <c r="H307" s="11">
        <f t="shared" si="33"/>
        <v>7.8</v>
      </c>
      <c r="I307" s="10">
        <f t="shared" si="29"/>
        <v>7.8</v>
      </c>
      <c r="J307" s="10">
        <f t="shared" si="30"/>
        <v>7.2</v>
      </c>
      <c r="K307" s="10">
        <f t="shared" si="31"/>
        <v>20.9</v>
      </c>
      <c r="L307" s="10">
        <f t="shared" si="34"/>
        <v>27.8</v>
      </c>
    </row>
    <row r="308" spans="1:12" x14ac:dyDescent="0.25">
      <c r="A308" s="7">
        <v>44749</v>
      </c>
      <c r="B308" t="s">
        <v>17</v>
      </c>
      <c r="C308" s="6">
        <v>2420</v>
      </c>
      <c r="D308" s="2" t="s">
        <v>158</v>
      </c>
      <c r="E308" s="1">
        <v>0.37916666666666665</v>
      </c>
      <c r="F308" s="1">
        <v>0.49652777777777773</v>
      </c>
      <c r="G308" s="9">
        <f t="shared" si="32"/>
        <v>44746</v>
      </c>
      <c r="H308" s="11">
        <f t="shared" si="33"/>
        <v>2.8</v>
      </c>
      <c r="I308" s="10">
        <f t="shared" si="29"/>
        <v>2.8</v>
      </c>
      <c r="J308" s="10">
        <f t="shared" si="30"/>
        <v>7.2</v>
      </c>
      <c r="K308" s="10">
        <f t="shared" si="31"/>
        <v>23.7</v>
      </c>
      <c r="L308" s="10">
        <f t="shared" si="34"/>
        <v>30.6</v>
      </c>
    </row>
    <row r="309" spans="1:12" x14ac:dyDescent="0.25">
      <c r="A309" s="7">
        <v>44749</v>
      </c>
      <c r="B309" t="s">
        <v>17</v>
      </c>
      <c r="C309" s="6">
        <v>2420</v>
      </c>
      <c r="D309" s="2" t="s">
        <v>158</v>
      </c>
      <c r="E309" s="1">
        <v>0.50555555555555554</v>
      </c>
      <c r="F309" s="1">
        <v>0.66805555555555562</v>
      </c>
      <c r="G309" s="9">
        <f t="shared" si="32"/>
        <v>44746</v>
      </c>
      <c r="H309" s="11">
        <f t="shared" si="33"/>
        <v>3.9</v>
      </c>
      <c r="I309" s="10">
        <f t="shared" si="29"/>
        <v>6.6999999999999993</v>
      </c>
      <c r="J309" s="10">
        <f t="shared" si="30"/>
        <v>7.2</v>
      </c>
      <c r="K309" s="10">
        <f t="shared" si="31"/>
        <v>27.599999999999998</v>
      </c>
      <c r="L309" s="10">
        <f t="shared" si="34"/>
        <v>34.5</v>
      </c>
    </row>
    <row r="310" spans="1:12" x14ac:dyDescent="0.25">
      <c r="A310" s="7">
        <v>44750</v>
      </c>
      <c r="B310" t="s">
        <v>17</v>
      </c>
      <c r="C310" s="6">
        <v>2420</v>
      </c>
      <c r="D310" s="2" t="s">
        <v>159</v>
      </c>
      <c r="E310" s="1">
        <v>0.37013888888888885</v>
      </c>
      <c r="F310" s="1">
        <v>0.46388888888888885</v>
      </c>
      <c r="G310" s="9">
        <f t="shared" si="32"/>
        <v>44746</v>
      </c>
      <c r="H310" s="11">
        <f t="shared" si="33"/>
        <v>2.2999999999999998</v>
      </c>
      <c r="I310" s="10">
        <f t="shared" si="29"/>
        <v>2.2999999999999998</v>
      </c>
      <c r="J310" s="10">
        <f t="shared" si="30"/>
        <v>7.2</v>
      </c>
      <c r="K310" s="10">
        <f t="shared" si="31"/>
        <v>29.900000000000002</v>
      </c>
      <c r="L310" s="10">
        <f t="shared" si="34"/>
        <v>36.799999999999997</v>
      </c>
    </row>
    <row r="311" spans="1:12" x14ac:dyDescent="0.25">
      <c r="A311" s="7">
        <v>44750</v>
      </c>
      <c r="B311" t="s">
        <v>17</v>
      </c>
      <c r="C311" s="6">
        <v>2420</v>
      </c>
      <c r="D311" s="2" t="s">
        <v>160</v>
      </c>
      <c r="E311" s="1">
        <v>0.46388888888888885</v>
      </c>
      <c r="F311" s="1">
        <v>0.53194444444444444</v>
      </c>
      <c r="G311" s="9">
        <f t="shared" si="32"/>
        <v>44746</v>
      </c>
      <c r="H311" s="11">
        <f t="shared" si="33"/>
        <v>1.6</v>
      </c>
      <c r="I311" s="10">
        <f t="shared" si="29"/>
        <v>3.9</v>
      </c>
      <c r="J311" s="10">
        <f t="shared" si="30"/>
        <v>7.2</v>
      </c>
      <c r="K311" s="10">
        <f t="shared" si="31"/>
        <v>31.5</v>
      </c>
      <c r="L311" s="10">
        <f t="shared" si="34"/>
        <v>38.4</v>
      </c>
    </row>
    <row r="312" spans="1:12" x14ac:dyDescent="0.25">
      <c r="A312" s="7">
        <v>44750</v>
      </c>
      <c r="B312" t="s">
        <v>17</v>
      </c>
      <c r="C312" s="6">
        <v>2420</v>
      </c>
      <c r="D312" s="2" t="s">
        <v>159</v>
      </c>
      <c r="E312" s="1">
        <v>0.55486111111111114</v>
      </c>
      <c r="F312" s="1">
        <v>0.68125000000000002</v>
      </c>
      <c r="G312" s="9">
        <f t="shared" si="32"/>
        <v>44746</v>
      </c>
      <c r="H312" s="11">
        <f t="shared" si="33"/>
        <v>3</v>
      </c>
      <c r="I312" s="10">
        <f t="shared" si="29"/>
        <v>6.9</v>
      </c>
      <c r="J312" s="10">
        <f t="shared" si="30"/>
        <v>7.2</v>
      </c>
      <c r="K312" s="10">
        <f t="shared" si="31"/>
        <v>34.5</v>
      </c>
      <c r="L312" s="10">
        <f t="shared" si="34"/>
        <v>41.4</v>
      </c>
    </row>
    <row r="313" spans="1:12" x14ac:dyDescent="0.25">
      <c r="A313" s="7">
        <v>44753</v>
      </c>
      <c r="B313" t="s">
        <v>17</v>
      </c>
      <c r="C313" s="6">
        <v>2420</v>
      </c>
      <c r="D313" s="2" t="s">
        <v>161</v>
      </c>
      <c r="E313" s="1">
        <v>0.52222222222222225</v>
      </c>
      <c r="F313" s="1">
        <v>0.54166666666666663</v>
      </c>
      <c r="G313" s="9">
        <f t="shared" si="32"/>
        <v>44753</v>
      </c>
      <c r="H313" s="11">
        <f t="shared" si="33"/>
        <v>0.5</v>
      </c>
      <c r="I313" s="10">
        <f t="shared" si="29"/>
        <v>0.5</v>
      </c>
      <c r="J313" s="10">
        <f t="shared" si="30"/>
        <v>7.2</v>
      </c>
      <c r="K313" s="10">
        <f t="shared" si="31"/>
        <v>0.5</v>
      </c>
      <c r="L313" s="10">
        <f t="shared" si="34"/>
        <v>41.9</v>
      </c>
    </row>
    <row r="314" spans="1:12" x14ac:dyDescent="0.25">
      <c r="A314" s="7">
        <v>44753</v>
      </c>
      <c r="B314" t="s">
        <v>6</v>
      </c>
      <c r="C314" s="6" t="s">
        <v>416</v>
      </c>
      <c r="D314" s="2" t="s">
        <v>162</v>
      </c>
      <c r="E314" s="1">
        <v>0.54166666666666663</v>
      </c>
      <c r="F314" s="1">
        <v>0.61041666666666672</v>
      </c>
      <c r="G314" s="9">
        <f t="shared" si="32"/>
        <v>44753</v>
      </c>
      <c r="H314" s="11">
        <f t="shared" si="33"/>
        <v>1.7</v>
      </c>
      <c r="I314" s="10">
        <f t="shared" si="29"/>
        <v>2.2000000000000002</v>
      </c>
      <c r="J314" s="10">
        <f t="shared" si="30"/>
        <v>7.2</v>
      </c>
      <c r="K314" s="10">
        <f t="shared" si="31"/>
        <v>2.2000000000000002</v>
      </c>
      <c r="L314" s="10">
        <f t="shared" si="34"/>
        <v>43.6</v>
      </c>
    </row>
    <row r="315" spans="1:12" x14ac:dyDescent="0.25">
      <c r="A315" s="7">
        <v>44753</v>
      </c>
      <c r="B315" t="s">
        <v>17</v>
      </c>
      <c r="C315" s="6">
        <v>2420</v>
      </c>
      <c r="D315" s="2" t="s">
        <v>161</v>
      </c>
      <c r="E315" s="1">
        <v>0.61041666666666672</v>
      </c>
      <c r="F315" s="1">
        <v>0.66388888888888886</v>
      </c>
      <c r="G315" s="9">
        <f t="shared" si="32"/>
        <v>44753</v>
      </c>
      <c r="H315" s="11">
        <f t="shared" si="33"/>
        <v>1.3</v>
      </c>
      <c r="I315" s="10">
        <f t="shared" si="29"/>
        <v>3.5</v>
      </c>
      <c r="J315" s="10">
        <f t="shared" si="30"/>
        <v>7.2</v>
      </c>
      <c r="K315" s="10">
        <f t="shared" si="31"/>
        <v>3.5</v>
      </c>
      <c r="L315" s="10">
        <f t="shared" si="34"/>
        <v>44.9</v>
      </c>
    </row>
    <row r="316" spans="1:12" x14ac:dyDescent="0.25">
      <c r="A316" s="7">
        <v>44754</v>
      </c>
      <c r="B316" t="s">
        <v>17</v>
      </c>
      <c r="C316" s="6">
        <v>2420</v>
      </c>
      <c r="D316" s="2" t="s">
        <v>161</v>
      </c>
      <c r="E316" s="1">
        <v>0.34097222222222223</v>
      </c>
      <c r="F316" s="1">
        <v>0.47291666666666665</v>
      </c>
      <c r="G316" s="9">
        <f t="shared" si="32"/>
        <v>44753</v>
      </c>
      <c r="H316" s="11">
        <f t="shared" si="33"/>
        <v>3.2</v>
      </c>
      <c r="I316" s="10">
        <f t="shared" si="29"/>
        <v>3.2</v>
      </c>
      <c r="J316" s="10">
        <f t="shared" si="30"/>
        <v>7.2</v>
      </c>
      <c r="K316" s="10">
        <f t="shared" si="31"/>
        <v>6.7</v>
      </c>
      <c r="L316" s="10">
        <f t="shared" si="34"/>
        <v>48.1</v>
      </c>
    </row>
    <row r="317" spans="1:12" x14ac:dyDescent="0.25">
      <c r="A317" s="7">
        <v>44754</v>
      </c>
      <c r="B317" t="s">
        <v>17</v>
      </c>
      <c r="C317" s="6">
        <v>2420</v>
      </c>
      <c r="D317" s="2" t="s">
        <v>161</v>
      </c>
      <c r="E317" s="1">
        <v>0.48958333333333331</v>
      </c>
      <c r="F317" s="1">
        <v>0.54166666666666663</v>
      </c>
      <c r="G317" s="9">
        <f t="shared" si="32"/>
        <v>44753</v>
      </c>
      <c r="H317" s="11">
        <f t="shared" si="33"/>
        <v>1.3</v>
      </c>
      <c r="I317" s="10">
        <f t="shared" si="29"/>
        <v>4.5</v>
      </c>
      <c r="J317" s="10">
        <f t="shared" si="30"/>
        <v>7.2</v>
      </c>
      <c r="K317" s="10">
        <f t="shared" si="31"/>
        <v>8</v>
      </c>
      <c r="L317" s="10">
        <f t="shared" si="34"/>
        <v>49.4</v>
      </c>
    </row>
    <row r="318" spans="1:12" ht="14.4" x14ac:dyDescent="0.3">
      <c r="A318" s="7">
        <v>44754</v>
      </c>
      <c r="B318" s="2" t="s">
        <v>464</v>
      </c>
      <c r="C318" s="28">
        <v>2431</v>
      </c>
      <c r="D318" s="2" t="s">
        <v>163</v>
      </c>
      <c r="E318" s="1">
        <v>0.54166666666666663</v>
      </c>
      <c r="F318" s="1">
        <v>0.57291666666666663</v>
      </c>
      <c r="G318" s="9">
        <f t="shared" si="32"/>
        <v>44753</v>
      </c>
      <c r="H318" s="11">
        <f t="shared" si="33"/>
        <v>0.8</v>
      </c>
      <c r="I318" s="10">
        <f t="shared" si="29"/>
        <v>5.3</v>
      </c>
      <c r="J318" s="10">
        <f t="shared" si="30"/>
        <v>7.2</v>
      </c>
      <c r="K318" s="10">
        <f t="shared" si="31"/>
        <v>8.8000000000000007</v>
      </c>
      <c r="L318" s="10">
        <f t="shared" si="34"/>
        <v>50.199999999999996</v>
      </c>
    </row>
    <row r="319" spans="1:12" x14ac:dyDescent="0.25">
      <c r="A319" s="7">
        <v>44754</v>
      </c>
      <c r="B319" t="s">
        <v>17</v>
      </c>
      <c r="C319" s="6">
        <v>2420</v>
      </c>
      <c r="D319" s="2" t="s">
        <v>161</v>
      </c>
      <c r="E319" s="1">
        <v>0.57291666666666663</v>
      </c>
      <c r="F319" s="1">
        <v>0.57986111111111105</v>
      </c>
      <c r="G319" s="9">
        <f t="shared" si="32"/>
        <v>44753</v>
      </c>
      <c r="H319" s="11">
        <f t="shared" si="33"/>
        <v>0.2</v>
      </c>
      <c r="I319" s="10">
        <f t="shared" si="29"/>
        <v>5.5</v>
      </c>
      <c r="J319" s="10">
        <f t="shared" si="30"/>
        <v>7.2</v>
      </c>
      <c r="K319" s="10">
        <f t="shared" si="31"/>
        <v>9</v>
      </c>
      <c r="L319" s="10">
        <f t="shared" si="34"/>
        <v>50.400000000000006</v>
      </c>
    </row>
    <row r="320" spans="1:12" x14ac:dyDescent="0.25">
      <c r="A320" s="7">
        <v>44754</v>
      </c>
      <c r="B320" t="s">
        <v>126</v>
      </c>
      <c r="C320" s="6" t="s">
        <v>125</v>
      </c>
      <c r="D320" s="2" t="s">
        <v>164</v>
      </c>
      <c r="E320" s="1">
        <v>0.57986111111111105</v>
      </c>
      <c r="F320" s="1">
        <v>0.70624999999999993</v>
      </c>
      <c r="G320" s="9">
        <f t="shared" si="32"/>
        <v>44753</v>
      </c>
      <c r="H320" s="11">
        <f t="shared" si="33"/>
        <v>3</v>
      </c>
      <c r="I320" s="10">
        <f t="shared" si="29"/>
        <v>8.5</v>
      </c>
      <c r="J320" s="10">
        <f t="shared" si="30"/>
        <v>7.2</v>
      </c>
      <c r="K320" s="10">
        <f t="shared" si="31"/>
        <v>12</v>
      </c>
      <c r="L320" s="10">
        <f t="shared" si="34"/>
        <v>53.4</v>
      </c>
    </row>
    <row r="321" spans="1:12" x14ac:dyDescent="0.25">
      <c r="A321" s="7">
        <v>44755</v>
      </c>
      <c r="B321" t="s">
        <v>7</v>
      </c>
      <c r="C321" s="6" t="s">
        <v>22</v>
      </c>
      <c r="D321" s="2" t="s">
        <v>150</v>
      </c>
      <c r="E321" s="1">
        <v>0.40972222222222227</v>
      </c>
      <c r="F321" s="1">
        <v>0.70833333333333337</v>
      </c>
      <c r="G321" s="9">
        <f t="shared" si="32"/>
        <v>44753</v>
      </c>
      <c r="H321" s="11">
        <f t="shared" si="33"/>
        <v>7.2</v>
      </c>
      <c r="I321" s="10">
        <f t="shared" si="29"/>
        <v>7.2</v>
      </c>
      <c r="J321" s="10">
        <f t="shared" si="30"/>
        <v>7.2</v>
      </c>
      <c r="K321" s="10">
        <f t="shared" si="31"/>
        <v>19.2</v>
      </c>
      <c r="L321" s="10">
        <f t="shared" si="34"/>
        <v>60.6</v>
      </c>
    </row>
    <row r="322" spans="1:12" x14ac:dyDescent="0.25">
      <c r="A322" s="7">
        <v>44756</v>
      </c>
      <c r="B322" t="s">
        <v>126</v>
      </c>
      <c r="C322" s="6" t="s">
        <v>125</v>
      </c>
      <c r="D322" s="2" t="s">
        <v>165</v>
      </c>
      <c r="E322" s="1">
        <v>0.35138888888888892</v>
      </c>
      <c r="F322" s="1">
        <v>0.40138888888888885</v>
      </c>
      <c r="G322" s="9">
        <f t="shared" si="32"/>
        <v>44753</v>
      </c>
      <c r="H322" s="11">
        <f t="shared" si="33"/>
        <v>1.2</v>
      </c>
      <c r="I322" s="10">
        <f t="shared" si="29"/>
        <v>1.2</v>
      </c>
      <c r="J322" s="10">
        <f t="shared" si="30"/>
        <v>7.2</v>
      </c>
      <c r="K322" s="10">
        <f t="shared" si="31"/>
        <v>20.399999999999999</v>
      </c>
      <c r="L322" s="10">
        <f t="shared" si="34"/>
        <v>61.800000000000004</v>
      </c>
    </row>
    <row r="323" spans="1:12" x14ac:dyDescent="0.25">
      <c r="A323" s="7">
        <v>44756</v>
      </c>
      <c r="B323" t="s">
        <v>17</v>
      </c>
      <c r="C323" s="6">
        <v>2420</v>
      </c>
      <c r="D323" s="2" t="s">
        <v>161</v>
      </c>
      <c r="E323" s="1">
        <v>0.40138888888888885</v>
      </c>
      <c r="F323" s="1">
        <v>0.45833333333333331</v>
      </c>
      <c r="G323" s="9">
        <f t="shared" si="32"/>
        <v>44753</v>
      </c>
      <c r="H323" s="11">
        <f t="shared" si="33"/>
        <v>1.4</v>
      </c>
      <c r="I323" s="10">
        <f t="shared" ref="I323:I386" si="35">IF(H323="",H323,H323+IF(A323=A322,_xlfn.NUMBERVALUE(I322),0))</f>
        <v>2.5999999999999996</v>
      </c>
      <c r="J323" s="10">
        <f t="shared" ref="J323:J386" si="36">IF(H323="",H323,7.2)</f>
        <v>7.2</v>
      </c>
      <c r="K323" s="10">
        <f t="shared" ref="K323:K386" si="37">IF(H323="",H323,H323+IF(G323=G322,_xlfn.NUMBERVALUE(K322),0))</f>
        <v>21.799999999999997</v>
      </c>
      <c r="L323" s="10">
        <f t="shared" si="34"/>
        <v>63.199999999999996</v>
      </c>
    </row>
    <row r="324" spans="1:12" x14ac:dyDescent="0.25">
      <c r="A324" s="7">
        <v>44756</v>
      </c>
      <c r="B324" t="s">
        <v>19</v>
      </c>
      <c r="C324" s="6">
        <v>2675</v>
      </c>
      <c r="D324" s="2" t="s">
        <v>155</v>
      </c>
      <c r="E324" s="1">
        <v>0.45833333333333331</v>
      </c>
      <c r="F324" s="1">
        <v>0.54861111111111105</v>
      </c>
      <c r="G324" s="9">
        <f t="shared" ref="G324:G387" si="38">IF(E324&gt;0,INT((A324-2)/7)*7+2,"")</f>
        <v>44753</v>
      </c>
      <c r="H324" s="11">
        <f t="shared" ref="H324:H387" si="39">IF(E324&gt;0,ROUND(24*(IF(F324&gt;0,F324,NowTime)-E324),1),"")</f>
        <v>2.2000000000000002</v>
      </c>
      <c r="I324" s="10">
        <f t="shared" si="35"/>
        <v>4.8000000000000007</v>
      </c>
      <c r="J324" s="10">
        <f t="shared" si="36"/>
        <v>7.2</v>
      </c>
      <c r="K324" s="10">
        <f t="shared" si="37"/>
        <v>24</v>
      </c>
      <c r="L324" s="10">
        <f t="shared" si="34"/>
        <v>65.400000000000006</v>
      </c>
    </row>
    <row r="325" spans="1:12" x14ac:dyDescent="0.25">
      <c r="A325" s="7">
        <v>44756</v>
      </c>
      <c r="B325" t="s">
        <v>17</v>
      </c>
      <c r="C325" s="6">
        <v>2420</v>
      </c>
      <c r="D325" s="2" t="s">
        <v>161</v>
      </c>
      <c r="E325" s="1">
        <v>0.57291666666666663</v>
      </c>
      <c r="F325" s="1">
        <v>0.67569444444444438</v>
      </c>
      <c r="G325" s="9">
        <f t="shared" si="38"/>
        <v>44753</v>
      </c>
      <c r="H325" s="11">
        <f t="shared" si="39"/>
        <v>2.5</v>
      </c>
      <c r="I325" s="10">
        <f t="shared" si="35"/>
        <v>7.3</v>
      </c>
      <c r="J325" s="10">
        <f t="shared" si="36"/>
        <v>7.2</v>
      </c>
      <c r="K325" s="10">
        <f t="shared" si="37"/>
        <v>26.5</v>
      </c>
      <c r="L325" s="10">
        <f t="shared" ref="L325:L388" si="40">IF(H325="",H325,H325+IF(MONTH(A325)=MONTH(A324),_xlfn.NUMBERVALUE(L324),0))</f>
        <v>67.900000000000006</v>
      </c>
    </row>
    <row r="326" spans="1:12" x14ac:dyDescent="0.25">
      <c r="A326" s="7">
        <v>44757</v>
      </c>
      <c r="B326" t="s">
        <v>17</v>
      </c>
      <c r="C326" s="6">
        <v>2420</v>
      </c>
      <c r="D326" s="2" t="s">
        <v>161</v>
      </c>
      <c r="E326" s="1">
        <v>0.30694444444444441</v>
      </c>
      <c r="F326" s="1">
        <v>0.35555555555555557</v>
      </c>
      <c r="G326" s="9">
        <f t="shared" si="38"/>
        <v>44753</v>
      </c>
      <c r="H326" s="11">
        <f t="shared" si="39"/>
        <v>1.2</v>
      </c>
      <c r="I326" s="10">
        <f t="shared" si="35"/>
        <v>1.2</v>
      </c>
      <c r="J326" s="10">
        <f t="shared" si="36"/>
        <v>7.2</v>
      </c>
      <c r="K326" s="10">
        <f t="shared" si="37"/>
        <v>27.7</v>
      </c>
      <c r="L326" s="10">
        <f t="shared" si="40"/>
        <v>69.100000000000009</v>
      </c>
    </row>
    <row r="327" spans="1:12" x14ac:dyDescent="0.25">
      <c r="A327" s="7">
        <v>44757</v>
      </c>
      <c r="B327" t="s">
        <v>17</v>
      </c>
      <c r="C327" s="6">
        <v>2420</v>
      </c>
      <c r="D327" s="2" t="s">
        <v>161</v>
      </c>
      <c r="E327" s="1">
        <v>0.40833333333333338</v>
      </c>
      <c r="F327" s="1">
        <v>0.4381944444444445</v>
      </c>
      <c r="G327" s="9">
        <f t="shared" si="38"/>
        <v>44753</v>
      </c>
      <c r="H327" s="11">
        <f t="shared" si="39"/>
        <v>0.7</v>
      </c>
      <c r="I327" s="10">
        <f t="shared" si="35"/>
        <v>1.9</v>
      </c>
      <c r="J327" s="10">
        <f t="shared" si="36"/>
        <v>7.2</v>
      </c>
      <c r="K327" s="10">
        <f t="shared" si="37"/>
        <v>28.4</v>
      </c>
      <c r="L327" s="10">
        <f t="shared" si="40"/>
        <v>69.8</v>
      </c>
    </row>
    <row r="328" spans="1:12" x14ac:dyDescent="0.25">
      <c r="A328" s="7">
        <v>44757</v>
      </c>
      <c r="B328" t="s">
        <v>17</v>
      </c>
      <c r="C328" s="6">
        <v>2420</v>
      </c>
      <c r="D328" s="2" t="s">
        <v>161</v>
      </c>
      <c r="E328" s="1">
        <v>0.50208333333333333</v>
      </c>
      <c r="F328" s="1">
        <v>0.67152777777777783</v>
      </c>
      <c r="G328" s="9">
        <f t="shared" si="38"/>
        <v>44753</v>
      </c>
      <c r="H328" s="11">
        <f t="shared" si="39"/>
        <v>4.0999999999999996</v>
      </c>
      <c r="I328" s="10">
        <f t="shared" si="35"/>
        <v>6</v>
      </c>
      <c r="J328" s="10">
        <f t="shared" si="36"/>
        <v>7.2</v>
      </c>
      <c r="K328" s="10">
        <f t="shared" si="37"/>
        <v>32.5</v>
      </c>
      <c r="L328" s="10">
        <f t="shared" si="40"/>
        <v>73.899999999999991</v>
      </c>
    </row>
    <row r="329" spans="1:12" ht="14.4" x14ac:dyDescent="0.3">
      <c r="A329" s="7">
        <v>44760</v>
      </c>
      <c r="B329" s="2" t="s">
        <v>464</v>
      </c>
      <c r="C329" s="28">
        <v>2431</v>
      </c>
      <c r="D329" s="2" t="s">
        <v>156</v>
      </c>
      <c r="E329" s="1">
        <v>0.30555555555555552</v>
      </c>
      <c r="F329" s="1">
        <v>0.41666666666666669</v>
      </c>
      <c r="G329" s="9">
        <f t="shared" si="38"/>
        <v>44760</v>
      </c>
      <c r="H329" s="11">
        <f t="shared" si="39"/>
        <v>2.7</v>
      </c>
      <c r="I329" s="10">
        <f t="shared" si="35"/>
        <v>2.7</v>
      </c>
      <c r="J329" s="10">
        <f t="shared" si="36"/>
        <v>7.2</v>
      </c>
      <c r="K329" s="10">
        <f t="shared" si="37"/>
        <v>2.7</v>
      </c>
      <c r="L329" s="10">
        <f t="shared" si="40"/>
        <v>76.600000000000009</v>
      </c>
    </row>
    <row r="330" spans="1:12" x14ac:dyDescent="0.25">
      <c r="A330" s="7">
        <v>44760</v>
      </c>
      <c r="B330" t="s">
        <v>6</v>
      </c>
      <c r="C330" s="6" t="s">
        <v>416</v>
      </c>
      <c r="D330" s="2" t="s">
        <v>112</v>
      </c>
      <c r="E330" s="1">
        <v>0.41666666666666669</v>
      </c>
      <c r="F330" s="1">
        <v>0.45208333333333334</v>
      </c>
      <c r="G330" s="9">
        <f t="shared" si="38"/>
        <v>44760</v>
      </c>
      <c r="H330" s="11">
        <f t="shared" si="39"/>
        <v>0.9</v>
      </c>
      <c r="I330" s="10">
        <f t="shared" si="35"/>
        <v>3.6</v>
      </c>
      <c r="J330" s="10">
        <f t="shared" si="36"/>
        <v>7.2</v>
      </c>
      <c r="K330" s="10">
        <f t="shared" si="37"/>
        <v>3.6</v>
      </c>
      <c r="L330" s="10">
        <f t="shared" si="40"/>
        <v>77.5</v>
      </c>
    </row>
    <row r="331" spans="1:12" ht="14.4" x14ac:dyDescent="0.3">
      <c r="A331" s="7">
        <v>44760</v>
      </c>
      <c r="B331" s="2" t="s">
        <v>464</v>
      </c>
      <c r="C331" s="28">
        <v>2431</v>
      </c>
      <c r="D331" s="2" t="s">
        <v>156</v>
      </c>
      <c r="E331" s="1">
        <v>0.45208333333333334</v>
      </c>
      <c r="F331" s="1">
        <v>0.50694444444444442</v>
      </c>
      <c r="G331" s="9">
        <f t="shared" si="38"/>
        <v>44760</v>
      </c>
      <c r="H331" s="11">
        <f t="shared" si="39"/>
        <v>1.3</v>
      </c>
      <c r="I331" s="10">
        <f t="shared" si="35"/>
        <v>4.9000000000000004</v>
      </c>
      <c r="J331" s="10">
        <f t="shared" si="36"/>
        <v>7.2</v>
      </c>
      <c r="K331" s="10">
        <f t="shared" si="37"/>
        <v>4.9000000000000004</v>
      </c>
      <c r="L331" s="10">
        <f t="shared" si="40"/>
        <v>78.8</v>
      </c>
    </row>
    <row r="332" spans="1:12" ht="14.4" x14ac:dyDescent="0.3">
      <c r="A332" s="7">
        <v>44760</v>
      </c>
      <c r="B332" s="2" t="s">
        <v>464</v>
      </c>
      <c r="C332" s="28">
        <v>2431</v>
      </c>
      <c r="D332" s="2" t="s">
        <v>156</v>
      </c>
      <c r="E332" s="1">
        <v>0.52777777777777779</v>
      </c>
      <c r="F332" s="1">
        <v>0.63263888888888886</v>
      </c>
      <c r="G332" s="9">
        <f t="shared" si="38"/>
        <v>44760</v>
      </c>
      <c r="H332" s="11">
        <f t="shared" si="39"/>
        <v>2.5</v>
      </c>
      <c r="I332" s="10">
        <f t="shared" si="35"/>
        <v>7.4</v>
      </c>
      <c r="J332" s="10">
        <f t="shared" si="36"/>
        <v>7.2</v>
      </c>
      <c r="K332" s="10">
        <f t="shared" si="37"/>
        <v>7.4</v>
      </c>
      <c r="L332" s="10">
        <f t="shared" si="40"/>
        <v>81.3</v>
      </c>
    </row>
    <row r="333" spans="1:12" x14ac:dyDescent="0.25">
      <c r="A333" s="7">
        <v>44761</v>
      </c>
      <c r="B333" t="s">
        <v>19</v>
      </c>
      <c r="C333" s="6">
        <v>2675</v>
      </c>
      <c r="D333" s="2" t="s">
        <v>166</v>
      </c>
      <c r="E333" s="1">
        <v>0.29375000000000001</v>
      </c>
      <c r="F333" s="1">
        <v>0.47500000000000003</v>
      </c>
      <c r="G333" s="9">
        <f t="shared" si="38"/>
        <v>44760</v>
      </c>
      <c r="H333" s="11">
        <f t="shared" si="39"/>
        <v>4.4000000000000004</v>
      </c>
      <c r="I333" s="10">
        <f t="shared" si="35"/>
        <v>4.4000000000000004</v>
      </c>
      <c r="J333" s="10">
        <f t="shared" si="36"/>
        <v>7.2</v>
      </c>
      <c r="K333" s="10">
        <f t="shared" si="37"/>
        <v>11.8</v>
      </c>
      <c r="L333" s="10">
        <f t="shared" si="40"/>
        <v>85.7</v>
      </c>
    </row>
    <row r="334" spans="1:12" x14ac:dyDescent="0.25">
      <c r="A334" s="7">
        <v>44761</v>
      </c>
      <c r="B334" t="s">
        <v>19</v>
      </c>
      <c r="C334" s="6">
        <v>2675</v>
      </c>
      <c r="D334" s="2" t="s">
        <v>166</v>
      </c>
      <c r="E334" s="1">
        <v>0.50069444444444444</v>
      </c>
      <c r="F334" s="1">
        <v>0.61944444444444446</v>
      </c>
      <c r="G334" s="9">
        <f t="shared" si="38"/>
        <v>44760</v>
      </c>
      <c r="H334" s="11">
        <f t="shared" si="39"/>
        <v>2.9</v>
      </c>
      <c r="I334" s="10">
        <f t="shared" si="35"/>
        <v>7.3000000000000007</v>
      </c>
      <c r="J334" s="10">
        <f t="shared" si="36"/>
        <v>7.2</v>
      </c>
      <c r="K334" s="10">
        <f t="shared" si="37"/>
        <v>14.700000000000001</v>
      </c>
      <c r="L334" s="10">
        <f t="shared" si="40"/>
        <v>88.600000000000009</v>
      </c>
    </row>
    <row r="335" spans="1:12" x14ac:dyDescent="0.25">
      <c r="A335" s="7">
        <v>44762</v>
      </c>
      <c r="B335" t="s">
        <v>19</v>
      </c>
      <c r="C335" s="6">
        <v>2675</v>
      </c>
      <c r="D335" s="2" t="s">
        <v>166</v>
      </c>
      <c r="E335" s="1">
        <v>0.33402777777777781</v>
      </c>
      <c r="F335" s="1">
        <v>0.47847222222222219</v>
      </c>
      <c r="G335" s="9">
        <f t="shared" si="38"/>
        <v>44760</v>
      </c>
      <c r="H335" s="11">
        <f t="shared" si="39"/>
        <v>3.5</v>
      </c>
      <c r="I335" s="10">
        <f t="shared" si="35"/>
        <v>3.5</v>
      </c>
      <c r="J335" s="10">
        <f t="shared" si="36"/>
        <v>7.2</v>
      </c>
      <c r="K335" s="10">
        <f t="shared" si="37"/>
        <v>18.2</v>
      </c>
      <c r="L335" s="10">
        <f t="shared" si="40"/>
        <v>92.1</v>
      </c>
    </row>
    <row r="336" spans="1:12" x14ac:dyDescent="0.25">
      <c r="A336" s="7">
        <v>44762</v>
      </c>
      <c r="B336" t="s">
        <v>19</v>
      </c>
      <c r="C336" s="6">
        <v>2675</v>
      </c>
      <c r="D336" s="2" t="s">
        <v>166</v>
      </c>
      <c r="E336" s="1">
        <v>0.50138888888888888</v>
      </c>
      <c r="F336" s="1">
        <v>0.54166666666666663</v>
      </c>
      <c r="G336" s="9">
        <f t="shared" si="38"/>
        <v>44760</v>
      </c>
      <c r="H336" s="11">
        <f t="shared" si="39"/>
        <v>1</v>
      </c>
      <c r="I336" s="10">
        <f t="shared" si="35"/>
        <v>4.5</v>
      </c>
      <c r="J336" s="10">
        <f t="shared" si="36"/>
        <v>7.2</v>
      </c>
      <c r="K336" s="10">
        <f t="shared" si="37"/>
        <v>19.2</v>
      </c>
      <c r="L336" s="10">
        <f t="shared" si="40"/>
        <v>93.1</v>
      </c>
    </row>
    <row r="337" spans="1:12" x14ac:dyDescent="0.25">
      <c r="A337" s="7">
        <v>44762</v>
      </c>
      <c r="B337" t="s">
        <v>19</v>
      </c>
      <c r="C337" s="6">
        <v>2675</v>
      </c>
      <c r="D337" s="2" t="s">
        <v>155</v>
      </c>
      <c r="E337" s="1">
        <v>0.54166666666666663</v>
      </c>
      <c r="F337" s="1">
        <v>0.59236111111111112</v>
      </c>
      <c r="G337" s="9">
        <f t="shared" si="38"/>
        <v>44760</v>
      </c>
      <c r="H337" s="11">
        <f t="shared" si="39"/>
        <v>1.2</v>
      </c>
      <c r="I337" s="10">
        <f t="shared" si="35"/>
        <v>5.7</v>
      </c>
      <c r="J337" s="10">
        <f t="shared" si="36"/>
        <v>7.2</v>
      </c>
      <c r="K337" s="10">
        <f t="shared" si="37"/>
        <v>20.399999999999999</v>
      </c>
      <c r="L337" s="10">
        <f t="shared" si="40"/>
        <v>94.3</v>
      </c>
    </row>
    <row r="338" spans="1:12" x14ac:dyDescent="0.25">
      <c r="A338" s="7">
        <v>44762</v>
      </c>
      <c r="B338" t="s">
        <v>19</v>
      </c>
      <c r="C338" s="6">
        <v>2675</v>
      </c>
      <c r="D338" s="2" t="s">
        <v>166</v>
      </c>
      <c r="E338" s="1">
        <v>0.59236111111111112</v>
      </c>
      <c r="F338" s="1">
        <v>0.6694444444444444</v>
      </c>
      <c r="G338" s="9">
        <f t="shared" si="38"/>
        <v>44760</v>
      </c>
      <c r="H338" s="11">
        <f t="shared" si="39"/>
        <v>1.9</v>
      </c>
      <c r="I338" s="10">
        <f t="shared" si="35"/>
        <v>7.6</v>
      </c>
      <c r="J338" s="10">
        <f t="shared" si="36"/>
        <v>7.2</v>
      </c>
      <c r="K338" s="10">
        <f t="shared" si="37"/>
        <v>22.299999999999997</v>
      </c>
      <c r="L338" s="10">
        <f t="shared" si="40"/>
        <v>96.2</v>
      </c>
    </row>
    <row r="339" spans="1:12" x14ac:dyDescent="0.25">
      <c r="A339" s="7">
        <v>44763</v>
      </c>
      <c r="B339" t="s">
        <v>17</v>
      </c>
      <c r="C339" s="6">
        <v>2420</v>
      </c>
      <c r="D339" s="2" t="s">
        <v>161</v>
      </c>
      <c r="E339" s="1">
        <v>0.30555555555555552</v>
      </c>
      <c r="F339" s="1">
        <v>0.34027777777777773</v>
      </c>
      <c r="G339" s="9">
        <f t="shared" si="38"/>
        <v>44760</v>
      </c>
      <c r="H339" s="11">
        <f t="shared" si="39"/>
        <v>0.8</v>
      </c>
      <c r="I339" s="10">
        <f t="shared" si="35"/>
        <v>0.8</v>
      </c>
      <c r="J339" s="10">
        <f t="shared" si="36"/>
        <v>7.2</v>
      </c>
      <c r="K339" s="10">
        <f t="shared" si="37"/>
        <v>23.1</v>
      </c>
      <c r="L339" s="10">
        <f t="shared" si="40"/>
        <v>97</v>
      </c>
    </row>
    <row r="340" spans="1:12" x14ac:dyDescent="0.25">
      <c r="A340" s="7">
        <v>44763</v>
      </c>
      <c r="B340" t="s">
        <v>19</v>
      </c>
      <c r="C340" s="6">
        <v>2675</v>
      </c>
      <c r="D340" s="2" t="s">
        <v>166</v>
      </c>
      <c r="E340" s="1">
        <v>0.34027777777777773</v>
      </c>
      <c r="F340" s="1">
        <v>0.45833333333333331</v>
      </c>
      <c r="G340" s="9">
        <f t="shared" si="38"/>
        <v>44760</v>
      </c>
      <c r="H340" s="11">
        <f t="shared" si="39"/>
        <v>2.8</v>
      </c>
      <c r="I340" s="10">
        <f t="shared" si="35"/>
        <v>3.5999999999999996</v>
      </c>
      <c r="J340" s="10">
        <f t="shared" si="36"/>
        <v>7.2</v>
      </c>
      <c r="K340" s="10">
        <f t="shared" si="37"/>
        <v>25.900000000000002</v>
      </c>
      <c r="L340" s="10">
        <f t="shared" si="40"/>
        <v>99.8</v>
      </c>
    </row>
    <row r="341" spans="1:12" x14ac:dyDescent="0.25">
      <c r="A341" s="7">
        <v>44763</v>
      </c>
      <c r="B341" t="s">
        <v>19</v>
      </c>
      <c r="C341" s="6">
        <v>2675</v>
      </c>
      <c r="D341" s="2" t="s">
        <v>44</v>
      </c>
      <c r="E341" s="1">
        <v>0.45833333333333331</v>
      </c>
      <c r="F341" s="1">
        <v>0.50763888888888886</v>
      </c>
      <c r="G341" s="9">
        <f t="shared" si="38"/>
        <v>44760</v>
      </c>
      <c r="H341" s="11">
        <f t="shared" si="39"/>
        <v>1.2</v>
      </c>
      <c r="I341" s="10">
        <f t="shared" si="35"/>
        <v>4.8</v>
      </c>
      <c r="J341" s="10">
        <f t="shared" si="36"/>
        <v>7.2</v>
      </c>
      <c r="K341" s="10">
        <f t="shared" si="37"/>
        <v>27.099999999999998</v>
      </c>
      <c r="L341" s="10">
        <f t="shared" si="40"/>
        <v>101</v>
      </c>
    </row>
    <row r="342" spans="1:12" x14ac:dyDescent="0.25">
      <c r="A342" s="7">
        <v>44763</v>
      </c>
      <c r="B342" t="s">
        <v>17</v>
      </c>
      <c r="C342" s="6">
        <v>2420</v>
      </c>
      <c r="D342" s="2" t="s">
        <v>167</v>
      </c>
      <c r="E342" s="1">
        <v>0.56736111111111109</v>
      </c>
      <c r="F342" s="1">
        <v>0.67222222222222217</v>
      </c>
      <c r="G342" s="9">
        <f t="shared" si="38"/>
        <v>44760</v>
      </c>
      <c r="H342" s="11">
        <f t="shared" si="39"/>
        <v>2.5</v>
      </c>
      <c r="I342" s="10">
        <f t="shared" si="35"/>
        <v>7.3</v>
      </c>
      <c r="J342" s="10">
        <f t="shared" si="36"/>
        <v>7.2</v>
      </c>
      <c r="K342" s="10">
        <f t="shared" si="37"/>
        <v>29.6</v>
      </c>
      <c r="L342" s="10">
        <f t="shared" si="40"/>
        <v>103.5</v>
      </c>
    </row>
    <row r="343" spans="1:12" x14ac:dyDescent="0.25">
      <c r="A343" s="7">
        <v>44764</v>
      </c>
      <c r="B343" t="s">
        <v>17</v>
      </c>
      <c r="C343" s="6">
        <v>2420</v>
      </c>
      <c r="D343" s="2" t="s">
        <v>168</v>
      </c>
      <c r="E343" s="1">
        <v>0.25972222222222224</v>
      </c>
      <c r="F343" s="1">
        <v>0.4375</v>
      </c>
      <c r="G343" s="9">
        <f t="shared" si="38"/>
        <v>44760</v>
      </c>
      <c r="H343" s="11">
        <f t="shared" si="39"/>
        <v>4.3</v>
      </c>
      <c r="I343" s="10">
        <f t="shared" si="35"/>
        <v>4.3</v>
      </c>
      <c r="J343" s="10">
        <f t="shared" si="36"/>
        <v>7.2</v>
      </c>
      <c r="K343" s="10">
        <f t="shared" si="37"/>
        <v>33.9</v>
      </c>
      <c r="L343" s="10">
        <f t="shared" si="40"/>
        <v>107.8</v>
      </c>
    </row>
    <row r="344" spans="1:12" x14ac:dyDescent="0.25">
      <c r="A344" s="7">
        <v>44764</v>
      </c>
      <c r="B344" t="s">
        <v>17</v>
      </c>
      <c r="C344" s="6">
        <v>2420</v>
      </c>
      <c r="D344" s="2" t="s">
        <v>169</v>
      </c>
      <c r="E344" s="1">
        <v>0.4375</v>
      </c>
      <c r="F344" s="1">
        <v>0.51111111111111118</v>
      </c>
      <c r="G344" s="9">
        <f t="shared" si="38"/>
        <v>44760</v>
      </c>
      <c r="H344" s="11">
        <f t="shared" si="39"/>
        <v>1.8</v>
      </c>
      <c r="I344" s="10">
        <f t="shared" si="35"/>
        <v>6.1</v>
      </c>
      <c r="J344" s="10">
        <f t="shared" si="36"/>
        <v>7.2</v>
      </c>
      <c r="K344" s="10">
        <f t="shared" si="37"/>
        <v>35.699999999999996</v>
      </c>
      <c r="L344" s="10">
        <f t="shared" si="40"/>
        <v>109.6</v>
      </c>
    </row>
    <row r="345" spans="1:12" x14ac:dyDescent="0.25">
      <c r="A345" s="7">
        <v>44764</v>
      </c>
      <c r="B345" t="s">
        <v>17</v>
      </c>
      <c r="C345" s="6">
        <v>2420</v>
      </c>
      <c r="D345" s="2" t="s">
        <v>170</v>
      </c>
      <c r="E345" s="1">
        <v>0.55902777777777779</v>
      </c>
      <c r="F345" s="1">
        <v>0.63680555555555551</v>
      </c>
      <c r="G345" s="9">
        <f t="shared" si="38"/>
        <v>44760</v>
      </c>
      <c r="H345" s="11">
        <f t="shared" si="39"/>
        <v>1.9</v>
      </c>
      <c r="I345" s="10">
        <f t="shared" si="35"/>
        <v>8</v>
      </c>
      <c r="J345" s="10">
        <f t="shared" si="36"/>
        <v>7.2</v>
      </c>
      <c r="K345" s="10">
        <f t="shared" si="37"/>
        <v>37.6</v>
      </c>
      <c r="L345" s="10">
        <f t="shared" si="40"/>
        <v>111.5</v>
      </c>
    </row>
    <row r="346" spans="1:12" x14ac:dyDescent="0.25">
      <c r="A346" s="7">
        <v>44767</v>
      </c>
      <c r="B346" t="s">
        <v>6</v>
      </c>
      <c r="C346" s="6" t="s">
        <v>416</v>
      </c>
      <c r="D346" t="s">
        <v>30</v>
      </c>
      <c r="E346" s="1">
        <v>0.34375</v>
      </c>
      <c r="F346" s="1">
        <v>0.41666666666666669</v>
      </c>
      <c r="G346" s="9">
        <f t="shared" si="38"/>
        <v>44767</v>
      </c>
      <c r="H346" s="11">
        <f t="shared" si="39"/>
        <v>1.8</v>
      </c>
      <c r="I346" s="10">
        <f t="shared" si="35"/>
        <v>1.8</v>
      </c>
      <c r="J346" s="10">
        <f t="shared" si="36"/>
        <v>7.2</v>
      </c>
      <c r="K346" s="10">
        <f t="shared" si="37"/>
        <v>1.8</v>
      </c>
      <c r="L346" s="10">
        <f t="shared" si="40"/>
        <v>113.3</v>
      </c>
    </row>
    <row r="347" spans="1:12" x14ac:dyDescent="0.25">
      <c r="A347" s="7">
        <v>44767</v>
      </c>
      <c r="B347" t="s">
        <v>6</v>
      </c>
      <c r="C347" s="6" t="s">
        <v>416</v>
      </c>
      <c r="D347" s="2" t="s">
        <v>112</v>
      </c>
      <c r="E347" s="1">
        <v>0.41666666666666669</v>
      </c>
      <c r="F347" s="1">
        <v>0.44236111111111115</v>
      </c>
      <c r="G347" s="9">
        <f t="shared" si="38"/>
        <v>44767</v>
      </c>
      <c r="H347" s="11">
        <f t="shared" si="39"/>
        <v>0.6</v>
      </c>
      <c r="I347" s="10">
        <f t="shared" si="35"/>
        <v>2.4</v>
      </c>
      <c r="J347" s="10">
        <f t="shared" si="36"/>
        <v>7.2</v>
      </c>
      <c r="K347" s="10">
        <f t="shared" si="37"/>
        <v>2.4</v>
      </c>
      <c r="L347" s="10">
        <f t="shared" si="40"/>
        <v>113.89999999999999</v>
      </c>
    </row>
    <row r="348" spans="1:12" x14ac:dyDescent="0.25">
      <c r="A348" s="7">
        <v>44767</v>
      </c>
      <c r="B348" t="s">
        <v>6</v>
      </c>
      <c r="C348" s="6" t="s">
        <v>416</v>
      </c>
      <c r="D348" t="s">
        <v>30</v>
      </c>
      <c r="E348" s="1">
        <v>0.44236111111111115</v>
      </c>
      <c r="F348" s="1">
        <v>0.48541666666666666</v>
      </c>
      <c r="G348" s="9">
        <f t="shared" si="38"/>
        <v>44767</v>
      </c>
      <c r="H348" s="11">
        <f t="shared" si="39"/>
        <v>1</v>
      </c>
      <c r="I348" s="10">
        <f t="shared" si="35"/>
        <v>3.4</v>
      </c>
      <c r="J348" s="10">
        <f t="shared" si="36"/>
        <v>7.2</v>
      </c>
      <c r="K348" s="10">
        <f t="shared" si="37"/>
        <v>3.4</v>
      </c>
      <c r="L348" s="10">
        <f t="shared" si="40"/>
        <v>114.9</v>
      </c>
    </row>
    <row r="349" spans="1:12" x14ac:dyDescent="0.25">
      <c r="A349" s="7">
        <v>44767</v>
      </c>
      <c r="B349" t="s">
        <v>6</v>
      </c>
      <c r="C349" s="6" t="s">
        <v>416</v>
      </c>
      <c r="D349" t="s">
        <v>30</v>
      </c>
      <c r="E349" s="1">
        <v>0.49513888888888885</v>
      </c>
      <c r="F349" s="1">
        <v>0.52916666666666667</v>
      </c>
      <c r="G349" s="9">
        <f t="shared" si="38"/>
        <v>44767</v>
      </c>
      <c r="H349" s="11">
        <f t="shared" si="39"/>
        <v>0.8</v>
      </c>
      <c r="I349" s="10">
        <f t="shared" si="35"/>
        <v>4.2</v>
      </c>
      <c r="J349" s="10">
        <f t="shared" si="36"/>
        <v>7.2</v>
      </c>
      <c r="K349" s="10">
        <f t="shared" si="37"/>
        <v>4.2</v>
      </c>
      <c r="L349" s="10">
        <f t="shared" si="40"/>
        <v>115.7</v>
      </c>
    </row>
    <row r="350" spans="1:12" x14ac:dyDescent="0.25">
      <c r="A350" s="7">
        <v>44767</v>
      </c>
      <c r="B350" t="s">
        <v>17</v>
      </c>
      <c r="C350" s="6">
        <v>2420</v>
      </c>
      <c r="D350" s="2" t="s">
        <v>73</v>
      </c>
      <c r="E350" s="1">
        <v>0.52916666666666667</v>
      </c>
      <c r="F350" s="1">
        <v>0.58333333333333337</v>
      </c>
      <c r="G350" s="9">
        <f t="shared" si="38"/>
        <v>44767</v>
      </c>
      <c r="H350" s="11">
        <f t="shared" si="39"/>
        <v>1.3</v>
      </c>
      <c r="I350" s="10">
        <f t="shared" si="35"/>
        <v>5.5</v>
      </c>
      <c r="J350" s="10">
        <f t="shared" si="36"/>
        <v>7.2</v>
      </c>
      <c r="K350" s="10">
        <f t="shared" si="37"/>
        <v>5.5</v>
      </c>
      <c r="L350" s="10">
        <f t="shared" si="40"/>
        <v>117</v>
      </c>
    </row>
    <row r="351" spans="1:12" x14ac:dyDescent="0.25">
      <c r="A351" s="7">
        <v>44767</v>
      </c>
      <c r="B351" t="s">
        <v>17</v>
      </c>
      <c r="C351" s="6">
        <v>2420</v>
      </c>
      <c r="D351" s="2" t="s">
        <v>44</v>
      </c>
      <c r="E351" s="1">
        <v>0.58333333333333337</v>
      </c>
      <c r="F351" s="1">
        <v>0.64374999999999993</v>
      </c>
      <c r="G351" s="9">
        <f t="shared" si="38"/>
        <v>44767</v>
      </c>
      <c r="H351" s="11">
        <f t="shared" si="39"/>
        <v>1.5</v>
      </c>
      <c r="I351" s="10">
        <f t="shared" si="35"/>
        <v>7</v>
      </c>
      <c r="J351" s="10">
        <f t="shared" si="36"/>
        <v>7.2</v>
      </c>
      <c r="K351" s="10">
        <f t="shared" si="37"/>
        <v>7</v>
      </c>
      <c r="L351" s="10">
        <f t="shared" si="40"/>
        <v>118.5</v>
      </c>
    </row>
    <row r="352" spans="1:12" x14ac:dyDescent="0.25">
      <c r="A352" s="7">
        <v>44768</v>
      </c>
      <c r="B352" t="s">
        <v>17</v>
      </c>
      <c r="C352" s="6">
        <v>2420</v>
      </c>
      <c r="D352" s="2" t="s">
        <v>171</v>
      </c>
      <c r="E352" s="1">
        <v>0.31458333333333333</v>
      </c>
      <c r="F352" s="1">
        <v>0.49861111111111112</v>
      </c>
      <c r="G352" s="9">
        <f t="shared" si="38"/>
        <v>44767</v>
      </c>
      <c r="H352" s="11">
        <f t="shared" si="39"/>
        <v>4.4000000000000004</v>
      </c>
      <c r="I352" s="10">
        <f t="shared" si="35"/>
        <v>4.4000000000000004</v>
      </c>
      <c r="J352" s="10">
        <f t="shared" si="36"/>
        <v>7.2</v>
      </c>
      <c r="K352" s="10">
        <f t="shared" si="37"/>
        <v>11.4</v>
      </c>
      <c r="L352" s="10">
        <f t="shared" si="40"/>
        <v>122.9</v>
      </c>
    </row>
    <row r="353" spans="1:12" x14ac:dyDescent="0.25">
      <c r="A353" s="7">
        <v>44768</v>
      </c>
      <c r="B353" t="s">
        <v>17</v>
      </c>
      <c r="C353" s="6">
        <v>2420</v>
      </c>
      <c r="D353" s="2" t="s">
        <v>172</v>
      </c>
      <c r="E353" s="1">
        <v>0.56874999999999998</v>
      </c>
      <c r="F353" s="1">
        <v>0.68541666666666667</v>
      </c>
      <c r="G353" s="9">
        <f t="shared" si="38"/>
        <v>44767</v>
      </c>
      <c r="H353" s="11">
        <f t="shared" si="39"/>
        <v>2.8</v>
      </c>
      <c r="I353" s="10">
        <f t="shared" si="35"/>
        <v>7.2</v>
      </c>
      <c r="J353" s="10">
        <f t="shared" si="36"/>
        <v>7.2</v>
      </c>
      <c r="K353" s="10">
        <f t="shared" si="37"/>
        <v>14.2</v>
      </c>
      <c r="L353" s="10">
        <f t="shared" si="40"/>
        <v>125.7</v>
      </c>
    </row>
    <row r="354" spans="1:12" x14ac:dyDescent="0.25">
      <c r="A354" s="7">
        <v>44769</v>
      </c>
      <c r="B354" t="s">
        <v>17</v>
      </c>
      <c r="C354" s="6">
        <v>2420</v>
      </c>
      <c r="D354" s="2" t="s">
        <v>172</v>
      </c>
      <c r="E354" s="1">
        <v>0.32361111111111113</v>
      </c>
      <c r="F354" s="1">
        <v>0.42152777777777778</v>
      </c>
      <c r="G354" s="9">
        <f t="shared" si="38"/>
        <v>44767</v>
      </c>
      <c r="H354" s="11">
        <f t="shared" si="39"/>
        <v>2.4</v>
      </c>
      <c r="I354" s="10">
        <f t="shared" si="35"/>
        <v>2.4</v>
      </c>
      <c r="J354" s="10">
        <f t="shared" si="36"/>
        <v>7.2</v>
      </c>
      <c r="K354" s="10">
        <f t="shared" si="37"/>
        <v>16.599999999999998</v>
      </c>
      <c r="L354" s="10">
        <f t="shared" si="40"/>
        <v>128.1</v>
      </c>
    </row>
    <row r="355" spans="1:12" x14ac:dyDescent="0.25">
      <c r="A355" s="7">
        <v>44769</v>
      </c>
      <c r="B355" t="s">
        <v>17</v>
      </c>
      <c r="C355" s="6">
        <v>2420</v>
      </c>
      <c r="D355" s="2" t="s">
        <v>172</v>
      </c>
      <c r="E355" s="1">
        <v>0.44097222222222227</v>
      </c>
      <c r="F355" s="1">
        <v>0.47847222222222219</v>
      </c>
      <c r="G355" s="9">
        <f t="shared" si="38"/>
        <v>44767</v>
      </c>
      <c r="H355" s="11">
        <f t="shared" si="39"/>
        <v>0.9</v>
      </c>
      <c r="I355" s="10">
        <f t="shared" si="35"/>
        <v>3.3</v>
      </c>
      <c r="J355" s="10">
        <f t="shared" si="36"/>
        <v>7.2</v>
      </c>
      <c r="K355" s="10">
        <f t="shared" si="37"/>
        <v>17.5</v>
      </c>
      <c r="L355" s="10">
        <f t="shared" si="40"/>
        <v>129</v>
      </c>
    </row>
    <row r="356" spans="1:12" x14ac:dyDescent="0.25">
      <c r="A356" s="7">
        <v>44769</v>
      </c>
      <c r="B356" t="s">
        <v>17</v>
      </c>
      <c r="C356" s="6">
        <v>2420</v>
      </c>
      <c r="D356" s="2" t="s">
        <v>172</v>
      </c>
      <c r="E356" s="1">
        <v>0.4916666666666667</v>
      </c>
      <c r="F356" s="1">
        <v>0.66180555555555554</v>
      </c>
      <c r="G356" s="9">
        <f t="shared" si="38"/>
        <v>44767</v>
      </c>
      <c r="H356" s="11">
        <f t="shared" si="39"/>
        <v>4.0999999999999996</v>
      </c>
      <c r="I356" s="10">
        <f t="shared" si="35"/>
        <v>7.3999999999999995</v>
      </c>
      <c r="J356" s="10">
        <f t="shared" si="36"/>
        <v>7.2</v>
      </c>
      <c r="K356" s="10">
        <f t="shared" si="37"/>
        <v>21.6</v>
      </c>
      <c r="L356" s="10">
        <f t="shared" si="40"/>
        <v>133.1</v>
      </c>
    </row>
    <row r="357" spans="1:12" x14ac:dyDescent="0.25">
      <c r="A357" s="7">
        <v>44770</v>
      </c>
      <c r="B357" t="s">
        <v>17</v>
      </c>
      <c r="C357" s="6">
        <v>2420</v>
      </c>
      <c r="D357" s="2" t="s">
        <v>172</v>
      </c>
      <c r="E357" s="1">
        <v>0.28472222222222221</v>
      </c>
      <c r="F357" s="1">
        <v>0.375</v>
      </c>
      <c r="G357" s="9">
        <f t="shared" si="38"/>
        <v>44767</v>
      </c>
      <c r="H357" s="11">
        <f t="shared" si="39"/>
        <v>2.2000000000000002</v>
      </c>
      <c r="I357" s="10">
        <f t="shared" si="35"/>
        <v>2.2000000000000002</v>
      </c>
      <c r="J357" s="10">
        <f t="shared" si="36"/>
        <v>7.2</v>
      </c>
      <c r="K357" s="10">
        <f t="shared" si="37"/>
        <v>23.8</v>
      </c>
      <c r="L357" s="10">
        <f t="shared" si="40"/>
        <v>135.29999999999998</v>
      </c>
    </row>
    <row r="358" spans="1:12" x14ac:dyDescent="0.25">
      <c r="A358" s="7">
        <v>44770</v>
      </c>
      <c r="B358" t="s">
        <v>6</v>
      </c>
      <c r="C358" s="6" t="s">
        <v>416</v>
      </c>
      <c r="D358" s="2" t="s">
        <v>173</v>
      </c>
      <c r="E358" s="1">
        <v>0.375</v>
      </c>
      <c r="F358" s="1">
        <v>0.51041666666666663</v>
      </c>
      <c r="G358" s="9">
        <f t="shared" si="38"/>
        <v>44767</v>
      </c>
      <c r="H358" s="11">
        <f t="shared" si="39"/>
        <v>3.3</v>
      </c>
      <c r="I358" s="10">
        <f t="shared" si="35"/>
        <v>5.5</v>
      </c>
      <c r="J358" s="10">
        <f t="shared" si="36"/>
        <v>7.2</v>
      </c>
      <c r="K358" s="10">
        <f t="shared" si="37"/>
        <v>27.1</v>
      </c>
      <c r="L358" s="10">
        <f t="shared" si="40"/>
        <v>138.60000000000002</v>
      </c>
    </row>
    <row r="359" spans="1:12" x14ac:dyDescent="0.25">
      <c r="A359" s="7">
        <v>44770</v>
      </c>
      <c r="B359" t="s">
        <v>19</v>
      </c>
      <c r="C359" s="6">
        <v>2675</v>
      </c>
      <c r="D359" s="2" t="s">
        <v>44</v>
      </c>
      <c r="E359" s="1">
        <v>0.51041666666666663</v>
      </c>
      <c r="F359" s="1">
        <v>0.54513888888888895</v>
      </c>
      <c r="G359" s="9">
        <f t="shared" si="38"/>
        <v>44767</v>
      </c>
      <c r="H359" s="11">
        <f t="shared" si="39"/>
        <v>0.8</v>
      </c>
      <c r="I359" s="10">
        <f t="shared" si="35"/>
        <v>6.3</v>
      </c>
      <c r="J359" s="10">
        <f t="shared" si="36"/>
        <v>7.2</v>
      </c>
      <c r="K359" s="10">
        <f t="shared" si="37"/>
        <v>27.900000000000002</v>
      </c>
      <c r="L359" s="10">
        <f t="shared" si="40"/>
        <v>139.4</v>
      </c>
    </row>
    <row r="360" spans="1:12" x14ac:dyDescent="0.25">
      <c r="A360" s="7">
        <v>44770</v>
      </c>
      <c r="B360" t="s">
        <v>17</v>
      </c>
      <c r="C360" s="6">
        <v>2420</v>
      </c>
      <c r="D360" s="2" t="s">
        <v>172</v>
      </c>
      <c r="E360" s="1">
        <v>0.54513888888888895</v>
      </c>
      <c r="F360" s="1">
        <v>0.60625000000000007</v>
      </c>
      <c r="G360" s="9">
        <f t="shared" si="38"/>
        <v>44767</v>
      </c>
      <c r="H360" s="11">
        <f t="shared" si="39"/>
        <v>1.5</v>
      </c>
      <c r="I360" s="10">
        <f t="shared" si="35"/>
        <v>7.8</v>
      </c>
      <c r="J360" s="10">
        <f t="shared" si="36"/>
        <v>7.2</v>
      </c>
      <c r="K360" s="10">
        <f t="shared" si="37"/>
        <v>29.4</v>
      </c>
      <c r="L360" s="10">
        <f t="shared" si="40"/>
        <v>140.9</v>
      </c>
    </row>
    <row r="361" spans="1:12" x14ac:dyDescent="0.25">
      <c r="A361" s="7">
        <v>44771</v>
      </c>
      <c r="B361" t="s">
        <v>17</v>
      </c>
      <c r="C361" s="6">
        <v>2420</v>
      </c>
      <c r="D361" s="2" t="s">
        <v>172</v>
      </c>
      <c r="E361" s="1">
        <v>0.34583333333333338</v>
      </c>
      <c r="F361" s="1">
        <v>0.46388888888888885</v>
      </c>
      <c r="G361" s="9">
        <f t="shared" si="38"/>
        <v>44767</v>
      </c>
      <c r="H361" s="11">
        <f t="shared" si="39"/>
        <v>2.8</v>
      </c>
      <c r="I361" s="10">
        <f t="shared" si="35"/>
        <v>2.8</v>
      </c>
      <c r="J361" s="10">
        <f t="shared" si="36"/>
        <v>7.2</v>
      </c>
      <c r="K361" s="10">
        <f t="shared" si="37"/>
        <v>32.199999999999996</v>
      </c>
      <c r="L361" s="10">
        <f t="shared" si="40"/>
        <v>143.70000000000002</v>
      </c>
    </row>
    <row r="362" spans="1:12" x14ac:dyDescent="0.25">
      <c r="A362" s="7">
        <v>44771</v>
      </c>
      <c r="B362" t="s">
        <v>17</v>
      </c>
      <c r="C362" s="6">
        <v>2420</v>
      </c>
      <c r="D362" s="2" t="s">
        <v>172</v>
      </c>
      <c r="E362" s="1">
        <v>0.48402777777777778</v>
      </c>
      <c r="F362" s="1">
        <v>0.69166666666666676</v>
      </c>
      <c r="G362" s="9">
        <f t="shared" si="38"/>
        <v>44767</v>
      </c>
      <c r="H362" s="11">
        <f t="shared" si="39"/>
        <v>5</v>
      </c>
      <c r="I362" s="10">
        <f t="shared" si="35"/>
        <v>7.8</v>
      </c>
      <c r="J362" s="10">
        <f t="shared" si="36"/>
        <v>7.2</v>
      </c>
      <c r="K362" s="10">
        <f t="shared" si="37"/>
        <v>37.200000000000003</v>
      </c>
      <c r="L362" s="10">
        <f t="shared" si="40"/>
        <v>148.69999999999999</v>
      </c>
    </row>
    <row r="363" spans="1:12" x14ac:dyDescent="0.25">
      <c r="A363" s="7">
        <v>44774</v>
      </c>
      <c r="B363" t="s">
        <v>6</v>
      </c>
      <c r="C363" s="6" t="s">
        <v>416</v>
      </c>
      <c r="D363" s="2" t="s">
        <v>174</v>
      </c>
      <c r="E363" s="1">
        <v>0.37013888888888885</v>
      </c>
      <c r="F363" s="1">
        <v>0.49374999999999997</v>
      </c>
      <c r="G363" s="9">
        <f t="shared" si="38"/>
        <v>44774</v>
      </c>
      <c r="H363" s="11">
        <f t="shared" si="39"/>
        <v>3</v>
      </c>
      <c r="I363" s="10">
        <f t="shared" si="35"/>
        <v>3</v>
      </c>
      <c r="J363" s="10">
        <f t="shared" si="36"/>
        <v>7.2</v>
      </c>
      <c r="K363" s="10">
        <f t="shared" si="37"/>
        <v>3</v>
      </c>
      <c r="L363" s="10">
        <f t="shared" si="40"/>
        <v>3</v>
      </c>
    </row>
    <row r="364" spans="1:12" x14ac:dyDescent="0.25">
      <c r="A364" s="7">
        <v>44774</v>
      </c>
      <c r="B364" t="s">
        <v>126</v>
      </c>
      <c r="C364" s="6" t="s">
        <v>125</v>
      </c>
      <c r="D364" s="2" t="s">
        <v>175</v>
      </c>
      <c r="E364" s="1">
        <v>0.49374999999999997</v>
      </c>
      <c r="F364" s="1">
        <v>0.54236111111111118</v>
      </c>
      <c r="G364" s="9">
        <f t="shared" si="38"/>
        <v>44774</v>
      </c>
      <c r="H364" s="11">
        <f t="shared" si="39"/>
        <v>1.2</v>
      </c>
      <c r="I364" s="10">
        <f t="shared" si="35"/>
        <v>4.2</v>
      </c>
      <c r="J364" s="10">
        <f t="shared" si="36"/>
        <v>7.2</v>
      </c>
      <c r="K364" s="10">
        <f t="shared" si="37"/>
        <v>4.2</v>
      </c>
      <c r="L364" s="10">
        <f t="shared" si="40"/>
        <v>4.2</v>
      </c>
    </row>
    <row r="365" spans="1:12" x14ac:dyDescent="0.25">
      <c r="A365" s="7">
        <v>44774</v>
      </c>
      <c r="B365" t="s">
        <v>17</v>
      </c>
      <c r="C365" s="6">
        <v>2420</v>
      </c>
      <c r="D365" s="2" t="s">
        <v>172</v>
      </c>
      <c r="E365" s="1">
        <v>0.55625000000000002</v>
      </c>
      <c r="F365" s="1">
        <v>0.6479166666666667</v>
      </c>
      <c r="G365" s="9">
        <f t="shared" si="38"/>
        <v>44774</v>
      </c>
      <c r="H365" s="11">
        <f t="shared" si="39"/>
        <v>2.2000000000000002</v>
      </c>
      <c r="I365" s="10">
        <f t="shared" si="35"/>
        <v>6.4</v>
      </c>
      <c r="J365" s="10">
        <f t="shared" si="36"/>
        <v>7.2</v>
      </c>
      <c r="K365" s="10">
        <f t="shared" si="37"/>
        <v>6.4</v>
      </c>
      <c r="L365" s="10">
        <f t="shared" si="40"/>
        <v>6.4</v>
      </c>
    </row>
    <row r="366" spans="1:12" x14ac:dyDescent="0.25">
      <c r="A366" s="7">
        <v>44775</v>
      </c>
      <c r="B366" t="s">
        <v>17</v>
      </c>
      <c r="C366" s="6">
        <v>2420</v>
      </c>
      <c r="D366" s="2" t="s">
        <v>172</v>
      </c>
      <c r="E366" s="1">
        <v>0.35138888888888892</v>
      </c>
      <c r="F366" s="1">
        <v>0.49791666666666662</v>
      </c>
      <c r="G366" s="9">
        <f t="shared" si="38"/>
        <v>44774</v>
      </c>
      <c r="H366" s="11">
        <f t="shared" si="39"/>
        <v>3.5</v>
      </c>
      <c r="I366" s="10">
        <f t="shared" si="35"/>
        <v>3.5</v>
      </c>
      <c r="J366" s="10">
        <f t="shared" si="36"/>
        <v>7.2</v>
      </c>
      <c r="K366" s="10">
        <f t="shared" si="37"/>
        <v>9.9</v>
      </c>
      <c r="L366" s="10">
        <f t="shared" si="40"/>
        <v>9.9</v>
      </c>
    </row>
    <row r="367" spans="1:12" x14ac:dyDescent="0.25">
      <c r="A367" s="7">
        <v>44775</v>
      </c>
      <c r="B367" t="s">
        <v>17</v>
      </c>
      <c r="C367" s="6">
        <v>2420</v>
      </c>
      <c r="D367" s="2" t="s">
        <v>172</v>
      </c>
      <c r="E367" s="1">
        <v>0.51388888888888895</v>
      </c>
      <c r="F367" s="1">
        <v>0.68402777777777779</v>
      </c>
      <c r="G367" s="9">
        <f t="shared" si="38"/>
        <v>44774</v>
      </c>
      <c r="H367" s="11">
        <f t="shared" si="39"/>
        <v>4.0999999999999996</v>
      </c>
      <c r="I367" s="10">
        <f t="shared" si="35"/>
        <v>7.6</v>
      </c>
      <c r="J367" s="10">
        <f t="shared" si="36"/>
        <v>7.2</v>
      </c>
      <c r="K367" s="10">
        <f t="shared" si="37"/>
        <v>14</v>
      </c>
      <c r="L367" s="10">
        <f t="shared" si="40"/>
        <v>14</v>
      </c>
    </row>
    <row r="368" spans="1:12" x14ac:dyDescent="0.25">
      <c r="A368" s="7">
        <v>44775</v>
      </c>
      <c r="B368" t="s">
        <v>17</v>
      </c>
      <c r="C368" s="6">
        <v>2420</v>
      </c>
      <c r="D368" s="2" t="s">
        <v>176</v>
      </c>
      <c r="E368" s="1">
        <v>0.68402777777777779</v>
      </c>
      <c r="F368" s="1">
        <v>0.69513888888888886</v>
      </c>
      <c r="G368" s="9">
        <f t="shared" si="38"/>
        <v>44774</v>
      </c>
      <c r="H368" s="11">
        <f t="shared" si="39"/>
        <v>0.3</v>
      </c>
      <c r="I368" s="10">
        <f t="shared" si="35"/>
        <v>7.8999999999999995</v>
      </c>
      <c r="J368" s="10">
        <f t="shared" si="36"/>
        <v>7.2</v>
      </c>
      <c r="K368" s="10">
        <f t="shared" si="37"/>
        <v>14.3</v>
      </c>
      <c r="L368" s="10">
        <f t="shared" si="40"/>
        <v>14.3</v>
      </c>
    </row>
    <row r="369" spans="1:12" x14ac:dyDescent="0.25">
      <c r="A369" s="7">
        <v>44776</v>
      </c>
      <c r="B369" t="s">
        <v>17</v>
      </c>
      <c r="C369" s="6">
        <v>2420</v>
      </c>
      <c r="D369" s="2" t="s">
        <v>176</v>
      </c>
      <c r="E369" s="1">
        <v>0.32361111111111113</v>
      </c>
      <c r="F369" s="1">
        <v>0.45694444444444443</v>
      </c>
      <c r="G369" s="9">
        <f t="shared" si="38"/>
        <v>44774</v>
      </c>
      <c r="H369" s="11">
        <f t="shared" si="39"/>
        <v>3.2</v>
      </c>
      <c r="I369" s="10">
        <f t="shared" si="35"/>
        <v>3.2</v>
      </c>
      <c r="J369" s="10">
        <f t="shared" si="36"/>
        <v>7.2</v>
      </c>
      <c r="K369" s="10">
        <f t="shared" si="37"/>
        <v>17.5</v>
      </c>
      <c r="L369" s="10">
        <f t="shared" si="40"/>
        <v>17.5</v>
      </c>
    </row>
    <row r="370" spans="1:12" x14ac:dyDescent="0.25">
      <c r="A370" s="7">
        <v>44776</v>
      </c>
      <c r="B370" t="s">
        <v>17</v>
      </c>
      <c r="C370" s="6">
        <v>2420</v>
      </c>
      <c r="D370" s="2" t="s">
        <v>176</v>
      </c>
      <c r="E370" s="1">
        <v>0.4826388888888889</v>
      </c>
      <c r="F370" s="1">
        <v>0.6333333333333333</v>
      </c>
      <c r="G370" s="9">
        <f t="shared" si="38"/>
        <v>44774</v>
      </c>
      <c r="H370" s="11">
        <f t="shared" si="39"/>
        <v>3.6</v>
      </c>
      <c r="I370" s="10">
        <f t="shared" si="35"/>
        <v>6.8000000000000007</v>
      </c>
      <c r="J370" s="10">
        <f t="shared" si="36"/>
        <v>7.2</v>
      </c>
      <c r="K370" s="10">
        <f t="shared" si="37"/>
        <v>21.1</v>
      </c>
      <c r="L370" s="10">
        <f t="shared" si="40"/>
        <v>21.1</v>
      </c>
    </row>
    <row r="371" spans="1:12" x14ac:dyDescent="0.25">
      <c r="A371" s="7">
        <v>44777</v>
      </c>
      <c r="B371" t="s">
        <v>17</v>
      </c>
      <c r="C371" s="6">
        <v>2420</v>
      </c>
      <c r="D371" s="2" t="s">
        <v>171</v>
      </c>
      <c r="E371" s="1">
        <v>0.3659722222222222</v>
      </c>
      <c r="F371" s="1">
        <v>0.45833333333333331</v>
      </c>
      <c r="G371" s="9">
        <f t="shared" si="38"/>
        <v>44774</v>
      </c>
      <c r="H371" s="11">
        <f t="shared" si="39"/>
        <v>2.2000000000000002</v>
      </c>
      <c r="I371" s="10">
        <f t="shared" si="35"/>
        <v>2.2000000000000002</v>
      </c>
      <c r="J371" s="10">
        <f t="shared" si="36"/>
        <v>7.2</v>
      </c>
      <c r="K371" s="10">
        <f t="shared" si="37"/>
        <v>23.3</v>
      </c>
      <c r="L371" s="10">
        <f t="shared" si="40"/>
        <v>23.3</v>
      </c>
    </row>
    <row r="372" spans="1:12" x14ac:dyDescent="0.25">
      <c r="A372" s="7">
        <v>44777</v>
      </c>
      <c r="B372" t="s">
        <v>19</v>
      </c>
      <c r="C372" s="6">
        <v>2675</v>
      </c>
      <c r="D372" s="2" t="s">
        <v>44</v>
      </c>
      <c r="E372" s="1">
        <v>0.45833333333333331</v>
      </c>
      <c r="F372" s="1">
        <v>0.48958333333333331</v>
      </c>
      <c r="G372" s="9">
        <f t="shared" si="38"/>
        <v>44774</v>
      </c>
      <c r="H372" s="11">
        <f t="shared" si="39"/>
        <v>0.8</v>
      </c>
      <c r="I372" s="10">
        <f t="shared" si="35"/>
        <v>3</v>
      </c>
      <c r="J372" s="10">
        <f t="shared" si="36"/>
        <v>7.2</v>
      </c>
      <c r="K372" s="10">
        <f t="shared" si="37"/>
        <v>24.1</v>
      </c>
      <c r="L372" s="10">
        <f t="shared" si="40"/>
        <v>24.1</v>
      </c>
    </row>
    <row r="373" spans="1:12" x14ac:dyDescent="0.25">
      <c r="A373" s="7">
        <v>44777</v>
      </c>
      <c r="B373" t="s">
        <v>17</v>
      </c>
      <c r="C373" s="6">
        <v>2420</v>
      </c>
      <c r="D373" s="2" t="s">
        <v>171</v>
      </c>
      <c r="E373" s="1">
        <v>0.5180555555555556</v>
      </c>
      <c r="F373" s="1">
        <v>0.56805555555555554</v>
      </c>
      <c r="G373" s="9">
        <f t="shared" si="38"/>
        <v>44774</v>
      </c>
      <c r="H373" s="11">
        <f t="shared" si="39"/>
        <v>1.2</v>
      </c>
      <c r="I373" s="10">
        <f t="shared" si="35"/>
        <v>4.2</v>
      </c>
      <c r="J373" s="10">
        <f t="shared" si="36"/>
        <v>7.2</v>
      </c>
      <c r="K373" s="10">
        <f t="shared" si="37"/>
        <v>25.3</v>
      </c>
      <c r="L373" s="10">
        <f t="shared" si="40"/>
        <v>25.3</v>
      </c>
    </row>
    <row r="374" spans="1:12" x14ac:dyDescent="0.25">
      <c r="A374" s="7">
        <v>44777</v>
      </c>
      <c r="B374" t="s">
        <v>17</v>
      </c>
      <c r="C374" s="6">
        <v>2420</v>
      </c>
      <c r="D374" s="2" t="s">
        <v>176</v>
      </c>
      <c r="E374" s="1">
        <v>0.56805555555555554</v>
      </c>
      <c r="F374" s="1">
        <v>0.66111111111111109</v>
      </c>
      <c r="G374" s="9">
        <f t="shared" si="38"/>
        <v>44774</v>
      </c>
      <c r="H374" s="11">
        <f t="shared" si="39"/>
        <v>2.2000000000000002</v>
      </c>
      <c r="I374" s="10">
        <f t="shared" si="35"/>
        <v>6.4</v>
      </c>
      <c r="J374" s="10">
        <f t="shared" si="36"/>
        <v>7.2</v>
      </c>
      <c r="K374" s="10">
        <f t="shared" si="37"/>
        <v>27.5</v>
      </c>
      <c r="L374" s="10">
        <f t="shared" si="40"/>
        <v>27.5</v>
      </c>
    </row>
    <row r="375" spans="1:12" x14ac:dyDescent="0.25">
      <c r="A375" s="7">
        <v>44778</v>
      </c>
      <c r="B375" t="s">
        <v>17</v>
      </c>
      <c r="C375" s="6">
        <v>2420</v>
      </c>
      <c r="D375" s="2" t="s">
        <v>176</v>
      </c>
      <c r="E375" s="1">
        <v>0.32708333333333334</v>
      </c>
      <c r="F375" s="1">
        <v>0.49722222222222223</v>
      </c>
      <c r="G375" s="9">
        <f t="shared" si="38"/>
        <v>44774</v>
      </c>
      <c r="H375" s="11">
        <f t="shared" si="39"/>
        <v>4.0999999999999996</v>
      </c>
      <c r="I375" s="10">
        <f t="shared" si="35"/>
        <v>4.0999999999999996</v>
      </c>
      <c r="J375" s="10">
        <f t="shared" si="36"/>
        <v>7.2</v>
      </c>
      <c r="K375" s="10">
        <f t="shared" si="37"/>
        <v>31.6</v>
      </c>
      <c r="L375" s="10">
        <f t="shared" si="40"/>
        <v>31.6</v>
      </c>
    </row>
    <row r="376" spans="1:12" x14ac:dyDescent="0.25">
      <c r="A376" s="7">
        <v>44778</v>
      </c>
      <c r="B376" t="s">
        <v>17</v>
      </c>
      <c r="C376" s="6">
        <v>2420</v>
      </c>
      <c r="D376" s="2" t="s">
        <v>176</v>
      </c>
      <c r="E376" s="1">
        <v>0.50902777777777775</v>
      </c>
      <c r="F376" s="1">
        <v>0.54652777777777783</v>
      </c>
      <c r="G376" s="9">
        <f t="shared" si="38"/>
        <v>44774</v>
      </c>
      <c r="H376" s="11">
        <f t="shared" si="39"/>
        <v>0.9</v>
      </c>
      <c r="I376" s="10">
        <f t="shared" si="35"/>
        <v>5</v>
      </c>
      <c r="J376" s="10">
        <f t="shared" si="36"/>
        <v>7.2</v>
      </c>
      <c r="K376" s="10">
        <f t="shared" si="37"/>
        <v>32.5</v>
      </c>
      <c r="L376" s="10">
        <f t="shared" si="40"/>
        <v>32.5</v>
      </c>
    </row>
    <row r="377" spans="1:12" x14ac:dyDescent="0.25">
      <c r="A377" s="7">
        <v>44778</v>
      </c>
      <c r="B377" t="s">
        <v>126</v>
      </c>
      <c r="C377" s="6" t="s">
        <v>125</v>
      </c>
      <c r="D377" s="2" t="s">
        <v>175</v>
      </c>
      <c r="E377" s="1">
        <v>0.54652777777777783</v>
      </c>
      <c r="F377" s="1">
        <v>0.55486111111111114</v>
      </c>
      <c r="G377" s="9">
        <f t="shared" si="38"/>
        <v>44774</v>
      </c>
      <c r="H377" s="11">
        <f t="shared" si="39"/>
        <v>0.2</v>
      </c>
      <c r="I377" s="10">
        <f t="shared" si="35"/>
        <v>5.2</v>
      </c>
      <c r="J377" s="10">
        <f t="shared" si="36"/>
        <v>7.2</v>
      </c>
      <c r="K377" s="10">
        <f t="shared" si="37"/>
        <v>32.700000000000003</v>
      </c>
      <c r="L377" s="10">
        <f t="shared" si="40"/>
        <v>32.700000000000003</v>
      </c>
    </row>
    <row r="378" spans="1:12" x14ac:dyDescent="0.25">
      <c r="A378" s="7">
        <v>44778</v>
      </c>
      <c r="B378" t="s">
        <v>17</v>
      </c>
      <c r="C378" s="6">
        <v>2420</v>
      </c>
      <c r="D378" s="2" t="s">
        <v>176</v>
      </c>
      <c r="E378" s="1">
        <v>0.55486111111111114</v>
      </c>
      <c r="F378" s="1">
        <v>0.63541666666666663</v>
      </c>
      <c r="G378" s="9">
        <f t="shared" si="38"/>
        <v>44774</v>
      </c>
      <c r="H378" s="11">
        <f t="shared" si="39"/>
        <v>1.9</v>
      </c>
      <c r="I378" s="10">
        <f t="shared" si="35"/>
        <v>7.1</v>
      </c>
      <c r="J378" s="10">
        <f t="shared" si="36"/>
        <v>7.2</v>
      </c>
      <c r="K378" s="10">
        <f t="shared" si="37"/>
        <v>34.6</v>
      </c>
      <c r="L378" s="10">
        <f t="shared" si="40"/>
        <v>34.6</v>
      </c>
    </row>
    <row r="379" spans="1:12" x14ac:dyDescent="0.25">
      <c r="A379" s="7">
        <v>44778</v>
      </c>
      <c r="B379" t="s">
        <v>17</v>
      </c>
      <c r="C379" s="6">
        <v>2420</v>
      </c>
      <c r="D379" s="2" t="s">
        <v>44</v>
      </c>
      <c r="E379" s="1">
        <v>0.63541666666666663</v>
      </c>
      <c r="F379" s="1">
        <v>0.70347222222222217</v>
      </c>
      <c r="G379" s="9">
        <f t="shared" si="38"/>
        <v>44774</v>
      </c>
      <c r="H379" s="11">
        <f t="shared" si="39"/>
        <v>1.6</v>
      </c>
      <c r="I379" s="10">
        <f t="shared" si="35"/>
        <v>8.6999999999999993</v>
      </c>
      <c r="J379" s="10">
        <f t="shared" si="36"/>
        <v>7.2</v>
      </c>
      <c r="K379" s="10">
        <f t="shared" si="37"/>
        <v>36.200000000000003</v>
      </c>
      <c r="L379" s="10">
        <f t="shared" si="40"/>
        <v>36.200000000000003</v>
      </c>
    </row>
    <row r="380" spans="1:12" x14ac:dyDescent="0.25">
      <c r="A380" s="7">
        <v>44781</v>
      </c>
      <c r="B380" t="s">
        <v>17</v>
      </c>
      <c r="C380" s="6">
        <v>2420</v>
      </c>
      <c r="D380" s="2" t="s">
        <v>171</v>
      </c>
      <c r="E380" s="1">
        <v>0.35555555555555557</v>
      </c>
      <c r="F380" s="1">
        <v>0.41666666666666669</v>
      </c>
      <c r="G380" s="9">
        <f t="shared" si="38"/>
        <v>44781</v>
      </c>
      <c r="H380" s="11">
        <f t="shared" si="39"/>
        <v>1.5</v>
      </c>
      <c r="I380" s="10">
        <f t="shared" si="35"/>
        <v>1.5</v>
      </c>
      <c r="J380" s="10">
        <f t="shared" si="36"/>
        <v>7.2</v>
      </c>
      <c r="K380" s="10">
        <f t="shared" si="37"/>
        <v>1.5</v>
      </c>
      <c r="L380" s="10">
        <f t="shared" si="40"/>
        <v>37.700000000000003</v>
      </c>
    </row>
    <row r="381" spans="1:12" x14ac:dyDescent="0.25">
      <c r="A381" s="7">
        <v>44781</v>
      </c>
      <c r="B381" t="s">
        <v>6</v>
      </c>
      <c r="C381" s="6" t="s">
        <v>416</v>
      </c>
      <c r="D381" s="2" t="s">
        <v>112</v>
      </c>
      <c r="E381" s="1">
        <v>0.41666666666666669</v>
      </c>
      <c r="F381" s="1">
        <v>0.4597222222222222</v>
      </c>
      <c r="G381" s="9">
        <f t="shared" si="38"/>
        <v>44781</v>
      </c>
      <c r="H381" s="11">
        <f t="shared" si="39"/>
        <v>1</v>
      </c>
      <c r="I381" s="10">
        <f t="shared" si="35"/>
        <v>2.5</v>
      </c>
      <c r="J381" s="10">
        <f t="shared" si="36"/>
        <v>7.2</v>
      </c>
      <c r="K381" s="10">
        <f t="shared" si="37"/>
        <v>2.5</v>
      </c>
      <c r="L381" s="10">
        <f t="shared" si="40"/>
        <v>38.700000000000003</v>
      </c>
    </row>
    <row r="382" spans="1:12" x14ac:dyDescent="0.25">
      <c r="A382" s="7">
        <v>44781</v>
      </c>
      <c r="B382" t="s">
        <v>17</v>
      </c>
      <c r="C382" s="6">
        <v>2420</v>
      </c>
      <c r="D382" s="2" t="s">
        <v>171</v>
      </c>
      <c r="E382" s="1">
        <v>0.4597222222222222</v>
      </c>
      <c r="F382" s="1">
        <v>0.50138888888888888</v>
      </c>
      <c r="G382" s="9">
        <f t="shared" si="38"/>
        <v>44781</v>
      </c>
      <c r="H382" s="11">
        <f t="shared" si="39"/>
        <v>1</v>
      </c>
      <c r="I382" s="10">
        <f t="shared" si="35"/>
        <v>3.5</v>
      </c>
      <c r="J382" s="10">
        <f t="shared" si="36"/>
        <v>7.2</v>
      </c>
      <c r="K382" s="10">
        <f t="shared" si="37"/>
        <v>3.5</v>
      </c>
      <c r="L382" s="10">
        <f t="shared" si="40"/>
        <v>39.700000000000003</v>
      </c>
    </row>
    <row r="383" spans="1:12" x14ac:dyDescent="0.25">
      <c r="A383" s="7">
        <v>44781</v>
      </c>
      <c r="B383" t="s">
        <v>17</v>
      </c>
      <c r="C383" s="6">
        <v>2420</v>
      </c>
      <c r="D383" s="2" t="s">
        <v>171</v>
      </c>
      <c r="E383" s="1">
        <v>0.53125</v>
      </c>
      <c r="F383" s="1">
        <v>0.60416666666666663</v>
      </c>
      <c r="G383" s="9">
        <f t="shared" si="38"/>
        <v>44781</v>
      </c>
      <c r="H383" s="11">
        <f t="shared" si="39"/>
        <v>1.8</v>
      </c>
      <c r="I383" s="10">
        <f t="shared" si="35"/>
        <v>5.3</v>
      </c>
      <c r="J383" s="10">
        <f t="shared" si="36"/>
        <v>7.2</v>
      </c>
      <c r="K383" s="10">
        <f t="shared" si="37"/>
        <v>5.3</v>
      </c>
      <c r="L383" s="10">
        <f t="shared" si="40"/>
        <v>41.5</v>
      </c>
    </row>
    <row r="384" spans="1:12" x14ac:dyDescent="0.25">
      <c r="A384" s="7">
        <v>44781</v>
      </c>
      <c r="B384" t="s">
        <v>6</v>
      </c>
      <c r="C384" s="6" t="s">
        <v>416</v>
      </c>
      <c r="D384" s="2" t="s">
        <v>177</v>
      </c>
      <c r="E384" s="1">
        <v>0.60416666666666663</v>
      </c>
      <c r="F384" s="1">
        <v>0.61875000000000002</v>
      </c>
      <c r="G384" s="9">
        <f t="shared" si="38"/>
        <v>44781</v>
      </c>
      <c r="H384" s="11">
        <f t="shared" si="39"/>
        <v>0.4</v>
      </c>
      <c r="I384" s="10">
        <f t="shared" si="35"/>
        <v>5.7</v>
      </c>
      <c r="J384" s="10">
        <f t="shared" si="36"/>
        <v>7.2</v>
      </c>
      <c r="K384" s="10">
        <f t="shared" si="37"/>
        <v>5.7</v>
      </c>
      <c r="L384" s="10">
        <f t="shared" si="40"/>
        <v>41.9</v>
      </c>
    </row>
    <row r="385" spans="1:12" x14ac:dyDescent="0.25">
      <c r="A385" s="7">
        <v>44782</v>
      </c>
      <c r="B385" t="s">
        <v>17</v>
      </c>
      <c r="C385" s="6">
        <v>2420</v>
      </c>
      <c r="D385" s="2" t="s">
        <v>171</v>
      </c>
      <c r="E385" s="1">
        <v>0.32708333333333334</v>
      </c>
      <c r="F385" s="1">
        <v>0.48402777777777778</v>
      </c>
      <c r="G385" s="9">
        <f t="shared" si="38"/>
        <v>44781</v>
      </c>
      <c r="H385" s="11">
        <f t="shared" si="39"/>
        <v>3.8</v>
      </c>
      <c r="I385" s="10">
        <f t="shared" si="35"/>
        <v>3.8</v>
      </c>
      <c r="J385" s="10">
        <f t="shared" si="36"/>
        <v>7.2</v>
      </c>
      <c r="K385" s="10">
        <f t="shared" si="37"/>
        <v>9.5</v>
      </c>
      <c r="L385" s="10">
        <f t="shared" si="40"/>
        <v>45.699999999999996</v>
      </c>
    </row>
    <row r="386" spans="1:12" x14ac:dyDescent="0.25">
      <c r="A386" s="7">
        <v>44782</v>
      </c>
      <c r="B386" t="s">
        <v>17</v>
      </c>
      <c r="C386" s="6">
        <v>2420</v>
      </c>
      <c r="D386" s="2" t="s">
        <v>176</v>
      </c>
      <c r="E386" s="1">
        <v>0.50208333333333333</v>
      </c>
      <c r="F386" s="1">
        <v>0.63194444444444442</v>
      </c>
      <c r="G386" s="9">
        <f t="shared" si="38"/>
        <v>44781</v>
      </c>
      <c r="H386" s="11">
        <f t="shared" si="39"/>
        <v>3.1</v>
      </c>
      <c r="I386" s="10">
        <f t="shared" si="35"/>
        <v>6.9</v>
      </c>
      <c r="J386" s="10">
        <f t="shared" si="36"/>
        <v>7.2</v>
      </c>
      <c r="K386" s="10">
        <f t="shared" si="37"/>
        <v>12.6</v>
      </c>
      <c r="L386" s="10">
        <f t="shared" si="40"/>
        <v>48.800000000000004</v>
      </c>
    </row>
    <row r="387" spans="1:12" x14ac:dyDescent="0.25">
      <c r="A387" s="7">
        <v>44783</v>
      </c>
      <c r="B387" t="s">
        <v>17</v>
      </c>
      <c r="C387" s="6">
        <v>2420</v>
      </c>
      <c r="D387" s="2" t="s">
        <v>176</v>
      </c>
      <c r="E387" s="1">
        <v>0.34097222222222223</v>
      </c>
      <c r="F387" s="1">
        <v>0.375</v>
      </c>
      <c r="G387" s="9">
        <f t="shared" si="38"/>
        <v>44781</v>
      </c>
      <c r="H387" s="11">
        <f t="shared" si="39"/>
        <v>0.8</v>
      </c>
      <c r="I387" s="10">
        <f t="shared" ref="I387:I450" si="41">IF(H387="",H387,H387+IF(A387=A386,_xlfn.NUMBERVALUE(I386),0))</f>
        <v>0.8</v>
      </c>
      <c r="J387" s="10">
        <f t="shared" ref="J387:J450" si="42">IF(H387="",H387,7.2)</f>
        <v>7.2</v>
      </c>
      <c r="K387" s="10">
        <f t="shared" ref="K387:K450" si="43">IF(H387="",H387,H387+IF(G387=G386,_xlfn.NUMBERVALUE(K386),0))</f>
        <v>13.4</v>
      </c>
      <c r="L387" s="10">
        <f t="shared" si="40"/>
        <v>49.599999999999994</v>
      </c>
    </row>
    <row r="388" spans="1:12" x14ac:dyDescent="0.25">
      <c r="A388" s="7">
        <v>44783</v>
      </c>
      <c r="B388" t="s">
        <v>17</v>
      </c>
      <c r="C388" s="6">
        <v>2420</v>
      </c>
      <c r="D388" s="2" t="s">
        <v>178</v>
      </c>
      <c r="E388" s="1">
        <v>0.375</v>
      </c>
      <c r="F388" s="1">
        <v>0.41666666666666669</v>
      </c>
      <c r="G388" s="9">
        <f t="shared" ref="G388:G451" si="44">IF(E388&gt;0,INT((A388-2)/7)*7+2,"")</f>
        <v>44781</v>
      </c>
      <c r="H388" s="11">
        <f t="shared" ref="H388:H451" si="45">IF(E388&gt;0,ROUND(24*(IF(F388&gt;0,F388,NowTime)-E388),1),"")</f>
        <v>1</v>
      </c>
      <c r="I388" s="10">
        <f t="shared" si="41"/>
        <v>1.8</v>
      </c>
      <c r="J388" s="10">
        <f t="shared" si="42"/>
        <v>7.2</v>
      </c>
      <c r="K388" s="10">
        <f t="shared" si="43"/>
        <v>14.4</v>
      </c>
      <c r="L388" s="10">
        <f t="shared" si="40"/>
        <v>50.6</v>
      </c>
    </row>
    <row r="389" spans="1:12" x14ac:dyDescent="0.25">
      <c r="A389" s="7">
        <v>44783</v>
      </c>
      <c r="B389" t="s">
        <v>17</v>
      </c>
      <c r="C389" s="6">
        <v>2420</v>
      </c>
      <c r="D389" s="2" t="s">
        <v>176</v>
      </c>
      <c r="E389" s="1">
        <v>0.41666666666666669</v>
      </c>
      <c r="F389" s="1">
        <v>0.44791666666666669</v>
      </c>
      <c r="G389" s="9">
        <f t="shared" si="44"/>
        <v>44781</v>
      </c>
      <c r="H389" s="11">
        <f t="shared" si="45"/>
        <v>0.8</v>
      </c>
      <c r="I389" s="10">
        <f t="shared" si="41"/>
        <v>2.6</v>
      </c>
      <c r="J389" s="10">
        <f t="shared" si="42"/>
        <v>7.2</v>
      </c>
      <c r="K389" s="10">
        <f t="shared" si="43"/>
        <v>15.200000000000001</v>
      </c>
      <c r="L389" s="10">
        <f t="shared" ref="L389:L452" si="46">IF(H389="",H389,H389+IF(MONTH(A389)=MONTH(A388),_xlfn.NUMBERVALUE(L388),0))</f>
        <v>51.4</v>
      </c>
    </row>
    <row r="390" spans="1:12" x14ac:dyDescent="0.25">
      <c r="A390" s="7">
        <v>44783</v>
      </c>
      <c r="B390" t="s">
        <v>6</v>
      </c>
      <c r="C390" s="6" t="s">
        <v>416</v>
      </c>
      <c r="D390" s="2" t="s">
        <v>179</v>
      </c>
      <c r="E390" s="1">
        <v>0.44791666666666669</v>
      </c>
      <c r="F390" s="1">
        <v>0.53819444444444442</v>
      </c>
      <c r="G390" s="9">
        <f t="shared" si="44"/>
        <v>44781</v>
      </c>
      <c r="H390" s="11">
        <f t="shared" si="45"/>
        <v>2.2000000000000002</v>
      </c>
      <c r="I390" s="10">
        <f t="shared" si="41"/>
        <v>4.8000000000000007</v>
      </c>
      <c r="J390" s="10">
        <f t="shared" si="42"/>
        <v>7.2</v>
      </c>
      <c r="K390" s="10">
        <f t="shared" si="43"/>
        <v>17.399999999999999</v>
      </c>
      <c r="L390" s="10">
        <f t="shared" si="46"/>
        <v>53.6</v>
      </c>
    </row>
    <row r="391" spans="1:12" x14ac:dyDescent="0.25">
      <c r="A391" s="7">
        <v>44783</v>
      </c>
      <c r="B391" t="s">
        <v>17</v>
      </c>
      <c r="C391" s="6">
        <v>2420</v>
      </c>
      <c r="D391" s="2" t="s">
        <v>176</v>
      </c>
      <c r="E391" s="1">
        <v>0.53819444444444442</v>
      </c>
      <c r="F391" s="1">
        <v>0.58333333333333337</v>
      </c>
      <c r="G391" s="9">
        <f t="shared" si="44"/>
        <v>44781</v>
      </c>
      <c r="H391" s="11">
        <f t="shared" si="45"/>
        <v>1.1000000000000001</v>
      </c>
      <c r="I391" s="10">
        <f t="shared" si="41"/>
        <v>5.9</v>
      </c>
      <c r="J391" s="10">
        <f t="shared" si="42"/>
        <v>7.2</v>
      </c>
      <c r="K391" s="10">
        <f t="shared" si="43"/>
        <v>18.5</v>
      </c>
      <c r="L391" s="10">
        <f t="shared" si="46"/>
        <v>54.7</v>
      </c>
    </row>
    <row r="392" spans="1:12" x14ac:dyDescent="0.25">
      <c r="A392" s="7">
        <v>44783</v>
      </c>
      <c r="B392" t="s">
        <v>6</v>
      </c>
      <c r="C392" s="6" t="s">
        <v>416</v>
      </c>
      <c r="D392" s="2" t="s">
        <v>130</v>
      </c>
      <c r="E392" s="1">
        <v>0.58333333333333337</v>
      </c>
      <c r="F392" s="1">
        <v>0.60625000000000007</v>
      </c>
      <c r="G392" s="9">
        <f t="shared" si="44"/>
        <v>44781</v>
      </c>
      <c r="H392" s="11">
        <f t="shared" si="45"/>
        <v>0.6</v>
      </c>
      <c r="I392" s="10">
        <f t="shared" si="41"/>
        <v>6.5</v>
      </c>
      <c r="J392" s="10">
        <f t="shared" si="42"/>
        <v>7.2</v>
      </c>
      <c r="K392" s="10">
        <f t="shared" si="43"/>
        <v>19.100000000000001</v>
      </c>
      <c r="L392" s="10">
        <f t="shared" si="46"/>
        <v>55.300000000000004</v>
      </c>
    </row>
    <row r="393" spans="1:12" x14ac:dyDescent="0.25">
      <c r="A393" s="7">
        <v>44783</v>
      </c>
      <c r="B393" t="s">
        <v>17</v>
      </c>
      <c r="C393" s="6">
        <v>2420</v>
      </c>
      <c r="D393" s="2" t="s">
        <v>176</v>
      </c>
      <c r="E393" s="1">
        <v>0.60625000000000007</v>
      </c>
      <c r="F393" s="1">
        <v>0.64513888888888882</v>
      </c>
      <c r="G393" s="9">
        <f t="shared" si="44"/>
        <v>44781</v>
      </c>
      <c r="H393" s="11">
        <f t="shared" si="45"/>
        <v>0.9</v>
      </c>
      <c r="I393" s="10">
        <f t="shared" si="41"/>
        <v>7.4</v>
      </c>
      <c r="J393" s="10">
        <f t="shared" si="42"/>
        <v>7.2</v>
      </c>
      <c r="K393" s="10">
        <f t="shared" si="43"/>
        <v>20</v>
      </c>
      <c r="L393" s="10">
        <f t="shared" si="46"/>
        <v>56.199999999999996</v>
      </c>
    </row>
    <row r="394" spans="1:12" x14ac:dyDescent="0.25">
      <c r="A394" s="7">
        <v>44784</v>
      </c>
      <c r="B394" t="s">
        <v>17</v>
      </c>
      <c r="C394" s="6">
        <v>2420</v>
      </c>
      <c r="D394" s="2" t="s">
        <v>176</v>
      </c>
      <c r="E394" s="1">
        <v>0.33888888888888885</v>
      </c>
      <c r="F394" s="1">
        <v>0.45833333333333331</v>
      </c>
      <c r="G394" s="9">
        <f t="shared" si="44"/>
        <v>44781</v>
      </c>
      <c r="H394" s="11">
        <f t="shared" si="45"/>
        <v>2.9</v>
      </c>
      <c r="I394" s="10">
        <f t="shared" si="41"/>
        <v>2.9</v>
      </c>
      <c r="J394" s="10">
        <f t="shared" si="42"/>
        <v>7.2</v>
      </c>
      <c r="K394" s="10">
        <f t="shared" si="43"/>
        <v>22.9</v>
      </c>
      <c r="L394" s="10">
        <f t="shared" si="46"/>
        <v>59.1</v>
      </c>
    </row>
    <row r="395" spans="1:12" x14ac:dyDescent="0.25">
      <c r="A395" s="7">
        <v>44784</v>
      </c>
      <c r="B395" t="s">
        <v>19</v>
      </c>
      <c r="C395" s="6">
        <v>2675</v>
      </c>
      <c r="D395" s="2" t="s">
        <v>44</v>
      </c>
      <c r="E395" s="1">
        <v>0.45833333333333331</v>
      </c>
      <c r="F395" s="1">
        <v>0.48194444444444445</v>
      </c>
      <c r="G395" s="9">
        <f t="shared" si="44"/>
        <v>44781</v>
      </c>
      <c r="H395" s="11">
        <f t="shared" si="45"/>
        <v>0.6</v>
      </c>
      <c r="I395" s="10">
        <f t="shared" si="41"/>
        <v>3.5</v>
      </c>
      <c r="J395" s="10">
        <f t="shared" si="42"/>
        <v>7.2</v>
      </c>
      <c r="K395" s="10">
        <f t="shared" si="43"/>
        <v>23.5</v>
      </c>
      <c r="L395" s="10">
        <f t="shared" si="46"/>
        <v>59.7</v>
      </c>
    </row>
    <row r="396" spans="1:12" x14ac:dyDescent="0.25">
      <c r="A396" s="7">
        <v>44784</v>
      </c>
      <c r="B396" t="s">
        <v>17</v>
      </c>
      <c r="C396" s="6">
        <v>2420</v>
      </c>
      <c r="D396" s="2" t="s">
        <v>176</v>
      </c>
      <c r="E396" s="1">
        <v>0.48194444444444445</v>
      </c>
      <c r="F396" s="1">
        <v>0.49305555555555558</v>
      </c>
      <c r="G396" s="9">
        <f t="shared" si="44"/>
        <v>44781</v>
      </c>
      <c r="H396" s="11">
        <f t="shared" si="45"/>
        <v>0.3</v>
      </c>
      <c r="I396" s="10">
        <f t="shared" si="41"/>
        <v>3.8</v>
      </c>
      <c r="J396" s="10">
        <f t="shared" si="42"/>
        <v>7.2</v>
      </c>
      <c r="K396" s="10">
        <f t="shared" si="43"/>
        <v>23.8</v>
      </c>
      <c r="L396" s="10">
        <f t="shared" si="46"/>
        <v>60</v>
      </c>
    </row>
    <row r="397" spans="1:12" x14ac:dyDescent="0.25">
      <c r="A397" s="7">
        <v>44784</v>
      </c>
      <c r="B397" t="s">
        <v>17</v>
      </c>
      <c r="C397" s="6">
        <v>2420</v>
      </c>
      <c r="D397" s="2" t="s">
        <v>176</v>
      </c>
      <c r="E397" s="1">
        <v>0.52708333333333335</v>
      </c>
      <c r="F397" s="1">
        <v>0.65069444444444446</v>
      </c>
      <c r="G397" s="9">
        <f t="shared" si="44"/>
        <v>44781</v>
      </c>
      <c r="H397" s="11">
        <f t="shared" si="45"/>
        <v>3</v>
      </c>
      <c r="I397" s="10">
        <f t="shared" si="41"/>
        <v>6.8</v>
      </c>
      <c r="J397" s="10">
        <f t="shared" si="42"/>
        <v>7.2</v>
      </c>
      <c r="K397" s="10">
        <f t="shared" si="43"/>
        <v>26.8</v>
      </c>
      <c r="L397" s="10">
        <f t="shared" si="46"/>
        <v>63</v>
      </c>
    </row>
    <row r="398" spans="1:12" x14ac:dyDescent="0.25">
      <c r="A398" s="7">
        <v>44785</v>
      </c>
      <c r="B398" t="s">
        <v>17</v>
      </c>
      <c r="C398" s="6">
        <v>2420</v>
      </c>
      <c r="D398" s="2" t="s">
        <v>181</v>
      </c>
      <c r="E398" s="1">
        <v>0.33888888888888885</v>
      </c>
      <c r="F398" s="1">
        <v>0.39583333333333331</v>
      </c>
      <c r="G398" s="9">
        <f t="shared" si="44"/>
        <v>44781</v>
      </c>
      <c r="H398" s="11">
        <f t="shared" si="45"/>
        <v>1.4</v>
      </c>
      <c r="I398" s="10">
        <f t="shared" si="41"/>
        <v>1.4</v>
      </c>
      <c r="J398" s="10">
        <f t="shared" si="42"/>
        <v>7.2</v>
      </c>
      <c r="K398" s="10">
        <f t="shared" si="43"/>
        <v>28.2</v>
      </c>
      <c r="L398" s="10">
        <f t="shared" si="46"/>
        <v>64.400000000000006</v>
      </c>
    </row>
    <row r="399" spans="1:12" x14ac:dyDescent="0.25">
      <c r="A399" s="7">
        <v>44785</v>
      </c>
      <c r="B399" t="s">
        <v>6</v>
      </c>
      <c r="C399" s="6" t="s">
        <v>416</v>
      </c>
      <c r="D399" s="2" t="s">
        <v>180</v>
      </c>
      <c r="E399" s="1">
        <v>0.39583333333333331</v>
      </c>
      <c r="F399" s="1">
        <v>0.4375</v>
      </c>
      <c r="G399" s="9">
        <f t="shared" si="44"/>
        <v>44781</v>
      </c>
      <c r="H399" s="11">
        <f t="shared" si="45"/>
        <v>1</v>
      </c>
      <c r="I399" s="10">
        <f t="shared" si="41"/>
        <v>2.4</v>
      </c>
      <c r="J399" s="10">
        <f t="shared" si="42"/>
        <v>7.2</v>
      </c>
      <c r="K399" s="10">
        <f t="shared" si="43"/>
        <v>29.2</v>
      </c>
      <c r="L399" s="10">
        <f t="shared" si="46"/>
        <v>65.400000000000006</v>
      </c>
    </row>
    <row r="400" spans="1:12" x14ac:dyDescent="0.25">
      <c r="A400" s="7">
        <v>44785</v>
      </c>
      <c r="B400" t="s">
        <v>17</v>
      </c>
      <c r="C400" s="6">
        <v>2420</v>
      </c>
      <c r="D400" s="2" t="s">
        <v>181</v>
      </c>
      <c r="E400" s="1">
        <v>0.4375</v>
      </c>
      <c r="F400" s="1">
        <v>0.49722222222222223</v>
      </c>
      <c r="G400" s="9">
        <f t="shared" si="44"/>
        <v>44781</v>
      </c>
      <c r="H400" s="11">
        <f t="shared" si="45"/>
        <v>1.4</v>
      </c>
      <c r="I400" s="10">
        <f t="shared" si="41"/>
        <v>3.8</v>
      </c>
      <c r="J400" s="10">
        <f t="shared" si="42"/>
        <v>7.2</v>
      </c>
      <c r="K400" s="10">
        <f t="shared" si="43"/>
        <v>30.599999999999998</v>
      </c>
      <c r="L400" s="10">
        <f t="shared" si="46"/>
        <v>66.800000000000011</v>
      </c>
    </row>
    <row r="401" spans="1:12" x14ac:dyDescent="0.25">
      <c r="A401" s="7">
        <v>44785</v>
      </c>
      <c r="B401" t="s">
        <v>17</v>
      </c>
      <c r="C401" s="6">
        <v>2420</v>
      </c>
      <c r="D401" s="2" t="s">
        <v>181</v>
      </c>
      <c r="E401" s="1">
        <v>0.50972222222222219</v>
      </c>
      <c r="F401" s="1">
        <v>0.63263888888888886</v>
      </c>
      <c r="G401" s="9">
        <f t="shared" si="44"/>
        <v>44781</v>
      </c>
      <c r="H401" s="11">
        <f t="shared" si="45"/>
        <v>3</v>
      </c>
      <c r="I401" s="10">
        <f t="shared" si="41"/>
        <v>6.8</v>
      </c>
      <c r="J401" s="10">
        <f t="shared" si="42"/>
        <v>7.2</v>
      </c>
      <c r="K401" s="10">
        <f t="shared" si="43"/>
        <v>33.6</v>
      </c>
      <c r="L401" s="10">
        <f t="shared" si="46"/>
        <v>69.8</v>
      </c>
    </row>
    <row r="402" spans="1:12" x14ac:dyDescent="0.25">
      <c r="A402" s="7">
        <v>44788</v>
      </c>
      <c r="B402" t="s">
        <v>19</v>
      </c>
      <c r="C402" s="6">
        <v>2675</v>
      </c>
      <c r="D402" s="2" t="s">
        <v>90</v>
      </c>
      <c r="E402" s="1">
        <v>0.33680555555555558</v>
      </c>
      <c r="F402" s="1">
        <v>0.41666666666666669</v>
      </c>
      <c r="G402" s="9">
        <f t="shared" si="44"/>
        <v>44788</v>
      </c>
      <c r="H402" s="11">
        <f t="shared" si="45"/>
        <v>1.9</v>
      </c>
      <c r="I402" s="10">
        <f t="shared" si="41"/>
        <v>1.9</v>
      </c>
      <c r="J402" s="10">
        <f t="shared" si="42"/>
        <v>7.2</v>
      </c>
      <c r="K402" s="10">
        <f t="shared" si="43"/>
        <v>1.9</v>
      </c>
      <c r="L402" s="10">
        <f t="shared" si="46"/>
        <v>71.7</v>
      </c>
    </row>
    <row r="403" spans="1:12" x14ac:dyDescent="0.25">
      <c r="A403" s="7">
        <v>44788</v>
      </c>
      <c r="B403" t="s">
        <v>6</v>
      </c>
      <c r="C403" s="6" t="s">
        <v>416</v>
      </c>
      <c r="D403" s="2" t="s">
        <v>112</v>
      </c>
      <c r="E403" s="1">
        <v>0.41666666666666669</v>
      </c>
      <c r="F403" s="1">
        <v>0.45833333333333331</v>
      </c>
      <c r="G403" s="9">
        <f t="shared" si="44"/>
        <v>44788</v>
      </c>
      <c r="H403" s="11">
        <f t="shared" si="45"/>
        <v>1</v>
      </c>
      <c r="I403" s="10">
        <f t="shared" si="41"/>
        <v>2.9</v>
      </c>
      <c r="J403" s="10">
        <f t="shared" si="42"/>
        <v>7.2</v>
      </c>
      <c r="K403" s="10">
        <f t="shared" si="43"/>
        <v>2.9</v>
      </c>
      <c r="L403" s="10">
        <f t="shared" si="46"/>
        <v>72.7</v>
      </c>
    </row>
    <row r="404" spans="1:12" x14ac:dyDescent="0.25">
      <c r="A404" s="7">
        <v>44788</v>
      </c>
      <c r="B404" t="s">
        <v>17</v>
      </c>
      <c r="C404" s="6">
        <v>2420</v>
      </c>
      <c r="D404" s="2" t="s">
        <v>32</v>
      </c>
      <c r="E404" s="1">
        <v>0.45833333333333331</v>
      </c>
      <c r="F404" s="1">
        <v>0.4909722222222222</v>
      </c>
      <c r="G404" s="9">
        <f t="shared" si="44"/>
        <v>44788</v>
      </c>
      <c r="H404" s="11">
        <f t="shared" si="45"/>
        <v>0.8</v>
      </c>
      <c r="I404" s="10">
        <f t="shared" si="41"/>
        <v>3.7</v>
      </c>
      <c r="J404" s="10">
        <f t="shared" si="42"/>
        <v>7.2</v>
      </c>
      <c r="K404" s="10">
        <f t="shared" si="43"/>
        <v>3.7</v>
      </c>
      <c r="L404" s="10">
        <f t="shared" si="46"/>
        <v>73.5</v>
      </c>
    </row>
    <row r="405" spans="1:12" x14ac:dyDescent="0.25">
      <c r="A405" s="7">
        <v>44788</v>
      </c>
      <c r="B405" t="s">
        <v>19</v>
      </c>
      <c r="C405" s="6">
        <v>2675</v>
      </c>
      <c r="D405" s="2" t="s">
        <v>90</v>
      </c>
      <c r="E405" s="1">
        <v>0.54027777777777775</v>
      </c>
      <c r="F405" s="1">
        <v>0.69513888888888886</v>
      </c>
      <c r="G405" s="9">
        <f t="shared" si="44"/>
        <v>44788</v>
      </c>
      <c r="H405" s="11">
        <f t="shared" si="45"/>
        <v>3.7</v>
      </c>
      <c r="I405" s="10">
        <f t="shared" si="41"/>
        <v>7.4</v>
      </c>
      <c r="J405" s="10">
        <f t="shared" si="42"/>
        <v>7.2</v>
      </c>
      <c r="K405" s="10">
        <f t="shared" si="43"/>
        <v>7.4</v>
      </c>
      <c r="L405" s="10">
        <f t="shared" si="46"/>
        <v>77.2</v>
      </c>
    </row>
    <row r="406" spans="1:12" x14ac:dyDescent="0.25">
      <c r="A406" s="7">
        <v>44789</v>
      </c>
      <c r="B406" t="s">
        <v>19</v>
      </c>
      <c r="C406" s="6">
        <v>2675</v>
      </c>
      <c r="D406" s="2" t="s">
        <v>184</v>
      </c>
      <c r="E406" s="1">
        <v>0.31458333333333333</v>
      </c>
      <c r="F406" s="1">
        <v>0.48125000000000001</v>
      </c>
      <c r="G406" s="9">
        <f t="shared" si="44"/>
        <v>44788</v>
      </c>
      <c r="H406" s="11">
        <f t="shared" si="45"/>
        <v>4</v>
      </c>
      <c r="I406" s="10">
        <f t="shared" si="41"/>
        <v>4</v>
      </c>
      <c r="J406" s="10">
        <f t="shared" si="42"/>
        <v>7.2</v>
      </c>
      <c r="K406" s="10">
        <f t="shared" si="43"/>
        <v>11.4</v>
      </c>
      <c r="L406" s="10">
        <f t="shared" si="46"/>
        <v>81.2</v>
      </c>
    </row>
    <row r="407" spans="1:12" x14ac:dyDescent="0.25">
      <c r="A407" s="7">
        <v>44789</v>
      </c>
      <c r="B407" t="s">
        <v>19</v>
      </c>
      <c r="C407" s="6">
        <v>2675</v>
      </c>
      <c r="D407" s="2" t="s">
        <v>184</v>
      </c>
      <c r="E407" s="1">
        <v>0.49444444444444446</v>
      </c>
      <c r="F407" s="1">
        <v>0.54166666666666663</v>
      </c>
      <c r="G407" s="9">
        <f t="shared" si="44"/>
        <v>44788</v>
      </c>
      <c r="H407" s="11">
        <f t="shared" si="45"/>
        <v>1.1000000000000001</v>
      </c>
      <c r="I407" s="10">
        <f t="shared" si="41"/>
        <v>5.0999999999999996</v>
      </c>
      <c r="J407" s="10">
        <f t="shared" si="42"/>
        <v>7.2</v>
      </c>
      <c r="K407" s="10">
        <f t="shared" si="43"/>
        <v>12.5</v>
      </c>
      <c r="L407" s="10">
        <f t="shared" si="46"/>
        <v>82.3</v>
      </c>
    </row>
    <row r="408" spans="1:12" x14ac:dyDescent="0.25">
      <c r="A408" s="7">
        <v>44789</v>
      </c>
      <c r="B408" t="s">
        <v>17</v>
      </c>
      <c r="C408" s="6">
        <v>2420</v>
      </c>
      <c r="D408" s="2" t="s">
        <v>182</v>
      </c>
      <c r="E408" s="1">
        <v>0.54166666666666663</v>
      </c>
      <c r="F408" s="1">
        <v>0.59861111111111109</v>
      </c>
      <c r="G408" s="9">
        <f t="shared" si="44"/>
        <v>44788</v>
      </c>
      <c r="H408" s="11">
        <f t="shared" si="45"/>
        <v>1.4</v>
      </c>
      <c r="I408" s="10">
        <f t="shared" si="41"/>
        <v>6.5</v>
      </c>
      <c r="J408" s="10">
        <f t="shared" si="42"/>
        <v>7.2</v>
      </c>
      <c r="K408" s="10">
        <f t="shared" si="43"/>
        <v>13.9</v>
      </c>
      <c r="L408" s="10">
        <f t="shared" si="46"/>
        <v>83.7</v>
      </c>
    </row>
    <row r="409" spans="1:12" x14ac:dyDescent="0.25">
      <c r="A409" s="7">
        <v>44789</v>
      </c>
      <c r="B409" t="s">
        <v>19</v>
      </c>
      <c r="C409" s="6">
        <v>2675</v>
      </c>
      <c r="D409" s="2" t="s">
        <v>184</v>
      </c>
      <c r="E409" s="1">
        <v>0.59861111111111109</v>
      </c>
      <c r="F409" s="1">
        <v>0.63611111111111118</v>
      </c>
      <c r="G409" s="9">
        <f t="shared" si="44"/>
        <v>44788</v>
      </c>
      <c r="H409" s="11">
        <f t="shared" si="45"/>
        <v>0.9</v>
      </c>
      <c r="I409" s="10">
        <f t="shared" si="41"/>
        <v>7.4</v>
      </c>
      <c r="J409" s="10">
        <f t="shared" si="42"/>
        <v>7.2</v>
      </c>
      <c r="K409" s="10">
        <f t="shared" si="43"/>
        <v>14.8</v>
      </c>
      <c r="L409" s="10">
        <f t="shared" si="46"/>
        <v>84.600000000000009</v>
      </c>
    </row>
    <row r="410" spans="1:12" x14ac:dyDescent="0.25">
      <c r="A410" s="7">
        <v>44790</v>
      </c>
      <c r="B410" t="s">
        <v>17</v>
      </c>
      <c r="C410" s="6">
        <v>2420</v>
      </c>
      <c r="D410" s="2" t="s">
        <v>171</v>
      </c>
      <c r="E410" s="1">
        <v>0.25347222222222221</v>
      </c>
      <c r="F410" s="1">
        <v>0.33263888888888887</v>
      </c>
      <c r="G410" s="9">
        <f t="shared" si="44"/>
        <v>44788</v>
      </c>
      <c r="H410" s="11">
        <f t="shared" si="45"/>
        <v>1.9</v>
      </c>
      <c r="I410" s="10">
        <f t="shared" si="41"/>
        <v>1.9</v>
      </c>
      <c r="J410" s="10">
        <f t="shared" si="42"/>
        <v>7.2</v>
      </c>
      <c r="K410" s="10">
        <f t="shared" si="43"/>
        <v>16.7</v>
      </c>
      <c r="L410" s="10">
        <f t="shared" si="46"/>
        <v>86.5</v>
      </c>
    </row>
    <row r="411" spans="1:12" x14ac:dyDescent="0.25">
      <c r="A411" s="7">
        <v>44790</v>
      </c>
      <c r="B411" t="s">
        <v>19</v>
      </c>
      <c r="C411" s="6">
        <v>2675</v>
      </c>
      <c r="D411" s="2" t="s">
        <v>184</v>
      </c>
      <c r="E411" s="1">
        <v>0.36041666666666666</v>
      </c>
      <c r="F411" s="1">
        <v>0.41666666666666669</v>
      </c>
      <c r="G411" s="9">
        <f t="shared" si="44"/>
        <v>44788</v>
      </c>
      <c r="H411" s="11">
        <f t="shared" si="45"/>
        <v>1.4</v>
      </c>
      <c r="I411" s="10">
        <f t="shared" si="41"/>
        <v>3.3</v>
      </c>
      <c r="J411" s="10">
        <f t="shared" si="42"/>
        <v>7.2</v>
      </c>
      <c r="K411" s="10">
        <f t="shared" si="43"/>
        <v>18.099999999999998</v>
      </c>
      <c r="L411" s="10">
        <f t="shared" si="46"/>
        <v>87.9</v>
      </c>
    </row>
    <row r="412" spans="1:12" x14ac:dyDescent="0.25">
      <c r="A412" s="7">
        <v>44790</v>
      </c>
      <c r="B412" t="s">
        <v>6</v>
      </c>
      <c r="C412" s="6" t="s">
        <v>416</v>
      </c>
      <c r="D412" s="2" t="s">
        <v>183</v>
      </c>
      <c r="E412" s="1">
        <v>0.41666666666666669</v>
      </c>
      <c r="F412" s="1">
        <v>0.48819444444444443</v>
      </c>
      <c r="G412" s="9">
        <f t="shared" si="44"/>
        <v>44788</v>
      </c>
      <c r="H412" s="11">
        <f t="shared" si="45"/>
        <v>1.7</v>
      </c>
      <c r="I412" s="10">
        <f t="shared" si="41"/>
        <v>5</v>
      </c>
      <c r="J412" s="10">
        <f t="shared" si="42"/>
        <v>7.2</v>
      </c>
      <c r="K412" s="10">
        <f t="shared" si="43"/>
        <v>19.8</v>
      </c>
      <c r="L412" s="10">
        <f t="shared" si="46"/>
        <v>89.600000000000009</v>
      </c>
    </row>
    <row r="413" spans="1:12" x14ac:dyDescent="0.25">
      <c r="A413" s="7">
        <v>44790</v>
      </c>
      <c r="B413" t="s">
        <v>19</v>
      </c>
      <c r="C413" s="6">
        <v>2675</v>
      </c>
      <c r="D413" s="2" t="s">
        <v>184</v>
      </c>
      <c r="E413" s="1">
        <v>0.51736111111111105</v>
      </c>
      <c r="F413" s="1">
        <v>0.58333333333333337</v>
      </c>
      <c r="G413" s="9">
        <f t="shared" si="44"/>
        <v>44788</v>
      </c>
      <c r="H413" s="11">
        <f t="shared" si="45"/>
        <v>1.6</v>
      </c>
      <c r="I413" s="10">
        <f t="shared" si="41"/>
        <v>6.6</v>
      </c>
      <c r="J413" s="10">
        <f t="shared" si="42"/>
        <v>7.2</v>
      </c>
      <c r="K413" s="10">
        <f t="shared" si="43"/>
        <v>21.400000000000002</v>
      </c>
      <c r="L413" s="10">
        <f t="shared" si="46"/>
        <v>91.199999999999989</v>
      </c>
    </row>
    <row r="414" spans="1:12" x14ac:dyDescent="0.25">
      <c r="A414" s="7">
        <v>44790</v>
      </c>
      <c r="B414" t="s">
        <v>126</v>
      </c>
      <c r="C414" s="6" t="s">
        <v>125</v>
      </c>
      <c r="D414" s="2" t="s">
        <v>185</v>
      </c>
      <c r="E414" s="1">
        <v>0.58333333333333337</v>
      </c>
      <c r="F414" s="1">
        <v>0.62083333333333335</v>
      </c>
      <c r="G414" s="9">
        <f t="shared" si="44"/>
        <v>44788</v>
      </c>
      <c r="H414" s="11">
        <f t="shared" si="45"/>
        <v>0.9</v>
      </c>
      <c r="I414" s="10">
        <f t="shared" si="41"/>
        <v>7.5</v>
      </c>
      <c r="J414" s="10">
        <f t="shared" si="42"/>
        <v>7.2</v>
      </c>
      <c r="K414" s="10">
        <f t="shared" si="43"/>
        <v>22.299999999999997</v>
      </c>
      <c r="L414" s="10">
        <f t="shared" si="46"/>
        <v>92.100000000000009</v>
      </c>
    </row>
    <row r="415" spans="1:12" x14ac:dyDescent="0.25">
      <c r="A415" s="7">
        <v>44790</v>
      </c>
      <c r="B415" t="s">
        <v>19</v>
      </c>
      <c r="C415" s="6">
        <v>2675</v>
      </c>
      <c r="D415" s="2" t="s">
        <v>184</v>
      </c>
      <c r="E415" s="1">
        <v>0.62083333333333335</v>
      </c>
      <c r="F415" s="1">
        <v>0.62708333333333333</v>
      </c>
      <c r="G415" s="9">
        <f t="shared" si="44"/>
        <v>44788</v>
      </c>
      <c r="H415" s="11">
        <f t="shared" si="45"/>
        <v>0.1</v>
      </c>
      <c r="I415" s="10">
        <f t="shared" si="41"/>
        <v>7.6</v>
      </c>
      <c r="J415" s="10">
        <f t="shared" si="42"/>
        <v>7.2</v>
      </c>
      <c r="K415" s="10">
        <f t="shared" si="43"/>
        <v>22.400000000000002</v>
      </c>
      <c r="L415" s="10">
        <f t="shared" si="46"/>
        <v>92.199999999999989</v>
      </c>
    </row>
    <row r="416" spans="1:12" x14ac:dyDescent="0.25">
      <c r="A416" s="7">
        <v>44791</v>
      </c>
      <c r="B416" t="s">
        <v>7</v>
      </c>
      <c r="C416" s="6" t="s">
        <v>22</v>
      </c>
      <c r="D416" s="2" t="s">
        <v>186</v>
      </c>
      <c r="E416" s="1">
        <v>0.40972222222222227</v>
      </c>
      <c r="F416" s="1">
        <v>0.70833333333333337</v>
      </c>
      <c r="G416" s="9">
        <f t="shared" si="44"/>
        <v>44788</v>
      </c>
      <c r="H416" s="11">
        <f t="shared" si="45"/>
        <v>7.2</v>
      </c>
      <c r="I416" s="10">
        <f t="shared" si="41"/>
        <v>7.2</v>
      </c>
      <c r="J416" s="10">
        <f t="shared" si="42"/>
        <v>7.2</v>
      </c>
      <c r="K416" s="10">
        <f t="shared" si="43"/>
        <v>29.599999999999998</v>
      </c>
      <c r="L416" s="10">
        <f t="shared" si="46"/>
        <v>99.4</v>
      </c>
    </row>
    <row r="417" spans="1:12" x14ac:dyDescent="0.25">
      <c r="A417" s="7">
        <v>44792</v>
      </c>
      <c r="B417" t="s">
        <v>7</v>
      </c>
      <c r="C417" s="6" t="s">
        <v>22</v>
      </c>
      <c r="D417" s="2" t="s">
        <v>186</v>
      </c>
      <c r="E417" s="1">
        <v>0.40972222222222227</v>
      </c>
      <c r="F417" s="1">
        <v>0.70833333333333337</v>
      </c>
      <c r="G417" s="9">
        <f t="shared" si="44"/>
        <v>44788</v>
      </c>
      <c r="H417" s="11">
        <f t="shared" si="45"/>
        <v>7.2</v>
      </c>
      <c r="I417" s="10">
        <f t="shared" si="41"/>
        <v>7.2</v>
      </c>
      <c r="J417" s="10">
        <f t="shared" si="42"/>
        <v>7.2</v>
      </c>
      <c r="K417" s="10">
        <f t="shared" si="43"/>
        <v>36.800000000000004</v>
      </c>
      <c r="L417" s="10">
        <f t="shared" si="46"/>
        <v>106.60000000000001</v>
      </c>
    </row>
    <row r="418" spans="1:12" x14ac:dyDescent="0.25">
      <c r="A418" s="7">
        <v>44795</v>
      </c>
      <c r="B418" t="s">
        <v>7</v>
      </c>
      <c r="C418" s="6" t="s">
        <v>22</v>
      </c>
      <c r="D418" s="2" t="s">
        <v>186</v>
      </c>
      <c r="E418" s="1">
        <v>0.40972222222222227</v>
      </c>
      <c r="F418" s="1">
        <v>0.70833333333333337</v>
      </c>
      <c r="G418" s="9">
        <f t="shared" si="44"/>
        <v>44795</v>
      </c>
      <c r="H418" s="11">
        <f t="shared" si="45"/>
        <v>7.2</v>
      </c>
      <c r="I418" s="10">
        <f t="shared" si="41"/>
        <v>7.2</v>
      </c>
      <c r="J418" s="10">
        <f t="shared" si="42"/>
        <v>7.2</v>
      </c>
      <c r="K418" s="10">
        <f t="shared" si="43"/>
        <v>7.2</v>
      </c>
      <c r="L418" s="10">
        <f t="shared" si="46"/>
        <v>113.8</v>
      </c>
    </row>
    <row r="419" spans="1:12" x14ac:dyDescent="0.25">
      <c r="A419" s="7">
        <v>44796</v>
      </c>
      <c r="B419" t="s">
        <v>7</v>
      </c>
      <c r="C419" s="6" t="s">
        <v>22</v>
      </c>
      <c r="D419" s="2" t="s">
        <v>186</v>
      </c>
      <c r="E419" s="1">
        <v>0.40972222222222227</v>
      </c>
      <c r="F419" s="1">
        <v>0.70833333333333337</v>
      </c>
      <c r="G419" s="9">
        <f t="shared" si="44"/>
        <v>44795</v>
      </c>
      <c r="H419" s="11">
        <f t="shared" si="45"/>
        <v>7.2</v>
      </c>
      <c r="I419" s="10">
        <f t="shared" si="41"/>
        <v>7.2</v>
      </c>
      <c r="J419" s="10">
        <f t="shared" si="42"/>
        <v>7.2</v>
      </c>
      <c r="K419" s="10">
        <f t="shared" si="43"/>
        <v>14.4</v>
      </c>
      <c r="L419" s="10">
        <f t="shared" si="46"/>
        <v>121</v>
      </c>
    </row>
    <row r="420" spans="1:12" x14ac:dyDescent="0.25">
      <c r="A420" s="7">
        <v>44797</v>
      </c>
      <c r="B420" t="s">
        <v>7</v>
      </c>
      <c r="C420" s="6" t="s">
        <v>22</v>
      </c>
      <c r="D420" s="2" t="s">
        <v>186</v>
      </c>
      <c r="E420" s="1">
        <v>0.40972222222222227</v>
      </c>
      <c r="F420" s="1">
        <v>0.70833333333333337</v>
      </c>
      <c r="G420" s="9">
        <f t="shared" si="44"/>
        <v>44795</v>
      </c>
      <c r="H420" s="11">
        <f t="shared" si="45"/>
        <v>7.2</v>
      </c>
      <c r="I420" s="10">
        <f t="shared" si="41"/>
        <v>7.2</v>
      </c>
      <c r="J420" s="10">
        <f t="shared" si="42"/>
        <v>7.2</v>
      </c>
      <c r="K420" s="10">
        <f t="shared" si="43"/>
        <v>21.6</v>
      </c>
      <c r="L420" s="10">
        <f t="shared" si="46"/>
        <v>128.19999999999999</v>
      </c>
    </row>
    <row r="421" spans="1:12" x14ac:dyDescent="0.25">
      <c r="A421" s="7">
        <v>44798</v>
      </c>
      <c r="B421" t="s">
        <v>7</v>
      </c>
      <c r="C421" s="6" t="s">
        <v>22</v>
      </c>
      <c r="D421" s="2" t="s">
        <v>186</v>
      </c>
      <c r="E421" s="1">
        <v>0.40972222222222227</v>
      </c>
      <c r="F421" s="1">
        <v>0.70833333333333337</v>
      </c>
      <c r="G421" s="9">
        <f t="shared" si="44"/>
        <v>44795</v>
      </c>
      <c r="H421" s="11">
        <f t="shared" si="45"/>
        <v>7.2</v>
      </c>
      <c r="I421" s="10">
        <f t="shared" si="41"/>
        <v>7.2</v>
      </c>
      <c r="J421" s="10">
        <f t="shared" si="42"/>
        <v>7.2</v>
      </c>
      <c r="K421" s="10">
        <f t="shared" si="43"/>
        <v>28.8</v>
      </c>
      <c r="L421" s="10">
        <f t="shared" si="46"/>
        <v>135.39999999999998</v>
      </c>
    </row>
    <row r="422" spans="1:12" x14ac:dyDescent="0.25">
      <c r="A422" s="7">
        <v>44799</v>
      </c>
      <c r="B422" t="s">
        <v>6</v>
      </c>
      <c r="C422" s="6" t="s">
        <v>416</v>
      </c>
      <c r="D422" s="2" t="s">
        <v>145</v>
      </c>
      <c r="E422" s="1">
        <v>0.38541666666666669</v>
      </c>
      <c r="F422" s="1">
        <v>0.45833333333333331</v>
      </c>
      <c r="G422" s="9">
        <f t="shared" si="44"/>
        <v>44795</v>
      </c>
      <c r="H422" s="11">
        <f t="shared" si="45"/>
        <v>1.8</v>
      </c>
      <c r="I422" s="10">
        <f t="shared" si="41"/>
        <v>1.8</v>
      </c>
      <c r="J422" s="10">
        <f t="shared" si="42"/>
        <v>7.2</v>
      </c>
      <c r="K422" s="10">
        <f t="shared" si="43"/>
        <v>30.6</v>
      </c>
      <c r="L422" s="10">
        <f t="shared" si="46"/>
        <v>137.20000000000002</v>
      </c>
    </row>
    <row r="423" spans="1:12" x14ac:dyDescent="0.25">
      <c r="A423" s="7">
        <v>44799</v>
      </c>
      <c r="B423" t="s">
        <v>19</v>
      </c>
      <c r="C423" s="6">
        <v>2675</v>
      </c>
      <c r="D423" s="2" t="s">
        <v>44</v>
      </c>
      <c r="E423" s="1">
        <v>0.45833333333333331</v>
      </c>
      <c r="F423" s="1">
        <v>0.50763888888888886</v>
      </c>
      <c r="G423" s="9">
        <f t="shared" si="44"/>
        <v>44795</v>
      </c>
      <c r="H423" s="11">
        <f t="shared" si="45"/>
        <v>1.2</v>
      </c>
      <c r="I423" s="10">
        <f t="shared" si="41"/>
        <v>3</v>
      </c>
      <c r="J423" s="10">
        <f t="shared" si="42"/>
        <v>7.2</v>
      </c>
      <c r="K423" s="10">
        <f t="shared" si="43"/>
        <v>31.8</v>
      </c>
      <c r="L423" s="10">
        <f t="shared" si="46"/>
        <v>138.39999999999998</v>
      </c>
    </row>
    <row r="424" spans="1:12" x14ac:dyDescent="0.25">
      <c r="A424" s="7">
        <v>44799</v>
      </c>
      <c r="B424" t="s">
        <v>6</v>
      </c>
      <c r="C424" s="6" t="s">
        <v>416</v>
      </c>
      <c r="D424" s="2" t="s">
        <v>187</v>
      </c>
      <c r="E424" s="1">
        <v>0.53263888888888888</v>
      </c>
      <c r="F424" s="1">
        <v>0.58680555555555558</v>
      </c>
      <c r="G424" s="9">
        <f t="shared" si="44"/>
        <v>44795</v>
      </c>
      <c r="H424" s="11">
        <f t="shared" si="45"/>
        <v>1.3</v>
      </c>
      <c r="I424" s="10">
        <f t="shared" si="41"/>
        <v>4.3</v>
      </c>
      <c r="J424" s="10">
        <f t="shared" si="42"/>
        <v>7.2</v>
      </c>
      <c r="K424" s="10">
        <f t="shared" si="43"/>
        <v>33.1</v>
      </c>
      <c r="L424" s="10">
        <f t="shared" si="46"/>
        <v>139.70000000000002</v>
      </c>
    </row>
    <row r="425" spans="1:12" x14ac:dyDescent="0.25">
      <c r="A425" s="7">
        <v>44799</v>
      </c>
      <c r="B425" t="s">
        <v>6</v>
      </c>
      <c r="C425" s="6" t="s">
        <v>416</v>
      </c>
      <c r="D425" s="2" t="s">
        <v>188</v>
      </c>
      <c r="E425" s="1">
        <v>0.58680555555555558</v>
      </c>
      <c r="F425" s="1">
        <v>0.62777777777777777</v>
      </c>
      <c r="G425" s="9">
        <f t="shared" si="44"/>
        <v>44795</v>
      </c>
      <c r="H425" s="11">
        <f t="shared" si="45"/>
        <v>1</v>
      </c>
      <c r="I425" s="10">
        <f t="shared" si="41"/>
        <v>5.3</v>
      </c>
      <c r="J425" s="10">
        <f t="shared" si="42"/>
        <v>7.2</v>
      </c>
      <c r="K425" s="10">
        <f t="shared" si="43"/>
        <v>34.1</v>
      </c>
      <c r="L425" s="10">
        <f t="shared" si="46"/>
        <v>140.69999999999999</v>
      </c>
    </row>
    <row r="426" spans="1:12" x14ac:dyDescent="0.25">
      <c r="A426" s="7">
        <v>44802</v>
      </c>
      <c r="B426" t="s">
        <v>19</v>
      </c>
      <c r="C426" s="6">
        <v>2675</v>
      </c>
      <c r="D426" s="2" t="s">
        <v>184</v>
      </c>
      <c r="E426" s="1">
        <v>0.33333333333333331</v>
      </c>
      <c r="F426" s="1">
        <v>0.41666666666666669</v>
      </c>
      <c r="G426" s="9">
        <f t="shared" si="44"/>
        <v>44802</v>
      </c>
      <c r="H426" s="11">
        <f t="shared" si="45"/>
        <v>2</v>
      </c>
      <c r="I426" s="10">
        <f t="shared" si="41"/>
        <v>2</v>
      </c>
      <c r="J426" s="10">
        <f t="shared" si="42"/>
        <v>7.2</v>
      </c>
      <c r="K426" s="10">
        <f t="shared" si="43"/>
        <v>2</v>
      </c>
      <c r="L426" s="10">
        <f t="shared" si="46"/>
        <v>142.69999999999999</v>
      </c>
    </row>
    <row r="427" spans="1:12" x14ac:dyDescent="0.25">
      <c r="A427" s="7">
        <v>44802</v>
      </c>
      <c r="B427" t="s">
        <v>6</v>
      </c>
      <c r="C427" s="6" t="s">
        <v>416</v>
      </c>
      <c r="D427" s="2" t="s">
        <v>112</v>
      </c>
      <c r="E427" s="1">
        <v>0.41666666666666669</v>
      </c>
      <c r="F427" s="1">
        <v>0.45</v>
      </c>
      <c r="G427" s="9">
        <f t="shared" si="44"/>
        <v>44802</v>
      </c>
      <c r="H427" s="11">
        <f t="shared" si="45"/>
        <v>0.8</v>
      </c>
      <c r="I427" s="10">
        <f t="shared" si="41"/>
        <v>2.8</v>
      </c>
      <c r="J427" s="10">
        <f t="shared" si="42"/>
        <v>7.2</v>
      </c>
      <c r="K427" s="10">
        <f t="shared" si="43"/>
        <v>2.8</v>
      </c>
      <c r="L427" s="10">
        <f t="shared" si="46"/>
        <v>143.5</v>
      </c>
    </row>
    <row r="428" spans="1:12" x14ac:dyDescent="0.25">
      <c r="A428" s="7">
        <v>44802</v>
      </c>
      <c r="B428" t="s">
        <v>19</v>
      </c>
      <c r="C428" s="6">
        <v>2675</v>
      </c>
      <c r="D428" s="2" t="s">
        <v>184</v>
      </c>
      <c r="E428" s="1">
        <v>0.45</v>
      </c>
      <c r="F428" s="1">
        <v>0.49513888888888885</v>
      </c>
      <c r="G428" s="9">
        <f t="shared" si="44"/>
        <v>44802</v>
      </c>
      <c r="H428" s="11">
        <f t="shared" si="45"/>
        <v>1.1000000000000001</v>
      </c>
      <c r="I428" s="10">
        <f t="shared" si="41"/>
        <v>3.9</v>
      </c>
      <c r="J428" s="10">
        <f t="shared" si="42"/>
        <v>7.2</v>
      </c>
      <c r="K428" s="10">
        <f t="shared" si="43"/>
        <v>3.9</v>
      </c>
      <c r="L428" s="10">
        <f t="shared" si="46"/>
        <v>144.6</v>
      </c>
    </row>
    <row r="429" spans="1:12" x14ac:dyDescent="0.25">
      <c r="A429" s="7">
        <v>44802</v>
      </c>
      <c r="B429" t="s">
        <v>19</v>
      </c>
      <c r="C429" s="6">
        <v>2675</v>
      </c>
      <c r="D429" s="2" t="s">
        <v>184</v>
      </c>
      <c r="E429" s="1">
        <v>0.50694444444444442</v>
      </c>
      <c r="F429" s="1">
        <v>0.5625</v>
      </c>
      <c r="G429" s="9">
        <f t="shared" si="44"/>
        <v>44802</v>
      </c>
      <c r="H429" s="11">
        <f t="shared" si="45"/>
        <v>1.3</v>
      </c>
      <c r="I429" s="10">
        <f t="shared" si="41"/>
        <v>5.2</v>
      </c>
      <c r="J429" s="10">
        <f t="shared" si="42"/>
        <v>7.2</v>
      </c>
      <c r="K429" s="10">
        <f t="shared" si="43"/>
        <v>5.2</v>
      </c>
      <c r="L429" s="10">
        <f t="shared" si="46"/>
        <v>145.9</v>
      </c>
    </row>
    <row r="430" spans="1:12" x14ac:dyDescent="0.25">
      <c r="A430" s="7">
        <v>44802</v>
      </c>
      <c r="B430" t="s">
        <v>126</v>
      </c>
      <c r="C430" s="6" t="s">
        <v>125</v>
      </c>
      <c r="D430" s="2" t="s">
        <v>175</v>
      </c>
      <c r="E430" s="1">
        <v>0.5625</v>
      </c>
      <c r="F430" s="1">
        <v>0.59652777777777777</v>
      </c>
      <c r="G430" s="9">
        <f t="shared" si="44"/>
        <v>44802</v>
      </c>
      <c r="H430" s="11">
        <f t="shared" si="45"/>
        <v>0.8</v>
      </c>
      <c r="I430" s="10">
        <f t="shared" si="41"/>
        <v>6</v>
      </c>
      <c r="J430" s="10">
        <f t="shared" si="42"/>
        <v>7.2</v>
      </c>
      <c r="K430" s="10">
        <f t="shared" si="43"/>
        <v>6</v>
      </c>
      <c r="L430" s="10">
        <f t="shared" si="46"/>
        <v>146.70000000000002</v>
      </c>
    </row>
    <row r="431" spans="1:12" x14ac:dyDescent="0.25">
      <c r="A431" s="7">
        <v>44802</v>
      </c>
      <c r="B431" t="s">
        <v>19</v>
      </c>
      <c r="C431" s="6">
        <v>2675</v>
      </c>
      <c r="D431" s="2" t="s">
        <v>184</v>
      </c>
      <c r="E431" s="1">
        <v>0.59652777777777777</v>
      </c>
      <c r="F431" s="1">
        <v>0.62013888888888891</v>
      </c>
      <c r="G431" s="9">
        <f t="shared" si="44"/>
        <v>44802</v>
      </c>
      <c r="H431" s="11">
        <f t="shared" si="45"/>
        <v>0.6</v>
      </c>
      <c r="I431" s="10">
        <f t="shared" si="41"/>
        <v>6.6</v>
      </c>
      <c r="J431" s="10">
        <f t="shared" si="42"/>
        <v>7.2</v>
      </c>
      <c r="K431" s="10">
        <f t="shared" si="43"/>
        <v>6.6</v>
      </c>
      <c r="L431" s="10">
        <f t="shared" si="46"/>
        <v>147.29999999999998</v>
      </c>
    </row>
    <row r="432" spans="1:12" x14ac:dyDescent="0.25">
      <c r="A432" s="7">
        <v>44803</v>
      </c>
      <c r="B432" t="s">
        <v>19</v>
      </c>
      <c r="C432" s="6">
        <v>2675</v>
      </c>
      <c r="D432" s="2" t="s">
        <v>184</v>
      </c>
      <c r="E432" s="1">
        <v>0.32708333333333334</v>
      </c>
      <c r="F432" s="1">
        <v>0.4916666666666667</v>
      </c>
      <c r="G432" s="9">
        <f t="shared" si="44"/>
        <v>44802</v>
      </c>
      <c r="H432" s="11">
        <f t="shared" si="45"/>
        <v>4</v>
      </c>
      <c r="I432" s="10">
        <f t="shared" si="41"/>
        <v>4</v>
      </c>
      <c r="J432" s="10">
        <f t="shared" si="42"/>
        <v>7.2</v>
      </c>
      <c r="K432" s="10">
        <f t="shared" si="43"/>
        <v>10.6</v>
      </c>
      <c r="L432" s="10">
        <f t="shared" si="46"/>
        <v>151.30000000000001</v>
      </c>
    </row>
    <row r="433" spans="1:18" x14ac:dyDescent="0.25">
      <c r="A433" s="7">
        <v>44803</v>
      </c>
      <c r="B433" t="s">
        <v>19</v>
      </c>
      <c r="C433" s="6">
        <v>2675</v>
      </c>
      <c r="D433" s="2" t="s">
        <v>184</v>
      </c>
      <c r="E433" s="1">
        <v>0.50208333333333333</v>
      </c>
      <c r="F433" s="1">
        <v>0.6777777777777777</v>
      </c>
      <c r="G433" s="9">
        <f t="shared" si="44"/>
        <v>44802</v>
      </c>
      <c r="H433" s="11">
        <f t="shared" si="45"/>
        <v>4.2</v>
      </c>
      <c r="I433" s="10">
        <f t="shared" si="41"/>
        <v>8.1999999999999993</v>
      </c>
      <c r="J433" s="10">
        <f t="shared" si="42"/>
        <v>7.2</v>
      </c>
      <c r="K433" s="10">
        <f t="shared" si="43"/>
        <v>14.8</v>
      </c>
      <c r="L433" s="10">
        <f t="shared" si="46"/>
        <v>155.5</v>
      </c>
    </row>
    <row r="434" spans="1:18" x14ac:dyDescent="0.25">
      <c r="A434" s="7">
        <v>44804</v>
      </c>
      <c r="B434" t="s">
        <v>19</v>
      </c>
      <c r="C434" s="6">
        <v>2675</v>
      </c>
      <c r="D434" s="2" t="s">
        <v>184</v>
      </c>
      <c r="E434" s="1">
        <v>0.32569444444444445</v>
      </c>
      <c r="F434" s="1">
        <v>0.47916666666666669</v>
      </c>
      <c r="G434" s="9">
        <f t="shared" si="44"/>
        <v>44802</v>
      </c>
      <c r="H434" s="11">
        <f t="shared" si="45"/>
        <v>3.7</v>
      </c>
      <c r="I434" s="10">
        <f t="shared" si="41"/>
        <v>3.7</v>
      </c>
      <c r="J434" s="10">
        <f t="shared" si="42"/>
        <v>7.2</v>
      </c>
      <c r="K434" s="10">
        <f t="shared" si="43"/>
        <v>18.5</v>
      </c>
      <c r="L434" s="10">
        <f t="shared" si="46"/>
        <v>159.19999999999999</v>
      </c>
    </row>
    <row r="435" spans="1:18" ht="14.4" x14ac:dyDescent="0.3">
      <c r="A435" s="7">
        <v>44804</v>
      </c>
      <c r="B435" s="2" t="s">
        <v>464</v>
      </c>
      <c r="C435" s="28">
        <v>2431</v>
      </c>
      <c r="D435" s="2" t="s">
        <v>189</v>
      </c>
      <c r="E435" s="1">
        <v>0.47916666666666669</v>
      </c>
      <c r="F435" s="1">
        <v>0.5493055555555556</v>
      </c>
      <c r="G435" s="9">
        <f t="shared" si="44"/>
        <v>44802</v>
      </c>
      <c r="H435" s="11">
        <f t="shared" si="45"/>
        <v>1.7</v>
      </c>
      <c r="I435" s="10">
        <f t="shared" si="41"/>
        <v>5.4</v>
      </c>
      <c r="J435" s="10">
        <f t="shared" si="42"/>
        <v>7.2</v>
      </c>
      <c r="K435" s="10">
        <f t="shared" si="43"/>
        <v>20.2</v>
      </c>
      <c r="L435" s="10">
        <f t="shared" si="46"/>
        <v>160.89999999999998</v>
      </c>
    </row>
    <row r="436" spans="1:18" x14ac:dyDescent="0.25">
      <c r="A436" s="7">
        <v>44804</v>
      </c>
      <c r="B436" t="s">
        <v>19</v>
      </c>
      <c r="C436" s="6">
        <v>2675</v>
      </c>
      <c r="D436" s="2" t="s">
        <v>184</v>
      </c>
      <c r="E436" s="1">
        <v>0.5493055555555556</v>
      </c>
      <c r="F436" s="1">
        <v>0.55138888888888882</v>
      </c>
      <c r="G436" s="9">
        <f t="shared" si="44"/>
        <v>44802</v>
      </c>
      <c r="H436" s="11">
        <f t="shared" si="45"/>
        <v>0</v>
      </c>
      <c r="I436" s="10">
        <f t="shared" si="41"/>
        <v>5.4</v>
      </c>
      <c r="J436" s="10">
        <f t="shared" si="42"/>
        <v>7.2</v>
      </c>
      <c r="K436" s="10">
        <f t="shared" si="43"/>
        <v>20.2</v>
      </c>
      <c r="L436" s="10">
        <f t="shared" si="46"/>
        <v>160.9</v>
      </c>
    </row>
    <row r="437" spans="1:18" x14ac:dyDescent="0.25">
      <c r="A437" s="7">
        <v>44804</v>
      </c>
      <c r="B437" t="s">
        <v>19</v>
      </c>
      <c r="C437" s="6">
        <v>2675</v>
      </c>
      <c r="D437" s="2" t="s">
        <v>184</v>
      </c>
      <c r="E437" s="1">
        <v>0.57500000000000007</v>
      </c>
      <c r="F437" s="1">
        <v>0.64652777777777781</v>
      </c>
      <c r="G437" s="9">
        <f t="shared" si="44"/>
        <v>44802</v>
      </c>
      <c r="H437" s="11">
        <f t="shared" si="45"/>
        <v>1.7</v>
      </c>
      <c r="I437" s="10">
        <f t="shared" si="41"/>
        <v>7.1000000000000005</v>
      </c>
      <c r="J437" s="10">
        <f t="shared" si="42"/>
        <v>7.2</v>
      </c>
      <c r="K437" s="10">
        <f t="shared" si="43"/>
        <v>21.9</v>
      </c>
      <c r="L437" s="10">
        <f t="shared" si="46"/>
        <v>162.6</v>
      </c>
    </row>
    <row r="438" spans="1:18" x14ac:dyDescent="0.25">
      <c r="A438" s="7">
        <v>44805</v>
      </c>
      <c r="B438" t="s">
        <v>19</v>
      </c>
      <c r="C438" s="6">
        <v>2675</v>
      </c>
      <c r="D438" s="2" t="s">
        <v>184</v>
      </c>
      <c r="E438" s="1">
        <v>0.36527777777777781</v>
      </c>
      <c r="F438" s="1">
        <v>0.42222222222222222</v>
      </c>
      <c r="G438" s="9">
        <f t="shared" si="44"/>
        <v>44802</v>
      </c>
      <c r="H438" s="11">
        <f t="shared" si="45"/>
        <v>1.4</v>
      </c>
      <c r="I438" s="10">
        <f t="shared" si="41"/>
        <v>1.4</v>
      </c>
      <c r="J438" s="10">
        <f t="shared" si="42"/>
        <v>7.2</v>
      </c>
      <c r="K438" s="10">
        <f t="shared" si="43"/>
        <v>23.299999999999997</v>
      </c>
      <c r="L438" s="10">
        <f t="shared" si="46"/>
        <v>1.4</v>
      </c>
    </row>
    <row r="439" spans="1:18" x14ac:dyDescent="0.25">
      <c r="A439" s="7">
        <v>44805</v>
      </c>
      <c r="B439" t="s">
        <v>6</v>
      </c>
      <c r="C439" s="6" t="s">
        <v>416</v>
      </c>
      <c r="D439" t="s">
        <v>190</v>
      </c>
      <c r="E439" s="1">
        <v>0.42222222222222222</v>
      </c>
      <c r="F439" s="1">
        <v>0.45833333333333331</v>
      </c>
      <c r="G439" s="9">
        <f t="shared" si="44"/>
        <v>44802</v>
      </c>
      <c r="H439" s="11">
        <f t="shared" si="45"/>
        <v>0.9</v>
      </c>
      <c r="I439" s="10">
        <f t="shared" si="41"/>
        <v>2.2999999999999998</v>
      </c>
      <c r="J439" s="10">
        <f t="shared" si="42"/>
        <v>7.2</v>
      </c>
      <c r="K439" s="10">
        <f t="shared" si="43"/>
        <v>24.2</v>
      </c>
      <c r="L439" s="10">
        <f t="shared" si="46"/>
        <v>2.2999999999999998</v>
      </c>
    </row>
    <row r="440" spans="1:18" x14ac:dyDescent="0.25">
      <c r="A440" s="7">
        <v>44805</v>
      </c>
      <c r="B440" t="s">
        <v>19</v>
      </c>
      <c r="C440" s="6">
        <v>2675</v>
      </c>
      <c r="D440" s="2" t="s">
        <v>44</v>
      </c>
      <c r="E440" s="1">
        <v>0.45833333333333331</v>
      </c>
      <c r="F440" s="1">
        <v>0.51597222222222217</v>
      </c>
      <c r="G440" s="9">
        <f t="shared" si="44"/>
        <v>44802</v>
      </c>
      <c r="H440" s="11">
        <f t="shared" si="45"/>
        <v>1.4</v>
      </c>
      <c r="I440" s="10">
        <f t="shared" si="41"/>
        <v>3.6999999999999997</v>
      </c>
      <c r="J440" s="10">
        <f t="shared" si="42"/>
        <v>7.2</v>
      </c>
      <c r="K440" s="10">
        <f t="shared" si="43"/>
        <v>25.599999999999998</v>
      </c>
      <c r="L440" s="10">
        <f t="shared" si="46"/>
        <v>3.6999999999999997</v>
      </c>
    </row>
    <row r="441" spans="1:18" x14ac:dyDescent="0.25">
      <c r="A441" s="7">
        <v>44805</v>
      </c>
      <c r="B441" t="s">
        <v>6</v>
      </c>
      <c r="C441" s="6" t="s">
        <v>416</v>
      </c>
      <c r="D441" t="s">
        <v>190</v>
      </c>
      <c r="E441" s="1">
        <v>0.53611111111111109</v>
      </c>
      <c r="F441" s="1">
        <v>0.55486111111111114</v>
      </c>
      <c r="G441" s="9">
        <f t="shared" si="44"/>
        <v>44802</v>
      </c>
      <c r="H441" s="11">
        <f t="shared" si="45"/>
        <v>0.5</v>
      </c>
      <c r="I441" s="10">
        <f t="shared" si="41"/>
        <v>4.2</v>
      </c>
      <c r="J441" s="10">
        <f t="shared" si="42"/>
        <v>7.2</v>
      </c>
      <c r="K441" s="10">
        <f t="shared" si="43"/>
        <v>26.1</v>
      </c>
      <c r="L441" s="10">
        <f t="shared" si="46"/>
        <v>4.2</v>
      </c>
    </row>
    <row r="442" spans="1:18" x14ac:dyDescent="0.25">
      <c r="A442" s="7">
        <v>44805</v>
      </c>
      <c r="B442" t="s">
        <v>19</v>
      </c>
      <c r="C442" s="6">
        <v>2675</v>
      </c>
      <c r="D442" s="2" t="s">
        <v>184</v>
      </c>
      <c r="E442" s="1">
        <v>0.55486111111111114</v>
      </c>
      <c r="F442" s="1">
        <v>0.65555555555555556</v>
      </c>
      <c r="G442" s="9">
        <f t="shared" si="44"/>
        <v>44802</v>
      </c>
      <c r="H442" s="11">
        <f t="shared" si="45"/>
        <v>2.4</v>
      </c>
      <c r="I442" s="10">
        <f t="shared" si="41"/>
        <v>6.6</v>
      </c>
      <c r="J442" s="10">
        <f t="shared" si="42"/>
        <v>7.2</v>
      </c>
      <c r="K442" s="10">
        <f t="shared" si="43"/>
        <v>28.5</v>
      </c>
      <c r="L442" s="10">
        <f t="shared" si="46"/>
        <v>6.6</v>
      </c>
    </row>
    <row r="443" spans="1:18" x14ac:dyDescent="0.25">
      <c r="A443" s="7">
        <v>44806</v>
      </c>
      <c r="B443" t="s">
        <v>19</v>
      </c>
      <c r="C443" s="6">
        <v>2675</v>
      </c>
      <c r="D443" s="2" t="s">
        <v>184</v>
      </c>
      <c r="E443" s="1">
        <v>0.26180555555555557</v>
      </c>
      <c r="F443" s="1">
        <v>0.48125000000000001</v>
      </c>
      <c r="G443" s="9">
        <f t="shared" si="44"/>
        <v>44802</v>
      </c>
      <c r="H443" s="11">
        <f t="shared" si="45"/>
        <v>5.3</v>
      </c>
      <c r="I443" s="10">
        <f t="shared" si="41"/>
        <v>5.3</v>
      </c>
      <c r="J443" s="10">
        <f t="shared" si="42"/>
        <v>7.2</v>
      </c>
      <c r="K443" s="10">
        <f t="shared" si="43"/>
        <v>33.799999999999997</v>
      </c>
      <c r="L443" s="10">
        <f t="shared" si="46"/>
        <v>11.899999999999999</v>
      </c>
    </row>
    <row r="444" spans="1:18" x14ac:dyDescent="0.25">
      <c r="A444" s="7">
        <v>44806</v>
      </c>
      <c r="B444" t="s">
        <v>19</v>
      </c>
      <c r="C444" s="6">
        <v>2675</v>
      </c>
      <c r="D444" s="2" t="s">
        <v>184</v>
      </c>
      <c r="E444" s="1">
        <v>0.49027777777777781</v>
      </c>
      <c r="F444" s="1">
        <v>0.57986111111111105</v>
      </c>
      <c r="G444" s="9">
        <f t="shared" si="44"/>
        <v>44802</v>
      </c>
      <c r="H444" s="11">
        <f t="shared" si="45"/>
        <v>2.2000000000000002</v>
      </c>
      <c r="I444" s="10">
        <f t="shared" si="41"/>
        <v>7.5</v>
      </c>
      <c r="J444" s="10">
        <f t="shared" si="42"/>
        <v>7.2</v>
      </c>
      <c r="K444" s="10">
        <f t="shared" si="43"/>
        <v>36</v>
      </c>
      <c r="L444" s="10">
        <f t="shared" si="46"/>
        <v>14.100000000000001</v>
      </c>
      <c r="R444" s="3"/>
    </row>
    <row r="445" spans="1:18" x14ac:dyDescent="0.25">
      <c r="A445" s="7">
        <v>44809</v>
      </c>
      <c r="B445" t="s">
        <v>19</v>
      </c>
      <c r="C445" s="6">
        <v>2675</v>
      </c>
      <c r="D445" s="2" t="s">
        <v>184</v>
      </c>
      <c r="E445" s="1">
        <v>0.3298611111111111</v>
      </c>
      <c r="F445" s="1">
        <v>0.41666666666666669</v>
      </c>
      <c r="G445" s="9">
        <f t="shared" si="44"/>
        <v>44809</v>
      </c>
      <c r="H445" s="11">
        <f t="shared" si="45"/>
        <v>2.1</v>
      </c>
      <c r="I445" s="10">
        <f t="shared" si="41"/>
        <v>2.1</v>
      </c>
      <c r="J445" s="10">
        <f t="shared" si="42"/>
        <v>7.2</v>
      </c>
      <c r="K445" s="10">
        <f t="shared" si="43"/>
        <v>2.1</v>
      </c>
      <c r="L445" s="10">
        <f t="shared" si="46"/>
        <v>16.2</v>
      </c>
      <c r="R445" s="3"/>
    </row>
    <row r="446" spans="1:18" x14ac:dyDescent="0.25">
      <c r="A446" s="7">
        <v>44809</v>
      </c>
      <c r="B446" t="s">
        <v>6</v>
      </c>
      <c r="C446" s="6" t="s">
        <v>416</v>
      </c>
      <c r="D446" s="2" t="s">
        <v>112</v>
      </c>
      <c r="E446" s="1">
        <v>0.41666666666666669</v>
      </c>
      <c r="F446" s="1">
        <v>0.46180555555555558</v>
      </c>
      <c r="G446" s="9">
        <f t="shared" si="44"/>
        <v>44809</v>
      </c>
      <c r="H446" s="11">
        <f t="shared" si="45"/>
        <v>1.1000000000000001</v>
      </c>
      <c r="I446" s="10">
        <f t="shared" si="41"/>
        <v>3.2</v>
      </c>
      <c r="J446" s="10">
        <f t="shared" si="42"/>
        <v>7.2</v>
      </c>
      <c r="K446" s="10">
        <f t="shared" si="43"/>
        <v>3.2</v>
      </c>
      <c r="L446" s="10">
        <f t="shared" si="46"/>
        <v>17.3</v>
      </c>
    </row>
    <row r="447" spans="1:18" x14ac:dyDescent="0.25">
      <c r="A447" s="7">
        <v>44809</v>
      </c>
      <c r="B447" t="s">
        <v>19</v>
      </c>
      <c r="C447" s="6">
        <v>2675</v>
      </c>
      <c r="D447" s="2" t="s">
        <v>184</v>
      </c>
      <c r="E447" s="1">
        <v>0.46180555555555558</v>
      </c>
      <c r="F447" s="1">
        <v>0.48055555555555557</v>
      </c>
      <c r="G447" s="9">
        <f t="shared" si="44"/>
        <v>44809</v>
      </c>
      <c r="H447" s="11">
        <f t="shared" si="45"/>
        <v>0.5</v>
      </c>
      <c r="I447" s="10">
        <f t="shared" si="41"/>
        <v>3.7</v>
      </c>
      <c r="J447" s="10">
        <f t="shared" si="42"/>
        <v>7.2</v>
      </c>
      <c r="K447" s="10">
        <f t="shared" si="43"/>
        <v>3.7</v>
      </c>
      <c r="L447" s="10">
        <f t="shared" si="46"/>
        <v>17.8</v>
      </c>
    </row>
    <row r="448" spans="1:18" x14ac:dyDescent="0.25">
      <c r="A448" s="7">
        <v>44809</v>
      </c>
      <c r="B448" t="s">
        <v>19</v>
      </c>
      <c r="C448" s="6">
        <v>2675</v>
      </c>
      <c r="D448" s="2" t="s">
        <v>184</v>
      </c>
      <c r="E448" s="1">
        <v>0.50277777777777777</v>
      </c>
      <c r="F448" s="1">
        <v>0.63611111111111118</v>
      </c>
      <c r="G448" s="9">
        <f t="shared" si="44"/>
        <v>44809</v>
      </c>
      <c r="H448" s="11">
        <f t="shared" si="45"/>
        <v>3.2</v>
      </c>
      <c r="I448" s="10">
        <f t="shared" si="41"/>
        <v>6.9</v>
      </c>
      <c r="J448" s="10">
        <f t="shared" si="42"/>
        <v>7.2</v>
      </c>
      <c r="K448" s="10">
        <f t="shared" si="43"/>
        <v>6.9</v>
      </c>
      <c r="L448" s="10">
        <f t="shared" si="46"/>
        <v>21</v>
      </c>
    </row>
    <row r="449" spans="1:12" x14ac:dyDescent="0.25">
      <c r="A449" s="7">
        <v>44810</v>
      </c>
      <c r="B449" t="s">
        <v>19</v>
      </c>
      <c r="C449" s="6">
        <v>2675</v>
      </c>
      <c r="D449" s="2" t="s">
        <v>184</v>
      </c>
      <c r="E449" s="1">
        <v>0.29722222222222222</v>
      </c>
      <c r="F449" s="1">
        <v>0.45833333333333331</v>
      </c>
      <c r="G449" s="9">
        <f t="shared" si="44"/>
        <v>44809</v>
      </c>
      <c r="H449" s="11">
        <f t="shared" si="45"/>
        <v>3.9</v>
      </c>
      <c r="I449" s="10">
        <f t="shared" si="41"/>
        <v>3.9</v>
      </c>
      <c r="J449" s="10">
        <f t="shared" si="42"/>
        <v>7.2</v>
      </c>
      <c r="K449" s="10">
        <f t="shared" si="43"/>
        <v>10.8</v>
      </c>
      <c r="L449" s="10">
        <f t="shared" si="46"/>
        <v>24.9</v>
      </c>
    </row>
    <row r="450" spans="1:12" x14ac:dyDescent="0.25">
      <c r="A450" s="7">
        <v>44810</v>
      </c>
      <c r="B450" t="s">
        <v>6</v>
      </c>
      <c r="C450" s="6" t="s">
        <v>416</v>
      </c>
      <c r="D450" s="2" t="s">
        <v>191</v>
      </c>
      <c r="E450" s="1">
        <v>0.45833333333333331</v>
      </c>
      <c r="F450" s="1">
        <v>0.49305555555555558</v>
      </c>
      <c r="G450" s="9">
        <f t="shared" si="44"/>
        <v>44809</v>
      </c>
      <c r="H450" s="11">
        <f t="shared" si="45"/>
        <v>0.8</v>
      </c>
      <c r="I450" s="10">
        <f t="shared" si="41"/>
        <v>4.7</v>
      </c>
      <c r="J450" s="10">
        <f t="shared" si="42"/>
        <v>7.2</v>
      </c>
      <c r="K450" s="10">
        <f t="shared" si="43"/>
        <v>11.600000000000001</v>
      </c>
      <c r="L450" s="10">
        <f t="shared" si="46"/>
        <v>25.7</v>
      </c>
    </row>
    <row r="451" spans="1:12" x14ac:dyDescent="0.25">
      <c r="A451" s="7">
        <v>44810</v>
      </c>
      <c r="B451" t="s">
        <v>19</v>
      </c>
      <c r="C451" s="6">
        <v>2675</v>
      </c>
      <c r="D451" s="2" t="s">
        <v>184</v>
      </c>
      <c r="E451" s="1">
        <v>0.52638888888888891</v>
      </c>
      <c r="F451" s="1">
        <v>0.69930555555555562</v>
      </c>
      <c r="G451" s="9">
        <f t="shared" si="44"/>
        <v>44809</v>
      </c>
      <c r="H451" s="11">
        <f t="shared" si="45"/>
        <v>4.2</v>
      </c>
      <c r="I451" s="10">
        <f t="shared" ref="I451:I514" si="47">IF(H451="",H451,H451+IF(A451=A450,_xlfn.NUMBERVALUE(I450),0))</f>
        <v>8.9</v>
      </c>
      <c r="J451" s="10">
        <f t="shared" ref="J451:J514" si="48">IF(H451="",H451,7.2)</f>
        <v>7.2</v>
      </c>
      <c r="K451" s="10">
        <f t="shared" ref="K451:K514" si="49">IF(H451="",H451,H451+IF(G451=G450,_xlfn.NUMBERVALUE(K450),0))</f>
        <v>15.8</v>
      </c>
      <c r="L451" s="10">
        <f t="shared" si="46"/>
        <v>29.9</v>
      </c>
    </row>
    <row r="452" spans="1:12" x14ac:dyDescent="0.25">
      <c r="A452" s="7">
        <v>44811</v>
      </c>
      <c r="B452" t="s">
        <v>7</v>
      </c>
      <c r="C452" s="6" t="s">
        <v>22</v>
      </c>
      <c r="D452" s="2" t="s">
        <v>192</v>
      </c>
      <c r="E452" s="1">
        <v>0.33333333333333331</v>
      </c>
      <c r="F452" s="1">
        <v>0.5</v>
      </c>
      <c r="G452" s="9">
        <f t="shared" ref="G452:G515" si="50">IF(E452&gt;0,INT((A452-2)/7)*7+2,"")</f>
        <v>44809</v>
      </c>
      <c r="H452" s="11">
        <f t="shared" ref="H452:H515" si="51">IF(E452&gt;0,ROUND(24*(IF(F452&gt;0,F452,NowTime)-E452),1),"")</f>
        <v>4</v>
      </c>
      <c r="I452" s="10">
        <f t="shared" si="47"/>
        <v>4</v>
      </c>
      <c r="J452" s="10">
        <f t="shared" si="48"/>
        <v>7.2</v>
      </c>
      <c r="K452" s="10">
        <f t="shared" si="49"/>
        <v>19.8</v>
      </c>
      <c r="L452" s="10">
        <f t="shared" si="46"/>
        <v>33.9</v>
      </c>
    </row>
    <row r="453" spans="1:12" x14ac:dyDescent="0.25">
      <c r="A453" s="7">
        <v>44811</v>
      </c>
      <c r="B453" t="s">
        <v>19</v>
      </c>
      <c r="C453" s="6">
        <v>2675</v>
      </c>
      <c r="D453" s="2" t="s">
        <v>184</v>
      </c>
      <c r="E453" s="1">
        <v>0.55208333333333337</v>
      </c>
      <c r="F453" s="1">
        <v>0.69861111111111107</v>
      </c>
      <c r="G453" s="9">
        <f t="shared" si="50"/>
        <v>44809</v>
      </c>
      <c r="H453" s="11">
        <f t="shared" si="51"/>
        <v>3.5</v>
      </c>
      <c r="I453" s="10">
        <f t="shared" si="47"/>
        <v>7.5</v>
      </c>
      <c r="J453" s="10">
        <f t="shared" si="48"/>
        <v>7.2</v>
      </c>
      <c r="K453" s="10">
        <f t="shared" si="49"/>
        <v>23.3</v>
      </c>
      <c r="L453" s="10">
        <f t="shared" ref="L453:L516" si="52">IF(H453="",H453,H453+IF(MONTH(A453)=MONTH(A452),_xlfn.NUMBERVALUE(L452),0))</f>
        <v>37.4</v>
      </c>
    </row>
    <row r="454" spans="1:12" x14ac:dyDescent="0.25">
      <c r="A454" s="7">
        <v>44812</v>
      </c>
      <c r="B454" t="s">
        <v>19</v>
      </c>
      <c r="C454" s="6">
        <v>2675</v>
      </c>
      <c r="D454" s="2" t="s">
        <v>184</v>
      </c>
      <c r="E454" s="1">
        <v>0.36319444444444443</v>
      </c>
      <c r="F454" s="1">
        <v>0.51388888888888895</v>
      </c>
      <c r="G454" s="9">
        <f t="shared" si="50"/>
        <v>44809</v>
      </c>
      <c r="H454" s="11">
        <f t="shared" si="51"/>
        <v>3.6</v>
      </c>
      <c r="I454" s="10">
        <f t="shared" si="47"/>
        <v>3.6</v>
      </c>
      <c r="J454" s="10">
        <f t="shared" si="48"/>
        <v>7.2</v>
      </c>
      <c r="K454" s="10">
        <f t="shared" si="49"/>
        <v>26.900000000000002</v>
      </c>
      <c r="L454" s="10">
        <f t="shared" si="52"/>
        <v>41</v>
      </c>
    </row>
    <row r="455" spans="1:12" x14ac:dyDescent="0.25">
      <c r="A455" s="7">
        <v>44812</v>
      </c>
      <c r="B455" t="s">
        <v>19</v>
      </c>
      <c r="C455" s="6">
        <v>2675</v>
      </c>
      <c r="D455" s="2" t="s">
        <v>184</v>
      </c>
      <c r="E455" s="1">
        <v>0.52916666666666667</v>
      </c>
      <c r="F455" s="1">
        <v>0.65069444444444446</v>
      </c>
      <c r="G455" s="9">
        <f t="shared" si="50"/>
        <v>44809</v>
      </c>
      <c r="H455" s="11">
        <f t="shared" si="51"/>
        <v>2.9</v>
      </c>
      <c r="I455" s="10">
        <f t="shared" si="47"/>
        <v>6.5</v>
      </c>
      <c r="J455" s="10">
        <f t="shared" si="48"/>
        <v>7.2</v>
      </c>
      <c r="K455" s="10">
        <f t="shared" si="49"/>
        <v>29.799999999999997</v>
      </c>
      <c r="L455" s="10">
        <f t="shared" si="52"/>
        <v>43.9</v>
      </c>
    </row>
    <row r="456" spans="1:12" x14ac:dyDescent="0.25">
      <c r="A456" s="7">
        <v>44813</v>
      </c>
      <c r="B456" t="s">
        <v>19</v>
      </c>
      <c r="C456" s="6">
        <v>2675</v>
      </c>
      <c r="D456" s="2" t="s">
        <v>184</v>
      </c>
      <c r="E456" s="1">
        <v>0.29236111111111113</v>
      </c>
      <c r="F456" s="1">
        <v>0.32847222222222222</v>
      </c>
      <c r="G456" s="9">
        <f t="shared" si="50"/>
        <v>44809</v>
      </c>
      <c r="H456" s="11">
        <f t="shared" si="51"/>
        <v>0.9</v>
      </c>
      <c r="I456" s="10">
        <f t="shared" si="47"/>
        <v>0.9</v>
      </c>
      <c r="J456" s="10">
        <f t="shared" si="48"/>
        <v>7.2</v>
      </c>
      <c r="K456" s="10">
        <f t="shared" si="49"/>
        <v>30.7</v>
      </c>
      <c r="L456" s="10">
        <f t="shared" si="52"/>
        <v>44.8</v>
      </c>
    </row>
    <row r="457" spans="1:12" x14ac:dyDescent="0.25">
      <c r="A457" s="7">
        <v>44813</v>
      </c>
      <c r="B457" t="s">
        <v>19</v>
      </c>
      <c r="C457" s="6">
        <v>2675</v>
      </c>
      <c r="D457" s="2" t="s">
        <v>184</v>
      </c>
      <c r="E457" s="1">
        <v>0.3444444444444445</v>
      </c>
      <c r="F457" s="1">
        <v>0.41666666666666669</v>
      </c>
      <c r="G457" s="9">
        <f t="shared" si="50"/>
        <v>44809</v>
      </c>
      <c r="H457" s="11">
        <f t="shared" si="51"/>
        <v>1.7</v>
      </c>
      <c r="I457" s="10">
        <f t="shared" si="47"/>
        <v>2.6</v>
      </c>
      <c r="J457" s="10">
        <f t="shared" si="48"/>
        <v>7.2</v>
      </c>
      <c r="K457" s="10">
        <f t="shared" si="49"/>
        <v>32.4</v>
      </c>
      <c r="L457" s="10">
        <f t="shared" si="52"/>
        <v>46.5</v>
      </c>
    </row>
    <row r="458" spans="1:12" ht="14.4" x14ac:dyDescent="0.3">
      <c r="A458" s="7">
        <v>44813</v>
      </c>
      <c r="B458" s="2" t="s">
        <v>464</v>
      </c>
      <c r="C458" s="28">
        <v>2431</v>
      </c>
      <c r="D458" s="2" t="s">
        <v>189</v>
      </c>
      <c r="E458" s="1">
        <v>0.41666666666666669</v>
      </c>
      <c r="F458" s="1">
        <v>0.46111111111111108</v>
      </c>
      <c r="G458" s="9">
        <f t="shared" si="50"/>
        <v>44809</v>
      </c>
      <c r="H458" s="11">
        <f t="shared" si="51"/>
        <v>1.1000000000000001</v>
      </c>
      <c r="I458" s="10">
        <f t="shared" si="47"/>
        <v>3.7</v>
      </c>
      <c r="J458" s="10">
        <f t="shared" si="48"/>
        <v>7.2</v>
      </c>
      <c r="K458" s="10">
        <f t="shared" si="49"/>
        <v>33.5</v>
      </c>
      <c r="L458" s="10">
        <f t="shared" si="52"/>
        <v>47.6</v>
      </c>
    </row>
    <row r="459" spans="1:12" x14ac:dyDescent="0.25">
      <c r="A459" s="7">
        <v>44813</v>
      </c>
      <c r="B459" t="s">
        <v>19</v>
      </c>
      <c r="C459" s="6">
        <v>2675</v>
      </c>
      <c r="D459" s="2" t="s">
        <v>44</v>
      </c>
      <c r="E459" s="1">
        <v>0.46111111111111108</v>
      </c>
      <c r="F459" s="1">
        <v>0.48055555555555557</v>
      </c>
      <c r="G459" s="9">
        <f t="shared" si="50"/>
        <v>44809</v>
      </c>
      <c r="H459" s="11">
        <f t="shared" si="51"/>
        <v>0.5</v>
      </c>
      <c r="I459" s="10">
        <f t="shared" si="47"/>
        <v>4.2</v>
      </c>
      <c r="J459" s="10">
        <f t="shared" si="48"/>
        <v>7.2</v>
      </c>
      <c r="K459" s="10">
        <f t="shared" si="49"/>
        <v>34</v>
      </c>
      <c r="L459" s="10">
        <f t="shared" si="52"/>
        <v>48.1</v>
      </c>
    </row>
    <row r="460" spans="1:12" x14ac:dyDescent="0.25">
      <c r="A460" s="7">
        <v>44813</v>
      </c>
      <c r="B460" t="s">
        <v>19</v>
      </c>
      <c r="C460" s="6">
        <v>2675</v>
      </c>
      <c r="D460" s="2" t="s">
        <v>184</v>
      </c>
      <c r="E460" s="1">
        <v>0.48055555555555557</v>
      </c>
      <c r="F460" s="1">
        <v>0.48749999999999999</v>
      </c>
      <c r="G460" s="9">
        <f t="shared" si="50"/>
        <v>44809</v>
      </c>
      <c r="H460" s="11">
        <f t="shared" si="51"/>
        <v>0.2</v>
      </c>
      <c r="I460" s="10">
        <f t="shared" si="47"/>
        <v>4.4000000000000004</v>
      </c>
      <c r="J460" s="10">
        <f t="shared" si="48"/>
        <v>7.2</v>
      </c>
      <c r="K460" s="10">
        <f t="shared" si="49"/>
        <v>34.200000000000003</v>
      </c>
      <c r="L460" s="10">
        <f t="shared" si="52"/>
        <v>48.300000000000004</v>
      </c>
    </row>
    <row r="461" spans="1:12" x14ac:dyDescent="0.25">
      <c r="A461" s="7">
        <v>44813</v>
      </c>
      <c r="B461" t="s">
        <v>19</v>
      </c>
      <c r="C461" s="6">
        <v>2675</v>
      </c>
      <c r="D461" s="2" t="s">
        <v>184</v>
      </c>
      <c r="E461" s="1">
        <v>0.51874999999999993</v>
      </c>
      <c r="F461" s="1">
        <v>0.66805555555555562</v>
      </c>
      <c r="G461" s="9">
        <f t="shared" si="50"/>
        <v>44809</v>
      </c>
      <c r="H461" s="11">
        <f t="shared" si="51"/>
        <v>3.6</v>
      </c>
      <c r="I461" s="10">
        <f t="shared" si="47"/>
        <v>8</v>
      </c>
      <c r="J461" s="10">
        <f t="shared" si="48"/>
        <v>7.2</v>
      </c>
      <c r="K461" s="10">
        <f t="shared" si="49"/>
        <v>37.800000000000004</v>
      </c>
      <c r="L461" s="10">
        <f t="shared" si="52"/>
        <v>51.9</v>
      </c>
    </row>
    <row r="462" spans="1:12" x14ac:dyDescent="0.25">
      <c r="A462" s="7">
        <v>44814</v>
      </c>
      <c r="B462" t="s">
        <v>19</v>
      </c>
      <c r="C462" s="6">
        <v>2675</v>
      </c>
      <c r="D462" s="2" t="s">
        <v>184</v>
      </c>
      <c r="E462" s="1">
        <v>0.29930555555555555</v>
      </c>
      <c r="F462" s="1">
        <v>0.38680555555555557</v>
      </c>
      <c r="G462" s="9">
        <f t="shared" si="50"/>
        <v>44809</v>
      </c>
      <c r="H462" s="11">
        <f t="shared" si="51"/>
        <v>2.1</v>
      </c>
      <c r="I462" s="10">
        <f t="shared" si="47"/>
        <v>2.1</v>
      </c>
      <c r="J462" s="10">
        <f t="shared" si="48"/>
        <v>7.2</v>
      </c>
      <c r="K462" s="10">
        <f t="shared" si="49"/>
        <v>39.9</v>
      </c>
      <c r="L462" s="10">
        <f t="shared" si="52"/>
        <v>54</v>
      </c>
    </row>
    <row r="463" spans="1:12" x14ac:dyDescent="0.25">
      <c r="A463" s="7">
        <v>44816</v>
      </c>
      <c r="B463" t="s">
        <v>19</v>
      </c>
      <c r="C463" s="6">
        <v>2675</v>
      </c>
      <c r="D463" s="2" t="s">
        <v>184</v>
      </c>
      <c r="E463" s="1">
        <v>0.31944444444444448</v>
      </c>
      <c r="F463" s="1">
        <v>0.41666666666666669</v>
      </c>
      <c r="G463" s="9">
        <f t="shared" si="50"/>
        <v>44816</v>
      </c>
      <c r="H463" s="11">
        <f t="shared" si="51"/>
        <v>2.2999999999999998</v>
      </c>
      <c r="I463" s="10">
        <f t="shared" si="47"/>
        <v>2.2999999999999998</v>
      </c>
      <c r="J463" s="10">
        <f t="shared" si="48"/>
        <v>7.2</v>
      </c>
      <c r="K463" s="10">
        <f t="shared" si="49"/>
        <v>2.2999999999999998</v>
      </c>
      <c r="L463" s="10">
        <f t="shared" si="52"/>
        <v>56.3</v>
      </c>
    </row>
    <row r="464" spans="1:12" x14ac:dyDescent="0.25">
      <c r="A464" s="7">
        <v>44816</v>
      </c>
      <c r="B464" t="s">
        <v>6</v>
      </c>
      <c r="C464" s="6" t="s">
        <v>416</v>
      </c>
      <c r="D464" s="2" t="s">
        <v>112</v>
      </c>
      <c r="E464" s="1">
        <v>0.41666666666666669</v>
      </c>
      <c r="F464" s="1">
        <v>0.46249999999999997</v>
      </c>
      <c r="G464" s="9">
        <f t="shared" si="50"/>
        <v>44816</v>
      </c>
      <c r="H464" s="11">
        <f t="shared" si="51"/>
        <v>1.1000000000000001</v>
      </c>
      <c r="I464" s="10">
        <f t="shared" si="47"/>
        <v>3.4</v>
      </c>
      <c r="J464" s="10">
        <f t="shared" si="48"/>
        <v>7.2</v>
      </c>
      <c r="K464" s="10">
        <f t="shared" si="49"/>
        <v>3.4</v>
      </c>
      <c r="L464" s="10">
        <f t="shared" si="52"/>
        <v>57.4</v>
      </c>
    </row>
    <row r="465" spans="1:12" x14ac:dyDescent="0.25">
      <c r="A465" s="7">
        <v>44816</v>
      </c>
      <c r="B465" t="s">
        <v>19</v>
      </c>
      <c r="C465" s="6">
        <v>2675</v>
      </c>
      <c r="D465" s="2" t="s">
        <v>184</v>
      </c>
      <c r="E465" s="1">
        <v>0.46249999999999997</v>
      </c>
      <c r="F465" s="1">
        <v>0.47916666666666669</v>
      </c>
      <c r="G465" s="9">
        <f t="shared" si="50"/>
        <v>44816</v>
      </c>
      <c r="H465" s="11">
        <f t="shared" si="51"/>
        <v>0.4</v>
      </c>
      <c r="I465" s="10">
        <f t="shared" si="47"/>
        <v>3.8</v>
      </c>
      <c r="J465" s="10">
        <f t="shared" si="48"/>
        <v>7.2</v>
      </c>
      <c r="K465" s="10">
        <f t="shared" si="49"/>
        <v>3.8</v>
      </c>
      <c r="L465" s="10">
        <f t="shared" si="52"/>
        <v>57.8</v>
      </c>
    </row>
    <row r="466" spans="1:12" x14ac:dyDescent="0.25">
      <c r="A466" s="7">
        <v>44816</v>
      </c>
      <c r="B466" t="s">
        <v>19</v>
      </c>
      <c r="C466" s="6">
        <v>2675</v>
      </c>
      <c r="D466" s="2" t="s">
        <v>184</v>
      </c>
      <c r="E466" s="1">
        <v>0.4993055555555555</v>
      </c>
      <c r="F466" s="1">
        <v>0.61944444444444446</v>
      </c>
      <c r="G466" s="9">
        <f t="shared" si="50"/>
        <v>44816</v>
      </c>
      <c r="H466" s="11">
        <f t="shared" si="51"/>
        <v>2.9</v>
      </c>
      <c r="I466" s="10">
        <f t="shared" si="47"/>
        <v>6.6999999999999993</v>
      </c>
      <c r="J466" s="10">
        <f t="shared" si="48"/>
        <v>7.2</v>
      </c>
      <c r="K466" s="10">
        <f t="shared" si="49"/>
        <v>6.6999999999999993</v>
      </c>
      <c r="L466" s="10">
        <f t="shared" si="52"/>
        <v>60.699999999999996</v>
      </c>
    </row>
    <row r="467" spans="1:12" x14ac:dyDescent="0.25">
      <c r="A467" s="7">
        <v>44817</v>
      </c>
      <c r="B467" t="s">
        <v>19</v>
      </c>
      <c r="C467" s="6">
        <v>2675</v>
      </c>
      <c r="D467" s="2" t="s">
        <v>193</v>
      </c>
      <c r="E467" s="1">
        <v>0.26666666666666666</v>
      </c>
      <c r="F467" s="1">
        <v>0.49374999999999997</v>
      </c>
      <c r="G467" s="9">
        <f t="shared" si="50"/>
        <v>44816</v>
      </c>
      <c r="H467" s="11">
        <f t="shared" si="51"/>
        <v>5.5</v>
      </c>
      <c r="I467" s="10">
        <f t="shared" si="47"/>
        <v>5.5</v>
      </c>
      <c r="J467" s="10">
        <f t="shared" si="48"/>
        <v>7.2</v>
      </c>
      <c r="K467" s="10">
        <f t="shared" si="49"/>
        <v>12.2</v>
      </c>
      <c r="L467" s="10">
        <f t="shared" si="52"/>
        <v>66.2</v>
      </c>
    </row>
    <row r="468" spans="1:12" x14ac:dyDescent="0.25">
      <c r="A468" s="7">
        <v>44817</v>
      </c>
      <c r="B468" t="s">
        <v>19</v>
      </c>
      <c r="C468" s="6">
        <v>2675</v>
      </c>
      <c r="D468" s="2" t="s">
        <v>193</v>
      </c>
      <c r="E468" s="1">
        <v>0.50416666666666665</v>
      </c>
      <c r="F468" s="1">
        <v>0.5625</v>
      </c>
      <c r="G468" s="9">
        <f t="shared" si="50"/>
        <v>44816</v>
      </c>
      <c r="H468" s="11">
        <f t="shared" si="51"/>
        <v>1.4</v>
      </c>
      <c r="I468" s="10">
        <f t="shared" si="47"/>
        <v>6.9</v>
      </c>
      <c r="J468" s="10">
        <f t="shared" si="48"/>
        <v>7.2</v>
      </c>
      <c r="K468" s="10">
        <f t="shared" si="49"/>
        <v>13.6</v>
      </c>
      <c r="L468" s="10">
        <f t="shared" si="52"/>
        <v>67.600000000000009</v>
      </c>
    </row>
    <row r="469" spans="1:12" x14ac:dyDescent="0.25">
      <c r="A469" s="7">
        <v>44817</v>
      </c>
      <c r="B469" t="s">
        <v>6</v>
      </c>
      <c r="C469" s="6" t="s">
        <v>416</v>
      </c>
      <c r="D469" s="2" t="s">
        <v>194</v>
      </c>
      <c r="E469" s="1">
        <v>0.5625</v>
      </c>
      <c r="F469" s="1">
        <v>0.59722222222222221</v>
      </c>
      <c r="G469" s="9">
        <f t="shared" si="50"/>
        <v>44816</v>
      </c>
      <c r="H469" s="11">
        <f t="shared" si="51"/>
        <v>0.8</v>
      </c>
      <c r="I469" s="10">
        <f t="shared" si="47"/>
        <v>7.7</v>
      </c>
      <c r="J469" s="10">
        <f t="shared" si="48"/>
        <v>7.2</v>
      </c>
      <c r="K469" s="10">
        <f t="shared" si="49"/>
        <v>14.4</v>
      </c>
      <c r="L469" s="10">
        <f t="shared" si="52"/>
        <v>68.399999999999991</v>
      </c>
    </row>
    <row r="470" spans="1:12" x14ac:dyDescent="0.25">
      <c r="A470" s="7">
        <v>44817</v>
      </c>
      <c r="B470" t="s">
        <v>19</v>
      </c>
      <c r="C470" s="6">
        <v>2675</v>
      </c>
      <c r="D470" s="2" t="s">
        <v>193</v>
      </c>
      <c r="E470" s="1">
        <v>0.59722222222222221</v>
      </c>
      <c r="F470" s="1">
        <v>0.60486111111111118</v>
      </c>
      <c r="G470" s="9">
        <f t="shared" si="50"/>
        <v>44816</v>
      </c>
      <c r="H470" s="11">
        <f t="shared" si="51"/>
        <v>0.2</v>
      </c>
      <c r="I470" s="10">
        <f t="shared" si="47"/>
        <v>7.9</v>
      </c>
      <c r="J470" s="10">
        <f t="shared" si="48"/>
        <v>7.2</v>
      </c>
      <c r="K470" s="10">
        <f t="shared" si="49"/>
        <v>14.6</v>
      </c>
      <c r="L470" s="10">
        <f t="shared" si="52"/>
        <v>68.600000000000009</v>
      </c>
    </row>
    <row r="471" spans="1:12" x14ac:dyDescent="0.25">
      <c r="A471" s="7">
        <v>44818</v>
      </c>
      <c r="B471" t="s">
        <v>19</v>
      </c>
      <c r="C471" s="6">
        <v>2675</v>
      </c>
      <c r="D471" s="2" t="s">
        <v>193</v>
      </c>
      <c r="E471" s="1">
        <v>0.31944444444444448</v>
      </c>
      <c r="F471" s="1">
        <v>0.375</v>
      </c>
      <c r="G471" s="9">
        <f t="shared" si="50"/>
        <v>44816</v>
      </c>
      <c r="H471" s="11">
        <f t="shared" si="51"/>
        <v>1.3</v>
      </c>
      <c r="I471" s="10">
        <f t="shared" si="47"/>
        <v>1.3</v>
      </c>
      <c r="J471" s="10">
        <f t="shared" si="48"/>
        <v>7.2</v>
      </c>
      <c r="K471" s="10">
        <f t="shared" si="49"/>
        <v>15.9</v>
      </c>
      <c r="L471" s="10">
        <f t="shared" si="52"/>
        <v>69.899999999999991</v>
      </c>
    </row>
    <row r="472" spans="1:12" x14ac:dyDescent="0.25">
      <c r="A472" s="7">
        <v>44818</v>
      </c>
      <c r="B472" t="s">
        <v>17</v>
      </c>
      <c r="C472" s="6">
        <v>2420</v>
      </c>
      <c r="D472" s="1" t="s">
        <v>178</v>
      </c>
      <c r="E472" s="1">
        <v>0.375</v>
      </c>
      <c r="F472" s="1">
        <v>0.41736111111111113</v>
      </c>
      <c r="G472" s="9">
        <f t="shared" si="50"/>
        <v>44816</v>
      </c>
      <c r="H472" s="11">
        <f t="shared" si="51"/>
        <v>1</v>
      </c>
      <c r="I472" s="10">
        <f t="shared" si="47"/>
        <v>2.2999999999999998</v>
      </c>
      <c r="J472" s="10">
        <f t="shared" si="48"/>
        <v>7.2</v>
      </c>
      <c r="K472" s="10">
        <f t="shared" si="49"/>
        <v>16.899999999999999</v>
      </c>
      <c r="L472" s="10">
        <f t="shared" si="52"/>
        <v>70.900000000000006</v>
      </c>
    </row>
    <row r="473" spans="1:12" x14ac:dyDescent="0.25">
      <c r="A473" s="7">
        <v>44818</v>
      </c>
      <c r="B473" t="s">
        <v>19</v>
      </c>
      <c r="C473" s="6">
        <v>2675</v>
      </c>
      <c r="D473" s="2" t="s">
        <v>44</v>
      </c>
      <c r="E473" s="1">
        <v>0.41736111111111113</v>
      </c>
      <c r="F473" s="1">
        <v>0.45347222222222222</v>
      </c>
      <c r="G473" s="9">
        <f t="shared" si="50"/>
        <v>44816</v>
      </c>
      <c r="H473" s="11">
        <f t="shared" si="51"/>
        <v>0.9</v>
      </c>
      <c r="I473" s="10">
        <f t="shared" si="47"/>
        <v>3.1999999999999997</v>
      </c>
      <c r="J473" s="10">
        <f t="shared" si="48"/>
        <v>7.2</v>
      </c>
      <c r="K473" s="10">
        <f t="shared" si="49"/>
        <v>17.799999999999997</v>
      </c>
      <c r="L473" s="10">
        <f t="shared" si="52"/>
        <v>71.800000000000011</v>
      </c>
    </row>
    <row r="474" spans="1:12" x14ac:dyDescent="0.25">
      <c r="A474" s="7">
        <v>44818</v>
      </c>
      <c r="B474" t="s">
        <v>17</v>
      </c>
      <c r="C474" s="6">
        <v>2420</v>
      </c>
      <c r="D474" s="5" t="s">
        <v>181</v>
      </c>
      <c r="E474" s="1">
        <v>0.45347222222222222</v>
      </c>
      <c r="F474" s="1">
        <v>0.46527777777777773</v>
      </c>
      <c r="G474" s="9">
        <f t="shared" si="50"/>
        <v>44816</v>
      </c>
      <c r="H474" s="11">
        <f t="shared" si="51"/>
        <v>0.3</v>
      </c>
      <c r="I474" s="10">
        <f t="shared" si="47"/>
        <v>3.5</v>
      </c>
      <c r="J474" s="10">
        <f t="shared" si="48"/>
        <v>7.2</v>
      </c>
      <c r="K474" s="10">
        <f t="shared" si="49"/>
        <v>18.100000000000001</v>
      </c>
      <c r="L474" s="10">
        <f t="shared" si="52"/>
        <v>72.099999999999994</v>
      </c>
    </row>
    <row r="475" spans="1:12" x14ac:dyDescent="0.25">
      <c r="A475" s="7">
        <v>44818</v>
      </c>
      <c r="B475" t="s">
        <v>17</v>
      </c>
      <c r="C475" s="6">
        <v>2420</v>
      </c>
      <c r="D475" s="5" t="s">
        <v>181</v>
      </c>
      <c r="E475" s="1">
        <v>0.48194444444444445</v>
      </c>
      <c r="F475" s="1">
        <v>0.57222222222222219</v>
      </c>
      <c r="G475" s="9">
        <f t="shared" si="50"/>
        <v>44816</v>
      </c>
      <c r="H475" s="11">
        <f t="shared" si="51"/>
        <v>2.2000000000000002</v>
      </c>
      <c r="I475" s="10">
        <f t="shared" si="47"/>
        <v>5.7</v>
      </c>
      <c r="J475" s="10">
        <f t="shared" si="48"/>
        <v>7.2</v>
      </c>
      <c r="K475" s="10">
        <f t="shared" si="49"/>
        <v>20.3</v>
      </c>
      <c r="L475" s="10">
        <f t="shared" si="52"/>
        <v>74.3</v>
      </c>
    </row>
    <row r="476" spans="1:12" x14ac:dyDescent="0.25">
      <c r="A476" s="7">
        <v>44818</v>
      </c>
      <c r="B476" s="2" t="s">
        <v>126</v>
      </c>
      <c r="C476" s="24" t="s">
        <v>125</v>
      </c>
      <c r="D476" s="5" t="s">
        <v>175</v>
      </c>
      <c r="E476" s="1">
        <v>0.57222222222222219</v>
      </c>
      <c r="F476" s="1">
        <v>0.62152777777777779</v>
      </c>
      <c r="G476" s="9">
        <f t="shared" si="50"/>
        <v>44816</v>
      </c>
      <c r="H476" s="11">
        <f t="shared" si="51"/>
        <v>1.2</v>
      </c>
      <c r="I476" s="10">
        <f t="shared" si="47"/>
        <v>6.9</v>
      </c>
      <c r="J476" s="10">
        <f t="shared" si="48"/>
        <v>7.2</v>
      </c>
      <c r="K476" s="10">
        <f t="shared" si="49"/>
        <v>21.5</v>
      </c>
      <c r="L476" s="10">
        <f t="shared" si="52"/>
        <v>75.5</v>
      </c>
    </row>
    <row r="477" spans="1:12" x14ac:dyDescent="0.25">
      <c r="A477" s="7">
        <v>44818</v>
      </c>
      <c r="B477" t="s">
        <v>17</v>
      </c>
      <c r="C477" s="6">
        <v>2420</v>
      </c>
      <c r="D477" s="5" t="s">
        <v>181</v>
      </c>
      <c r="E477" s="1">
        <v>0.62152777777777779</v>
      </c>
      <c r="F477" s="1">
        <v>0.63680555555555551</v>
      </c>
      <c r="G477" s="9">
        <f t="shared" si="50"/>
        <v>44816</v>
      </c>
      <c r="H477" s="11">
        <f t="shared" si="51"/>
        <v>0.4</v>
      </c>
      <c r="I477" s="10">
        <f t="shared" si="47"/>
        <v>7.3000000000000007</v>
      </c>
      <c r="J477" s="10">
        <f t="shared" si="48"/>
        <v>7.2</v>
      </c>
      <c r="K477" s="10">
        <f t="shared" si="49"/>
        <v>21.9</v>
      </c>
      <c r="L477" s="10">
        <f t="shared" si="52"/>
        <v>75.900000000000006</v>
      </c>
    </row>
    <row r="478" spans="1:12" x14ac:dyDescent="0.25">
      <c r="A478" s="7">
        <v>44819</v>
      </c>
      <c r="B478" t="s">
        <v>6</v>
      </c>
      <c r="C478" s="6" t="s">
        <v>416</v>
      </c>
      <c r="D478" s="2" t="s">
        <v>195</v>
      </c>
      <c r="E478" s="1">
        <v>0.34722222222222227</v>
      </c>
      <c r="F478" s="1">
        <v>0.38611111111111113</v>
      </c>
      <c r="G478" s="9">
        <f t="shared" si="50"/>
        <v>44816</v>
      </c>
      <c r="H478" s="11">
        <f t="shared" si="51"/>
        <v>0.9</v>
      </c>
      <c r="I478" s="10">
        <f t="shared" si="47"/>
        <v>0.9</v>
      </c>
      <c r="J478" s="10">
        <f t="shared" si="48"/>
        <v>7.2</v>
      </c>
      <c r="K478" s="10">
        <f t="shared" si="49"/>
        <v>22.799999999999997</v>
      </c>
      <c r="L478" s="10">
        <f t="shared" si="52"/>
        <v>76.800000000000011</v>
      </c>
    </row>
    <row r="479" spans="1:12" x14ac:dyDescent="0.25">
      <c r="A479" s="7">
        <v>44819</v>
      </c>
      <c r="B479" t="s">
        <v>17</v>
      </c>
      <c r="C479" s="6">
        <v>2420</v>
      </c>
      <c r="D479" s="5" t="s">
        <v>181</v>
      </c>
      <c r="E479" s="1">
        <v>0.38611111111111113</v>
      </c>
      <c r="F479" s="1">
        <v>0.45833333333333331</v>
      </c>
      <c r="G479" s="9">
        <f t="shared" si="50"/>
        <v>44816</v>
      </c>
      <c r="H479" s="11">
        <f t="shared" si="51"/>
        <v>1.7</v>
      </c>
      <c r="I479" s="10">
        <f t="shared" si="47"/>
        <v>2.6</v>
      </c>
      <c r="J479" s="10">
        <f t="shared" si="48"/>
        <v>7.2</v>
      </c>
      <c r="K479" s="10">
        <f t="shared" si="49"/>
        <v>24.5</v>
      </c>
      <c r="L479" s="10">
        <f t="shared" si="52"/>
        <v>78.5</v>
      </c>
    </row>
    <row r="480" spans="1:12" x14ac:dyDescent="0.25">
      <c r="A480" s="7">
        <v>44819</v>
      </c>
      <c r="B480" t="s">
        <v>19</v>
      </c>
      <c r="C480" s="6">
        <v>2675</v>
      </c>
      <c r="D480" s="2" t="s">
        <v>44</v>
      </c>
      <c r="E480" s="1">
        <v>0.45833333333333331</v>
      </c>
      <c r="F480" s="1">
        <v>0.4777777777777778</v>
      </c>
      <c r="G480" s="9">
        <f t="shared" si="50"/>
        <v>44816</v>
      </c>
      <c r="H480" s="11">
        <f t="shared" si="51"/>
        <v>0.5</v>
      </c>
      <c r="I480" s="10">
        <f t="shared" si="47"/>
        <v>3.1</v>
      </c>
      <c r="J480" s="10">
        <f t="shared" si="48"/>
        <v>7.2</v>
      </c>
      <c r="K480" s="10">
        <f t="shared" si="49"/>
        <v>25</v>
      </c>
      <c r="L480" s="10">
        <f t="shared" si="52"/>
        <v>79</v>
      </c>
    </row>
    <row r="481" spans="1:12" x14ac:dyDescent="0.25">
      <c r="A481" s="7">
        <v>44819</v>
      </c>
      <c r="B481" t="s">
        <v>19</v>
      </c>
      <c r="C481" s="6">
        <v>2675</v>
      </c>
      <c r="D481" s="2" t="s">
        <v>90</v>
      </c>
      <c r="E481" s="1">
        <v>0.51388888888888895</v>
      </c>
      <c r="F481" s="1">
        <v>0.67083333333333339</v>
      </c>
      <c r="G481" s="9">
        <f t="shared" si="50"/>
        <v>44816</v>
      </c>
      <c r="H481" s="11">
        <f t="shared" si="51"/>
        <v>3.8</v>
      </c>
      <c r="I481" s="10">
        <f t="shared" si="47"/>
        <v>6.9</v>
      </c>
      <c r="J481" s="10">
        <f t="shared" si="48"/>
        <v>7.2</v>
      </c>
      <c r="K481" s="10">
        <f t="shared" si="49"/>
        <v>28.8</v>
      </c>
      <c r="L481" s="10">
        <f t="shared" si="52"/>
        <v>82.8</v>
      </c>
    </row>
    <row r="482" spans="1:12" x14ac:dyDescent="0.25">
      <c r="A482" s="7">
        <v>44820</v>
      </c>
      <c r="B482" t="s">
        <v>19</v>
      </c>
      <c r="C482" s="6">
        <v>2675</v>
      </c>
      <c r="D482" s="2" t="s">
        <v>90</v>
      </c>
      <c r="E482" s="1">
        <v>0.27638888888888885</v>
      </c>
      <c r="F482" s="1">
        <v>0.33124999999999999</v>
      </c>
      <c r="G482" s="9">
        <f t="shared" si="50"/>
        <v>44816</v>
      </c>
      <c r="H482" s="11">
        <f t="shared" si="51"/>
        <v>1.3</v>
      </c>
      <c r="I482" s="10">
        <f t="shared" si="47"/>
        <v>1.3</v>
      </c>
      <c r="J482" s="10">
        <f t="shared" si="48"/>
        <v>7.2</v>
      </c>
      <c r="K482" s="10">
        <f t="shared" si="49"/>
        <v>30.1</v>
      </c>
      <c r="L482" s="10">
        <f t="shared" si="52"/>
        <v>84.1</v>
      </c>
    </row>
    <row r="483" spans="1:12" x14ac:dyDescent="0.25">
      <c r="A483" s="7">
        <v>44820</v>
      </c>
      <c r="B483" s="2" t="s">
        <v>126</v>
      </c>
      <c r="C483" s="24" t="s">
        <v>125</v>
      </c>
      <c r="D483" s="5" t="s">
        <v>196</v>
      </c>
      <c r="E483" s="1">
        <v>0.33194444444444443</v>
      </c>
      <c r="F483" s="1">
        <v>0.36805555555555558</v>
      </c>
      <c r="G483" s="9">
        <f t="shared" si="50"/>
        <v>44816</v>
      </c>
      <c r="H483" s="11">
        <f t="shared" si="51"/>
        <v>0.9</v>
      </c>
      <c r="I483" s="10">
        <f t="shared" si="47"/>
        <v>2.2000000000000002</v>
      </c>
      <c r="J483" s="10">
        <f t="shared" si="48"/>
        <v>7.2</v>
      </c>
      <c r="K483" s="10">
        <f t="shared" si="49"/>
        <v>31</v>
      </c>
      <c r="L483" s="10">
        <f t="shared" si="52"/>
        <v>85</v>
      </c>
    </row>
    <row r="484" spans="1:12" x14ac:dyDescent="0.25">
      <c r="A484" s="7">
        <v>44820</v>
      </c>
      <c r="B484" t="s">
        <v>17</v>
      </c>
      <c r="C484" s="6">
        <v>2420</v>
      </c>
      <c r="D484" s="2" t="s">
        <v>197</v>
      </c>
      <c r="E484" s="1">
        <v>0.36805555555555558</v>
      </c>
      <c r="F484" s="1">
        <v>0.41666666666666669</v>
      </c>
      <c r="G484" s="9">
        <f t="shared" si="50"/>
        <v>44816</v>
      </c>
      <c r="H484" s="11">
        <f t="shared" si="51"/>
        <v>1.2</v>
      </c>
      <c r="I484" s="10">
        <f t="shared" si="47"/>
        <v>3.4000000000000004</v>
      </c>
      <c r="J484" s="10">
        <f t="shared" si="48"/>
        <v>7.2</v>
      </c>
      <c r="K484" s="10">
        <f t="shared" si="49"/>
        <v>32.200000000000003</v>
      </c>
      <c r="L484" s="10">
        <f t="shared" si="52"/>
        <v>86.2</v>
      </c>
    </row>
    <row r="485" spans="1:12" ht="14.4" x14ac:dyDescent="0.3">
      <c r="A485" s="7">
        <v>44820</v>
      </c>
      <c r="B485" s="2" t="s">
        <v>464</v>
      </c>
      <c r="C485" s="28">
        <v>2431</v>
      </c>
      <c r="D485" s="2" t="s">
        <v>198</v>
      </c>
      <c r="E485" s="1">
        <v>0.41666666666666669</v>
      </c>
      <c r="F485" s="1">
        <v>0.47916666666666669</v>
      </c>
      <c r="G485" s="9">
        <f t="shared" si="50"/>
        <v>44816</v>
      </c>
      <c r="H485" s="11">
        <f t="shared" si="51"/>
        <v>1.5</v>
      </c>
      <c r="I485" s="10">
        <f t="shared" si="47"/>
        <v>4.9000000000000004</v>
      </c>
      <c r="J485" s="10">
        <f t="shared" si="48"/>
        <v>7.2</v>
      </c>
      <c r="K485" s="10">
        <f t="shared" si="49"/>
        <v>33.700000000000003</v>
      </c>
      <c r="L485" s="10">
        <f t="shared" si="52"/>
        <v>87.7</v>
      </c>
    </row>
    <row r="486" spans="1:12" x14ac:dyDescent="0.25">
      <c r="A486" s="7">
        <v>44820</v>
      </c>
      <c r="B486" t="s">
        <v>17</v>
      </c>
      <c r="C486" s="6">
        <v>2420</v>
      </c>
      <c r="D486" s="2" t="s">
        <v>197</v>
      </c>
      <c r="E486" s="1">
        <v>0.47916666666666669</v>
      </c>
      <c r="F486" s="1">
        <v>0.4861111111111111</v>
      </c>
      <c r="G486" s="9">
        <f t="shared" si="50"/>
        <v>44816</v>
      </c>
      <c r="H486" s="11">
        <f t="shared" si="51"/>
        <v>0.2</v>
      </c>
      <c r="I486" s="10">
        <f t="shared" si="47"/>
        <v>5.1000000000000005</v>
      </c>
      <c r="J486" s="10">
        <f t="shared" si="48"/>
        <v>7.2</v>
      </c>
      <c r="K486" s="10">
        <f t="shared" si="49"/>
        <v>33.900000000000006</v>
      </c>
      <c r="L486" s="10">
        <f t="shared" si="52"/>
        <v>87.9</v>
      </c>
    </row>
    <row r="487" spans="1:12" x14ac:dyDescent="0.25">
      <c r="A487" s="7">
        <v>44820</v>
      </c>
      <c r="B487" t="s">
        <v>17</v>
      </c>
      <c r="C487" s="6">
        <v>2420</v>
      </c>
      <c r="D487" s="2" t="s">
        <v>197</v>
      </c>
      <c r="E487" s="1">
        <v>0.50486111111111109</v>
      </c>
      <c r="F487" s="1">
        <v>0.62638888888888888</v>
      </c>
      <c r="G487" s="9">
        <f t="shared" si="50"/>
        <v>44816</v>
      </c>
      <c r="H487" s="11">
        <f t="shared" si="51"/>
        <v>2.9</v>
      </c>
      <c r="I487" s="10">
        <f t="shared" si="47"/>
        <v>8</v>
      </c>
      <c r="J487" s="10">
        <f t="shared" si="48"/>
        <v>7.2</v>
      </c>
      <c r="K487" s="10">
        <f t="shared" si="49"/>
        <v>36.799999999999997</v>
      </c>
      <c r="L487" s="10">
        <f t="shared" si="52"/>
        <v>90.800000000000011</v>
      </c>
    </row>
    <row r="488" spans="1:12" x14ac:dyDescent="0.25">
      <c r="A488" s="7">
        <v>44823</v>
      </c>
      <c r="B488" t="s">
        <v>17</v>
      </c>
      <c r="C488" s="6">
        <v>2420</v>
      </c>
      <c r="D488" s="2" t="s">
        <v>197</v>
      </c>
      <c r="E488" s="1">
        <v>0.3034722222222222</v>
      </c>
      <c r="F488" s="1">
        <v>0.41666666666666669</v>
      </c>
      <c r="G488" s="9">
        <f t="shared" si="50"/>
        <v>44823</v>
      </c>
      <c r="H488" s="11">
        <f t="shared" si="51"/>
        <v>2.7</v>
      </c>
      <c r="I488" s="10">
        <f t="shared" si="47"/>
        <v>2.7</v>
      </c>
      <c r="J488" s="10">
        <f t="shared" si="48"/>
        <v>7.2</v>
      </c>
      <c r="K488" s="10">
        <f t="shared" si="49"/>
        <v>2.7</v>
      </c>
      <c r="L488" s="10">
        <f t="shared" si="52"/>
        <v>93.5</v>
      </c>
    </row>
    <row r="489" spans="1:12" x14ac:dyDescent="0.25">
      <c r="A489" s="7">
        <v>44823</v>
      </c>
      <c r="B489" t="s">
        <v>6</v>
      </c>
      <c r="C489" s="6" t="s">
        <v>416</v>
      </c>
      <c r="D489" s="2" t="s">
        <v>112</v>
      </c>
      <c r="E489" s="1">
        <v>0.41666666666666669</v>
      </c>
      <c r="F489" s="1">
        <v>0.46388888888888885</v>
      </c>
      <c r="G489" s="9">
        <f t="shared" si="50"/>
        <v>44823</v>
      </c>
      <c r="H489" s="11">
        <f t="shared" si="51"/>
        <v>1.1000000000000001</v>
      </c>
      <c r="I489" s="10">
        <f t="shared" si="47"/>
        <v>3.8000000000000003</v>
      </c>
      <c r="J489" s="10">
        <f t="shared" si="48"/>
        <v>7.2</v>
      </c>
      <c r="K489" s="10">
        <f t="shared" si="49"/>
        <v>3.8000000000000003</v>
      </c>
      <c r="L489" s="10">
        <f t="shared" si="52"/>
        <v>94.6</v>
      </c>
    </row>
    <row r="490" spans="1:12" x14ac:dyDescent="0.25">
      <c r="A490" s="7">
        <v>44823</v>
      </c>
      <c r="B490" t="s">
        <v>17</v>
      </c>
      <c r="C490" s="6">
        <v>2420</v>
      </c>
      <c r="D490" s="2" t="s">
        <v>197</v>
      </c>
      <c r="E490" s="1">
        <v>0.46388888888888885</v>
      </c>
      <c r="F490" s="1">
        <v>0.47569444444444442</v>
      </c>
      <c r="G490" s="9">
        <f t="shared" si="50"/>
        <v>44823</v>
      </c>
      <c r="H490" s="11">
        <f t="shared" si="51"/>
        <v>0.3</v>
      </c>
      <c r="I490" s="10">
        <f t="shared" si="47"/>
        <v>4.0999999999999996</v>
      </c>
      <c r="J490" s="10">
        <f t="shared" si="48"/>
        <v>7.2</v>
      </c>
      <c r="K490" s="10">
        <f t="shared" si="49"/>
        <v>4.0999999999999996</v>
      </c>
      <c r="L490" s="10">
        <f t="shared" si="52"/>
        <v>94.899999999999991</v>
      </c>
    </row>
    <row r="491" spans="1:12" x14ac:dyDescent="0.25">
      <c r="A491" s="7">
        <v>44823</v>
      </c>
      <c r="B491" t="s">
        <v>17</v>
      </c>
      <c r="C491" s="6">
        <v>2420</v>
      </c>
      <c r="D491" s="2" t="s">
        <v>197</v>
      </c>
      <c r="E491" s="1">
        <v>0.48819444444444443</v>
      </c>
      <c r="F491" s="1">
        <v>0.65972222222222221</v>
      </c>
      <c r="G491" s="9">
        <f t="shared" si="50"/>
        <v>44823</v>
      </c>
      <c r="H491" s="11">
        <f t="shared" si="51"/>
        <v>4.0999999999999996</v>
      </c>
      <c r="I491" s="10">
        <f t="shared" si="47"/>
        <v>8.1999999999999993</v>
      </c>
      <c r="J491" s="10">
        <f t="shared" si="48"/>
        <v>7.2</v>
      </c>
      <c r="K491" s="10">
        <f t="shared" si="49"/>
        <v>8.1999999999999993</v>
      </c>
      <c r="L491" s="10">
        <f t="shared" si="52"/>
        <v>99</v>
      </c>
    </row>
    <row r="492" spans="1:12" x14ac:dyDescent="0.25">
      <c r="A492" s="7">
        <v>44824</v>
      </c>
      <c r="B492" t="s">
        <v>17</v>
      </c>
      <c r="C492" s="6">
        <v>2420</v>
      </c>
      <c r="D492" s="2" t="s">
        <v>199</v>
      </c>
      <c r="E492" s="1">
        <v>0.31319444444444444</v>
      </c>
      <c r="F492" s="1">
        <v>0.41666666666666669</v>
      </c>
      <c r="G492" s="9">
        <f t="shared" si="50"/>
        <v>44823</v>
      </c>
      <c r="H492" s="11">
        <f t="shared" si="51"/>
        <v>2.5</v>
      </c>
      <c r="I492" s="10">
        <f t="shared" si="47"/>
        <v>2.5</v>
      </c>
      <c r="J492" s="10">
        <f t="shared" si="48"/>
        <v>7.2</v>
      </c>
      <c r="K492" s="10">
        <f t="shared" si="49"/>
        <v>10.7</v>
      </c>
      <c r="L492" s="10">
        <f t="shared" si="52"/>
        <v>101.5</v>
      </c>
    </row>
    <row r="493" spans="1:12" x14ac:dyDescent="0.25">
      <c r="A493" s="7">
        <v>44824</v>
      </c>
      <c r="B493" t="s">
        <v>6</v>
      </c>
      <c r="C493" s="6" t="s">
        <v>416</v>
      </c>
      <c r="D493" s="2" t="s">
        <v>130</v>
      </c>
      <c r="E493" s="1">
        <v>0.41666666666666669</v>
      </c>
      <c r="F493" s="1">
        <v>0.46527777777777773</v>
      </c>
      <c r="G493" s="9">
        <f t="shared" si="50"/>
        <v>44823</v>
      </c>
      <c r="H493" s="11">
        <f t="shared" si="51"/>
        <v>1.2</v>
      </c>
      <c r="I493" s="10">
        <f t="shared" si="47"/>
        <v>3.7</v>
      </c>
      <c r="J493" s="10">
        <f t="shared" si="48"/>
        <v>7.2</v>
      </c>
      <c r="K493" s="10">
        <f t="shared" si="49"/>
        <v>11.899999999999999</v>
      </c>
      <c r="L493" s="10">
        <f t="shared" si="52"/>
        <v>102.7</v>
      </c>
    </row>
    <row r="494" spans="1:12" x14ac:dyDescent="0.25">
      <c r="A494" s="7">
        <v>44824</v>
      </c>
      <c r="B494" t="s">
        <v>17</v>
      </c>
      <c r="C494" s="6">
        <v>2420</v>
      </c>
      <c r="D494" s="2" t="s">
        <v>199</v>
      </c>
      <c r="E494" s="1">
        <v>0.46527777777777773</v>
      </c>
      <c r="F494" s="1">
        <v>0.46875</v>
      </c>
      <c r="G494" s="9">
        <f t="shared" si="50"/>
        <v>44823</v>
      </c>
      <c r="H494" s="11">
        <f t="shared" si="51"/>
        <v>0.1</v>
      </c>
      <c r="I494" s="10">
        <f t="shared" si="47"/>
        <v>3.8000000000000003</v>
      </c>
      <c r="J494" s="10">
        <f t="shared" si="48"/>
        <v>7.2</v>
      </c>
      <c r="K494" s="10">
        <f t="shared" si="49"/>
        <v>12</v>
      </c>
      <c r="L494" s="10">
        <f t="shared" si="52"/>
        <v>102.8</v>
      </c>
    </row>
    <row r="495" spans="1:12" x14ac:dyDescent="0.25">
      <c r="A495" s="7">
        <v>44824</v>
      </c>
      <c r="B495" t="s">
        <v>17</v>
      </c>
      <c r="C495" s="6">
        <v>2420</v>
      </c>
      <c r="D495" s="2" t="s">
        <v>199</v>
      </c>
      <c r="E495" s="1">
        <v>0.48125000000000001</v>
      </c>
      <c r="F495" s="1">
        <v>0.64444444444444449</v>
      </c>
      <c r="G495" s="9">
        <f t="shared" si="50"/>
        <v>44823</v>
      </c>
      <c r="H495" s="11">
        <f t="shared" si="51"/>
        <v>3.9</v>
      </c>
      <c r="I495" s="10">
        <f t="shared" si="47"/>
        <v>7.6999999999999993</v>
      </c>
      <c r="J495" s="10">
        <f t="shared" si="48"/>
        <v>7.2</v>
      </c>
      <c r="K495" s="10">
        <f t="shared" si="49"/>
        <v>15.9</v>
      </c>
      <c r="L495" s="10">
        <f t="shared" si="52"/>
        <v>106.7</v>
      </c>
    </row>
    <row r="496" spans="1:12" x14ac:dyDescent="0.25">
      <c r="A496" s="7">
        <v>44825</v>
      </c>
      <c r="B496" t="s">
        <v>17</v>
      </c>
      <c r="C496" s="6">
        <v>2420</v>
      </c>
      <c r="D496" s="2" t="s">
        <v>199</v>
      </c>
      <c r="E496" s="1">
        <v>0.30277777777777776</v>
      </c>
      <c r="F496" s="1">
        <v>0.46527777777777773</v>
      </c>
      <c r="G496" s="9">
        <f t="shared" si="50"/>
        <v>44823</v>
      </c>
      <c r="H496" s="11">
        <f t="shared" si="51"/>
        <v>3.9</v>
      </c>
      <c r="I496" s="10">
        <f t="shared" si="47"/>
        <v>3.9</v>
      </c>
      <c r="J496" s="10">
        <f t="shared" si="48"/>
        <v>7.2</v>
      </c>
      <c r="K496" s="10">
        <f t="shared" si="49"/>
        <v>19.8</v>
      </c>
      <c r="L496" s="10">
        <f t="shared" si="52"/>
        <v>110.60000000000001</v>
      </c>
    </row>
    <row r="497" spans="1:12" x14ac:dyDescent="0.25">
      <c r="A497" s="7">
        <v>44825</v>
      </c>
      <c r="B497" t="s">
        <v>17</v>
      </c>
      <c r="C497" s="6">
        <v>2420</v>
      </c>
      <c r="D497" s="2" t="s">
        <v>199</v>
      </c>
      <c r="E497" s="1">
        <v>0.52777777777777779</v>
      </c>
      <c r="F497" s="1">
        <v>0.65763888888888888</v>
      </c>
      <c r="G497" s="9">
        <f t="shared" si="50"/>
        <v>44823</v>
      </c>
      <c r="H497" s="11">
        <f t="shared" si="51"/>
        <v>3.1</v>
      </c>
      <c r="I497" s="10">
        <f t="shared" si="47"/>
        <v>7</v>
      </c>
      <c r="J497" s="10">
        <f t="shared" si="48"/>
        <v>7.2</v>
      </c>
      <c r="K497" s="10">
        <f t="shared" si="49"/>
        <v>22.900000000000002</v>
      </c>
      <c r="L497" s="10">
        <f t="shared" si="52"/>
        <v>113.69999999999999</v>
      </c>
    </row>
    <row r="498" spans="1:12" x14ac:dyDescent="0.25">
      <c r="A498" s="7">
        <v>44826</v>
      </c>
      <c r="B498" t="s">
        <v>17</v>
      </c>
      <c r="C498" s="6">
        <v>2420</v>
      </c>
      <c r="D498" s="2" t="s">
        <v>199</v>
      </c>
      <c r="E498" s="1">
        <v>0.35347222222222219</v>
      </c>
      <c r="F498" s="1">
        <v>0.50972222222222219</v>
      </c>
      <c r="G498" s="9">
        <f t="shared" si="50"/>
        <v>44823</v>
      </c>
      <c r="H498" s="11">
        <f t="shared" si="51"/>
        <v>3.8</v>
      </c>
      <c r="I498" s="10">
        <f t="shared" si="47"/>
        <v>3.8</v>
      </c>
      <c r="J498" s="10">
        <f t="shared" si="48"/>
        <v>7.2</v>
      </c>
      <c r="K498" s="10">
        <f t="shared" si="49"/>
        <v>26.7</v>
      </c>
      <c r="L498" s="10">
        <f t="shared" si="52"/>
        <v>117.5</v>
      </c>
    </row>
    <row r="499" spans="1:12" x14ac:dyDescent="0.25">
      <c r="A499" s="7">
        <v>44826</v>
      </c>
      <c r="B499" t="s">
        <v>17</v>
      </c>
      <c r="C499" s="6">
        <v>2420</v>
      </c>
      <c r="D499" s="2" t="s">
        <v>199</v>
      </c>
      <c r="E499" s="1">
        <v>0.52430555555555558</v>
      </c>
      <c r="F499" s="1">
        <v>0.6381944444444444</v>
      </c>
      <c r="G499" s="9">
        <f t="shared" si="50"/>
        <v>44823</v>
      </c>
      <c r="H499" s="11">
        <f t="shared" si="51"/>
        <v>2.7</v>
      </c>
      <c r="I499" s="10">
        <f t="shared" si="47"/>
        <v>6.5</v>
      </c>
      <c r="J499" s="10">
        <f t="shared" si="48"/>
        <v>7.2</v>
      </c>
      <c r="K499" s="10">
        <f t="shared" si="49"/>
        <v>29.4</v>
      </c>
      <c r="L499" s="10">
        <f t="shared" si="52"/>
        <v>120.2</v>
      </c>
    </row>
    <row r="500" spans="1:12" x14ac:dyDescent="0.25">
      <c r="A500" s="7">
        <v>44827</v>
      </c>
      <c r="B500" t="s">
        <v>17</v>
      </c>
      <c r="C500" s="6">
        <v>2420</v>
      </c>
      <c r="D500" s="2" t="s">
        <v>199</v>
      </c>
      <c r="E500" s="1">
        <v>0.3354166666666667</v>
      </c>
      <c r="F500" s="1">
        <v>0.46527777777777773</v>
      </c>
      <c r="G500" s="9">
        <f t="shared" si="50"/>
        <v>44823</v>
      </c>
      <c r="H500" s="11">
        <f t="shared" si="51"/>
        <v>3.1</v>
      </c>
      <c r="I500" s="10">
        <f t="shared" si="47"/>
        <v>3.1</v>
      </c>
      <c r="J500" s="10">
        <f t="shared" si="48"/>
        <v>7.2</v>
      </c>
      <c r="K500" s="10">
        <f t="shared" si="49"/>
        <v>32.5</v>
      </c>
      <c r="L500" s="10">
        <f t="shared" si="52"/>
        <v>123.3</v>
      </c>
    </row>
    <row r="501" spans="1:12" x14ac:dyDescent="0.25">
      <c r="A501" s="7">
        <v>44827</v>
      </c>
      <c r="B501" t="s">
        <v>17</v>
      </c>
      <c r="C501" s="6">
        <v>2420</v>
      </c>
      <c r="D501" s="2" t="s">
        <v>199</v>
      </c>
      <c r="E501" s="1">
        <v>0.4861111111111111</v>
      </c>
      <c r="F501" s="1">
        <v>0.65138888888888891</v>
      </c>
      <c r="G501" s="9">
        <f t="shared" si="50"/>
        <v>44823</v>
      </c>
      <c r="H501" s="11">
        <f t="shared" si="51"/>
        <v>4</v>
      </c>
      <c r="I501" s="10">
        <f t="shared" si="47"/>
        <v>7.1</v>
      </c>
      <c r="J501" s="10">
        <f t="shared" si="48"/>
        <v>7.2</v>
      </c>
      <c r="K501" s="10">
        <f t="shared" si="49"/>
        <v>36.5</v>
      </c>
      <c r="L501" s="10">
        <f t="shared" si="52"/>
        <v>127.3</v>
      </c>
    </row>
    <row r="502" spans="1:12" x14ac:dyDescent="0.25">
      <c r="A502" s="7">
        <v>44830</v>
      </c>
      <c r="B502" t="s">
        <v>7</v>
      </c>
      <c r="C502" s="6" t="s">
        <v>22</v>
      </c>
      <c r="D502" s="2" t="s">
        <v>200</v>
      </c>
      <c r="E502" s="1">
        <v>0.40972222222222227</v>
      </c>
      <c r="F502" s="1">
        <v>0.70833333333333337</v>
      </c>
      <c r="G502" s="9">
        <f t="shared" si="50"/>
        <v>44830</v>
      </c>
      <c r="H502" s="11">
        <f t="shared" si="51"/>
        <v>7.2</v>
      </c>
      <c r="I502" s="10">
        <f t="shared" si="47"/>
        <v>7.2</v>
      </c>
      <c r="J502" s="10">
        <f t="shared" si="48"/>
        <v>7.2</v>
      </c>
      <c r="K502" s="10">
        <f t="shared" si="49"/>
        <v>7.2</v>
      </c>
      <c r="L502" s="10">
        <f t="shared" si="52"/>
        <v>134.5</v>
      </c>
    </row>
    <row r="503" spans="1:12" x14ac:dyDescent="0.25">
      <c r="A503" s="7">
        <v>44831</v>
      </c>
      <c r="B503" t="s">
        <v>7</v>
      </c>
      <c r="C503" s="6" t="s">
        <v>22</v>
      </c>
      <c r="D503" s="2" t="s">
        <v>201</v>
      </c>
      <c r="E503" s="1">
        <v>0.40972222222222227</v>
      </c>
      <c r="F503" s="1">
        <v>0.70833333333333337</v>
      </c>
      <c r="G503" s="9">
        <f t="shared" si="50"/>
        <v>44830</v>
      </c>
      <c r="H503" s="11">
        <f t="shared" si="51"/>
        <v>7.2</v>
      </c>
      <c r="I503" s="10">
        <f t="shared" si="47"/>
        <v>7.2</v>
      </c>
      <c r="J503" s="10">
        <f t="shared" si="48"/>
        <v>7.2</v>
      </c>
      <c r="K503" s="10">
        <f t="shared" si="49"/>
        <v>14.4</v>
      </c>
      <c r="L503" s="10">
        <f t="shared" si="52"/>
        <v>141.69999999999999</v>
      </c>
    </row>
    <row r="504" spans="1:12" x14ac:dyDescent="0.25">
      <c r="A504" s="7">
        <v>44832</v>
      </c>
      <c r="B504" t="s">
        <v>7</v>
      </c>
      <c r="C504" s="6" t="s">
        <v>22</v>
      </c>
      <c r="D504" s="2" t="s">
        <v>201</v>
      </c>
      <c r="E504" s="1">
        <v>0.40972222222222227</v>
      </c>
      <c r="F504" s="1">
        <v>0.70833333333333337</v>
      </c>
      <c r="G504" s="9">
        <f t="shared" si="50"/>
        <v>44830</v>
      </c>
      <c r="H504" s="11">
        <f t="shared" si="51"/>
        <v>7.2</v>
      </c>
      <c r="I504" s="10">
        <f t="shared" si="47"/>
        <v>7.2</v>
      </c>
      <c r="J504" s="10">
        <f t="shared" si="48"/>
        <v>7.2</v>
      </c>
      <c r="K504" s="10">
        <f t="shared" si="49"/>
        <v>21.6</v>
      </c>
      <c r="L504" s="10">
        <f t="shared" si="52"/>
        <v>148.89999999999998</v>
      </c>
    </row>
    <row r="505" spans="1:12" x14ac:dyDescent="0.25">
      <c r="A505" s="7">
        <v>44833</v>
      </c>
      <c r="B505" t="s">
        <v>7</v>
      </c>
      <c r="C505" s="6" t="s">
        <v>22</v>
      </c>
      <c r="D505" s="2" t="s">
        <v>201</v>
      </c>
      <c r="E505" s="1">
        <v>0.40972222222222227</v>
      </c>
      <c r="F505" s="1">
        <v>0.70833333333333337</v>
      </c>
      <c r="G505" s="9">
        <f t="shared" si="50"/>
        <v>44830</v>
      </c>
      <c r="H505" s="11">
        <f t="shared" si="51"/>
        <v>7.2</v>
      </c>
      <c r="I505" s="10">
        <f t="shared" si="47"/>
        <v>7.2</v>
      </c>
      <c r="J505" s="10">
        <f t="shared" si="48"/>
        <v>7.2</v>
      </c>
      <c r="K505" s="10">
        <f t="shared" si="49"/>
        <v>28.8</v>
      </c>
      <c r="L505" s="10">
        <f t="shared" si="52"/>
        <v>156.1</v>
      </c>
    </row>
    <row r="506" spans="1:12" x14ac:dyDescent="0.25">
      <c r="A506" s="7">
        <v>44834</v>
      </c>
      <c r="B506" t="s">
        <v>17</v>
      </c>
      <c r="C506" s="6">
        <v>2420</v>
      </c>
      <c r="D506" s="2" t="s">
        <v>202</v>
      </c>
      <c r="E506" s="1">
        <v>0.375</v>
      </c>
      <c r="F506" s="1">
        <v>0.50902777777777775</v>
      </c>
      <c r="G506" s="9">
        <f t="shared" si="50"/>
        <v>44830</v>
      </c>
      <c r="H506" s="11">
        <f t="shared" si="51"/>
        <v>3.2</v>
      </c>
      <c r="I506" s="10">
        <f t="shared" si="47"/>
        <v>3.2</v>
      </c>
      <c r="J506" s="10">
        <f t="shared" si="48"/>
        <v>7.2</v>
      </c>
      <c r="K506" s="10">
        <f t="shared" si="49"/>
        <v>32</v>
      </c>
      <c r="L506" s="10">
        <f t="shared" si="52"/>
        <v>159.29999999999998</v>
      </c>
    </row>
    <row r="507" spans="1:12" ht="14.4" x14ac:dyDescent="0.3">
      <c r="A507" s="7">
        <v>44834</v>
      </c>
      <c r="B507" s="2" t="s">
        <v>464</v>
      </c>
      <c r="C507" s="28">
        <v>2431</v>
      </c>
      <c r="D507" s="2" t="s">
        <v>203</v>
      </c>
      <c r="E507" s="1">
        <v>0.54166666666666663</v>
      </c>
      <c r="F507" s="1">
        <v>0.58333333333333337</v>
      </c>
      <c r="G507" s="9">
        <f t="shared" si="50"/>
        <v>44830</v>
      </c>
      <c r="H507" s="11">
        <f t="shared" si="51"/>
        <v>1</v>
      </c>
      <c r="I507" s="10">
        <f>IF(H507="",H507,H507+IF(A507=A506,_xlfn.NUMBERVALUE(I506),0))</f>
        <v>4.2</v>
      </c>
      <c r="J507" s="10">
        <f t="shared" si="48"/>
        <v>7.2</v>
      </c>
      <c r="K507" s="10">
        <f>IF(H507="",H507,H507+IF(G507=G506,_xlfn.NUMBERVALUE(K506),0))</f>
        <v>33</v>
      </c>
      <c r="L507" s="10">
        <f>IF(H507="",H507,H507+IF(MONTH(A507)=MONTH(A506),_xlfn.NUMBERVALUE(L506),0))</f>
        <v>160.30000000000001</v>
      </c>
    </row>
    <row r="508" spans="1:12" x14ac:dyDescent="0.25">
      <c r="A508" s="7">
        <v>44834</v>
      </c>
      <c r="B508" t="s">
        <v>7</v>
      </c>
      <c r="C508" s="6" t="s">
        <v>22</v>
      </c>
      <c r="D508" s="2" t="s">
        <v>201</v>
      </c>
      <c r="E508" s="1">
        <v>0.58333333333333337</v>
      </c>
      <c r="F508" s="1">
        <v>0.70833333333333337</v>
      </c>
      <c r="G508" s="9">
        <f t="shared" si="50"/>
        <v>44830</v>
      </c>
      <c r="H508" s="11">
        <f t="shared" si="51"/>
        <v>3</v>
      </c>
      <c r="I508" s="10">
        <f>IF(H508="",H508,H508+IF(A508=A507,_xlfn.NUMBERVALUE(I507),0))</f>
        <v>7.2</v>
      </c>
      <c r="J508" s="10">
        <f t="shared" si="48"/>
        <v>7.2</v>
      </c>
      <c r="K508" s="10">
        <f>IF(H508="",H508,H508+IF(G508=G507,_xlfn.NUMBERVALUE(K507),0))</f>
        <v>36</v>
      </c>
      <c r="L508" s="10">
        <f>IF(H508="",H508,H508+IF(MONTH(A508)=MONTH(A507),_xlfn.NUMBERVALUE(L507),0))</f>
        <v>163.30000000000001</v>
      </c>
    </row>
    <row r="509" spans="1:12" x14ac:dyDescent="0.25">
      <c r="A509" s="7">
        <v>44837</v>
      </c>
      <c r="B509" s="2" t="s">
        <v>6</v>
      </c>
      <c r="C509" s="24" t="s">
        <v>416</v>
      </c>
      <c r="D509" s="2" t="s">
        <v>204</v>
      </c>
      <c r="E509" s="1">
        <v>0.33402777777777781</v>
      </c>
      <c r="F509" s="1">
        <v>0.41666666666666669</v>
      </c>
      <c r="G509" s="9">
        <f t="shared" si="50"/>
        <v>44837</v>
      </c>
      <c r="H509" s="11">
        <f t="shared" si="51"/>
        <v>2</v>
      </c>
      <c r="I509" s="10">
        <f t="shared" si="47"/>
        <v>2</v>
      </c>
      <c r="J509" s="10">
        <f t="shared" si="48"/>
        <v>7.2</v>
      </c>
      <c r="K509" s="10">
        <f t="shared" si="49"/>
        <v>2</v>
      </c>
      <c r="L509" s="10">
        <f t="shared" si="52"/>
        <v>2</v>
      </c>
    </row>
    <row r="510" spans="1:12" x14ac:dyDescent="0.25">
      <c r="A510" s="7">
        <v>44837</v>
      </c>
      <c r="B510" s="2" t="s">
        <v>6</v>
      </c>
      <c r="C510" s="24" t="s">
        <v>416</v>
      </c>
      <c r="D510" s="2" t="s">
        <v>112</v>
      </c>
      <c r="E510" s="1">
        <v>0.41666666666666669</v>
      </c>
      <c r="F510" s="1">
        <v>0.44791666666666669</v>
      </c>
      <c r="G510" s="9">
        <f t="shared" si="50"/>
        <v>44837</v>
      </c>
      <c r="H510" s="11">
        <f t="shared" si="51"/>
        <v>0.8</v>
      </c>
      <c r="I510" s="10">
        <f t="shared" si="47"/>
        <v>2.8</v>
      </c>
      <c r="J510" s="10">
        <f t="shared" si="48"/>
        <v>7.2</v>
      </c>
      <c r="K510" s="10">
        <f t="shared" si="49"/>
        <v>2.8</v>
      </c>
      <c r="L510" s="10">
        <f t="shared" si="52"/>
        <v>2.8</v>
      </c>
    </row>
    <row r="511" spans="1:12" x14ac:dyDescent="0.25">
      <c r="A511" s="7">
        <v>44837</v>
      </c>
      <c r="B511" t="s">
        <v>17</v>
      </c>
      <c r="C511" s="6">
        <v>2420</v>
      </c>
      <c r="D511" s="2" t="s">
        <v>202</v>
      </c>
      <c r="E511" s="1">
        <v>0.44791666666666669</v>
      </c>
      <c r="F511" s="1">
        <v>0.49722222222222223</v>
      </c>
      <c r="G511" s="9">
        <f t="shared" si="50"/>
        <v>44837</v>
      </c>
      <c r="H511" s="11">
        <f t="shared" si="51"/>
        <v>1.2</v>
      </c>
      <c r="I511" s="10">
        <f t="shared" si="47"/>
        <v>4</v>
      </c>
      <c r="J511" s="10">
        <f t="shared" si="48"/>
        <v>7.2</v>
      </c>
      <c r="K511" s="10">
        <f t="shared" si="49"/>
        <v>4</v>
      </c>
      <c r="L511" s="10">
        <f t="shared" si="52"/>
        <v>4</v>
      </c>
    </row>
    <row r="512" spans="1:12" ht="14.4" x14ac:dyDescent="0.3">
      <c r="A512" s="7">
        <v>44837</v>
      </c>
      <c r="B512" s="2" t="s">
        <v>464</v>
      </c>
      <c r="C512" s="28">
        <v>2431</v>
      </c>
      <c r="D512" s="2" t="s">
        <v>44</v>
      </c>
      <c r="E512" s="1">
        <v>0.52083333333333337</v>
      </c>
      <c r="F512" s="1">
        <v>0.65208333333333335</v>
      </c>
      <c r="G512" s="9">
        <f t="shared" si="50"/>
        <v>44837</v>
      </c>
      <c r="H512" s="11">
        <f t="shared" si="51"/>
        <v>3.2</v>
      </c>
      <c r="I512" s="10">
        <f t="shared" si="47"/>
        <v>7.2</v>
      </c>
      <c r="J512" s="10">
        <f t="shared" si="48"/>
        <v>7.2</v>
      </c>
      <c r="K512" s="10">
        <f t="shared" si="49"/>
        <v>7.2</v>
      </c>
      <c r="L512" s="10">
        <f t="shared" si="52"/>
        <v>7.2</v>
      </c>
    </row>
    <row r="513" spans="1:12" ht="14.4" x14ac:dyDescent="0.3">
      <c r="A513" s="7">
        <v>44838</v>
      </c>
      <c r="B513" s="2" t="s">
        <v>464</v>
      </c>
      <c r="C513" s="28">
        <v>2431</v>
      </c>
      <c r="D513" s="2" t="s">
        <v>205</v>
      </c>
      <c r="E513" s="1">
        <v>0.3576388888888889</v>
      </c>
      <c r="F513" s="1">
        <v>0.39583333333333331</v>
      </c>
      <c r="G513" s="9">
        <f t="shared" si="50"/>
        <v>44837</v>
      </c>
      <c r="H513" s="11">
        <f t="shared" si="51"/>
        <v>0.9</v>
      </c>
      <c r="I513" s="10">
        <f t="shared" si="47"/>
        <v>0.9</v>
      </c>
      <c r="J513" s="10">
        <f t="shared" si="48"/>
        <v>7.2</v>
      </c>
      <c r="K513" s="10">
        <f t="shared" si="49"/>
        <v>8.1</v>
      </c>
      <c r="L513" s="10">
        <f t="shared" si="52"/>
        <v>8.1</v>
      </c>
    </row>
    <row r="514" spans="1:12" x14ac:dyDescent="0.25">
      <c r="A514" s="7">
        <v>44838</v>
      </c>
      <c r="B514" t="s">
        <v>17</v>
      </c>
      <c r="C514" s="6">
        <v>2420</v>
      </c>
      <c r="D514" s="2" t="s">
        <v>202</v>
      </c>
      <c r="E514" s="1">
        <v>0.39583333333333331</v>
      </c>
      <c r="F514" s="1">
        <v>0.45833333333333331</v>
      </c>
      <c r="G514" s="9">
        <f t="shared" si="50"/>
        <v>44837</v>
      </c>
      <c r="H514" s="11">
        <f t="shared" si="51"/>
        <v>1.5</v>
      </c>
      <c r="I514" s="10">
        <f t="shared" si="47"/>
        <v>2.4</v>
      </c>
      <c r="J514" s="10">
        <f t="shared" si="48"/>
        <v>7.2</v>
      </c>
      <c r="K514" s="10">
        <f t="shared" si="49"/>
        <v>9.6</v>
      </c>
      <c r="L514" s="10">
        <f t="shared" si="52"/>
        <v>9.6</v>
      </c>
    </row>
    <row r="515" spans="1:12" x14ac:dyDescent="0.25">
      <c r="A515" s="7">
        <v>44838</v>
      </c>
      <c r="B515" s="2" t="s">
        <v>6</v>
      </c>
      <c r="C515" s="24" t="s">
        <v>416</v>
      </c>
      <c r="D515" s="2" t="s">
        <v>130</v>
      </c>
      <c r="E515" s="1">
        <v>0.45833333333333331</v>
      </c>
      <c r="F515" s="1">
        <v>0.48402777777777778</v>
      </c>
      <c r="G515" s="9">
        <f t="shared" si="50"/>
        <v>44837</v>
      </c>
      <c r="H515" s="11">
        <f t="shared" si="51"/>
        <v>0.6</v>
      </c>
      <c r="I515" s="10">
        <f t="shared" ref="I515:I578" si="53">IF(H515="",H515,H515+IF(A515=A514,_xlfn.NUMBERVALUE(I514),0))</f>
        <v>3</v>
      </c>
      <c r="J515" s="10">
        <f t="shared" ref="J515:J578" si="54">IF(H515="",H515,7.2)</f>
        <v>7.2</v>
      </c>
      <c r="K515" s="10">
        <f t="shared" ref="K515:K578" si="55">IF(H515="",H515,H515+IF(G515=G514,_xlfn.NUMBERVALUE(K514),0))</f>
        <v>10.199999999999999</v>
      </c>
      <c r="L515" s="10">
        <f t="shared" si="52"/>
        <v>10.199999999999999</v>
      </c>
    </row>
    <row r="516" spans="1:12" x14ac:dyDescent="0.25">
      <c r="A516" s="7">
        <v>44838</v>
      </c>
      <c r="B516" t="s">
        <v>17</v>
      </c>
      <c r="C516" s="6">
        <v>2420</v>
      </c>
      <c r="D516" s="2" t="s">
        <v>202</v>
      </c>
      <c r="E516" s="1">
        <v>0.48402777777777778</v>
      </c>
      <c r="F516" s="1">
        <v>0.49583333333333335</v>
      </c>
      <c r="G516" s="9">
        <f t="shared" ref="G516:G579" si="56">IF(E516&gt;0,INT((A516-2)/7)*7+2,"")</f>
        <v>44837</v>
      </c>
      <c r="H516" s="11">
        <f t="shared" ref="H516:H579" si="57">IF(E516&gt;0,ROUND(24*(IF(F516&gt;0,F516,NowTime)-E516),1),"")</f>
        <v>0.3</v>
      </c>
      <c r="I516" s="10">
        <f t="shared" si="53"/>
        <v>3.3</v>
      </c>
      <c r="J516" s="10">
        <f t="shared" si="54"/>
        <v>7.2</v>
      </c>
      <c r="K516" s="10">
        <f t="shared" si="55"/>
        <v>10.5</v>
      </c>
      <c r="L516" s="10">
        <f t="shared" si="52"/>
        <v>10.5</v>
      </c>
    </row>
    <row r="517" spans="1:12" x14ac:dyDescent="0.25">
      <c r="A517" s="7">
        <v>44838</v>
      </c>
      <c r="B517" t="s">
        <v>17</v>
      </c>
      <c r="C517" s="6">
        <v>2420</v>
      </c>
      <c r="D517" s="2" t="s">
        <v>202</v>
      </c>
      <c r="E517" s="1">
        <v>0.50555555555555554</v>
      </c>
      <c r="F517" s="1">
        <v>0.58333333333333337</v>
      </c>
      <c r="G517" s="9">
        <f t="shared" si="56"/>
        <v>44837</v>
      </c>
      <c r="H517" s="11">
        <f t="shared" si="57"/>
        <v>1.9</v>
      </c>
      <c r="I517" s="10">
        <f t="shared" si="53"/>
        <v>5.1999999999999993</v>
      </c>
      <c r="J517" s="10">
        <f t="shared" si="54"/>
        <v>7.2</v>
      </c>
      <c r="K517" s="10">
        <f t="shared" si="55"/>
        <v>12.4</v>
      </c>
      <c r="L517" s="10">
        <f t="shared" ref="L517:L580" si="58">IF(H517="",H517,H517+IF(MONTH(A517)=MONTH(A516),_xlfn.NUMBERVALUE(L516),0))</f>
        <v>12.4</v>
      </c>
    </row>
    <row r="518" spans="1:12" x14ac:dyDescent="0.25">
      <c r="A518" s="7">
        <v>44838</v>
      </c>
      <c r="B518" s="2" t="s">
        <v>6</v>
      </c>
      <c r="C518" s="24" t="s">
        <v>416</v>
      </c>
      <c r="D518" s="2" t="s">
        <v>206</v>
      </c>
      <c r="E518" s="1">
        <v>0.58333333333333337</v>
      </c>
      <c r="F518" s="1">
        <v>0.62986111111111109</v>
      </c>
      <c r="G518" s="9">
        <f t="shared" si="56"/>
        <v>44837</v>
      </c>
      <c r="H518" s="11">
        <f t="shared" si="57"/>
        <v>1.1000000000000001</v>
      </c>
      <c r="I518" s="10">
        <f t="shared" si="53"/>
        <v>6.3000000000000007</v>
      </c>
      <c r="J518" s="10">
        <f t="shared" si="54"/>
        <v>7.2</v>
      </c>
      <c r="K518" s="10">
        <f t="shared" si="55"/>
        <v>13.5</v>
      </c>
      <c r="L518" s="10">
        <f t="shared" si="58"/>
        <v>13.5</v>
      </c>
    </row>
    <row r="519" spans="1:12" x14ac:dyDescent="0.25">
      <c r="A519" s="7">
        <v>44839</v>
      </c>
      <c r="B519" t="s">
        <v>17</v>
      </c>
      <c r="C519" s="6">
        <v>2420</v>
      </c>
      <c r="D519" s="2" t="s">
        <v>202</v>
      </c>
      <c r="E519" s="1">
        <v>0.32777777777777778</v>
      </c>
      <c r="F519" s="1">
        <v>0.45624999999999999</v>
      </c>
      <c r="G519" s="9">
        <f t="shared" si="56"/>
        <v>44837</v>
      </c>
      <c r="H519" s="11">
        <f t="shared" si="57"/>
        <v>3.1</v>
      </c>
      <c r="I519" s="10">
        <f t="shared" si="53"/>
        <v>3.1</v>
      </c>
      <c r="J519" s="10">
        <f t="shared" si="54"/>
        <v>7.2</v>
      </c>
      <c r="K519" s="10">
        <f t="shared" si="55"/>
        <v>16.600000000000001</v>
      </c>
      <c r="L519" s="10">
        <f t="shared" si="58"/>
        <v>16.600000000000001</v>
      </c>
    </row>
    <row r="520" spans="1:12" x14ac:dyDescent="0.25">
      <c r="A520" s="7">
        <v>44839</v>
      </c>
      <c r="B520" t="s">
        <v>17</v>
      </c>
      <c r="C520" s="6">
        <v>2420</v>
      </c>
      <c r="D520" s="2" t="s">
        <v>202</v>
      </c>
      <c r="E520" s="1">
        <v>0.46527777777777773</v>
      </c>
      <c r="F520" s="1">
        <v>0.4916666666666667</v>
      </c>
      <c r="G520" s="9">
        <f t="shared" si="56"/>
        <v>44837</v>
      </c>
      <c r="H520" s="11">
        <f t="shared" si="57"/>
        <v>0.6</v>
      </c>
      <c r="I520" s="10">
        <f t="shared" si="53"/>
        <v>3.7</v>
      </c>
      <c r="J520" s="10">
        <f t="shared" si="54"/>
        <v>7.2</v>
      </c>
      <c r="K520" s="10">
        <f t="shared" si="55"/>
        <v>17.200000000000003</v>
      </c>
      <c r="L520" s="10">
        <f t="shared" si="58"/>
        <v>17.200000000000003</v>
      </c>
    </row>
    <row r="521" spans="1:12" x14ac:dyDescent="0.25">
      <c r="A521" s="7">
        <v>44839</v>
      </c>
      <c r="B521" t="s">
        <v>28</v>
      </c>
      <c r="C521" s="6">
        <v>2704</v>
      </c>
      <c r="D521" s="2" t="s">
        <v>107</v>
      </c>
      <c r="E521" s="1">
        <v>0.4916666666666667</v>
      </c>
      <c r="F521" s="1">
        <v>0.65069444444444446</v>
      </c>
      <c r="G521" s="9">
        <f t="shared" si="56"/>
        <v>44837</v>
      </c>
      <c r="H521" s="11">
        <f t="shared" si="57"/>
        <v>3.8</v>
      </c>
      <c r="I521" s="10">
        <f t="shared" si="53"/>
        <v>7.5</v>
      </c>
      <c r="J521" s="10">
        <f t="shared" si="54"/>
        <v>7.2</v>
      </c>
      <c r="K521" s="10">
        <f t="shared" si="55"/>
        <v>21</v>
      </c>
      <c r="L521" s="10">
        <f t="shared" si="58"/>
        <v>21</v>
      </c>
    </row>
    <row r="522" spans="1:12" ht="14.4" x14ac:dyDescent="0.3">
      <c r="A522" s="7">
        <v>44840</v>
      </c>
      <c r="B522" s="2" t="s">
        <v>464</v>
      </c>
      <c r="C522" s="28">
        <v>2431</v>
      </c>
      <c r="D522" s="2" t="s">
        <v>107</v>
      </c>
      <c r="E522" s="1">
        <v>0.31875000000000003</v>
      </c>
      <c r="F522" s="1">
        <v>0.45833333333333331</v>
      </c>
      <c r="G522" s="9">
        <f t="shared" si="56"/>
        <v>44837</v>
      </c>
      <c r="H522" s="11">
        <f t="shared" si="57"/>
        <v>3.4</v>
      </c>
      <c r="I522" s="10">
        <f t="shared" si="53"/>
        <v>3.4</v>
      </c>
      <c r="J522" s="10">
        <f t="shared" si="54"/>
        <v>7.2</v>
      </c>
      <c r="K522" s="10">
        <f t="shared" si="55"/>
        <v>24.4</v>
      </c>
      <c r="L522" s="10">
        <f t="shared" si="58"/>
        <v>24.4</v>
      </c>
    </row>
    <row r="523" spans="1:12" x14ac:dyDescent="0.25">
      <c r="A523" s="7">
        <v>44840</v>
      </c>
      <c r="B523" t="s">
        <v>19</v>
      </c>
      <c r="C523" s="6">
        <v>2675</v>
      </c>
      <c r="D523" s="2" t="s">
        <v>44</v>
      </c>
      <c r="E523" s="1">
        <v>0.45833333333333331</v>
      </c>
      <c r="F523" s="1">
        <v>0.49652777777777773</v>
      </c>
      <c r="G523" s="9">
        <f t="shared" si="56"/>
        <v>44837</v>
      </c>
      <c r="H523" s="11">
        <f t="shared" si="57"/>
        <v>0.9</v>
      </c>
      <c r="I523" s="10">
        <f t="shared" si="53"/>
        <v>4.3</v>
      </c>
      <c r="J523" s="10">
        <f t="shared" si="54"/>
        <v>7.2</v>
      </c>
      <c r="K523" s="10">
        <f t="shared" si="55"/>
        <v>25.299999999999997</v>
      </c>
      <c r="L523" s="10">
        <f t="shared" si="58"/>
        <v>25.299999999999997</v>
      </c>
    </row>
    <row r="524" spans="1:12" x14ac:dyDescent="0.25">
      <c r="A524" s="7">
        <v>44840</v>
      </c>
      <c r="B524" t="s">
        <v>17</v>
      </c>
      <c r="C524" s="6">
        <v>2420</v>
      </c>
      <c r="D524" s="2" t="s">
        <v>202</v>
      </c>
      <c r="E524" s="1">
        <v>0.53194444444444444</v>
      </c>
      <c r="F524" s="1">
        <v>0.64236111111111105</v>
      </c>
      <c r="G524" s="9">
        <f t="shared" si="56"/>
        <v>44837</v>
      </c>
      <c r="H524" s="11">
        <f t="shared" si="57"/>
        <v>2.7</v>
      </c>
      <c r="I524" s="10">
        <f t="shared" si="53"/>
        <v>7</v>
      </c>
      <c r="J524" s="10">
        <f t="shared" si="54"/>
        <v>7.2</v>
      </c>
      <c r="K524" s="10">
        <f t="shared" si="55"/>
        <v>28</v>
      </c>
      <c r="L524" s="10">
        <f t="shared" si="58"/>
        <v>28</v>
      </c>
    </row>
    <row r="525" spans="1:12" x14ac:dyDescent="0.25">
      <c r="A525" s="7">
        <v>44841</v>
      </c>
      <c r="B525" t="s">
        <v>17</v>
      </c>
      <c r="C525" s="6">
        <v>2420</v>
      </c>
      <c r="D525" s="2" t="s">
        <v>202</v>
      </c>
      <c r="E525" s="1">
        <v>0.36180555555555555</v>
      </c>
      <c r="F525" s="1">
        <v>0.54791666666666672</v>
      </c>
      <c r="G525" s="9">
        <f t="shared" si="56"/>
        <v>44837</v>
      </c>
      <c r="H525" s="11">
        <f t="shared" si="57"/>
        <v>4.5</v>
      </c>
      <c r="I525" s="10">
        <f t="shared" si="53"/>
        <v>4.5</v>
      </c>
      <c r="J525" s="10">
        <f t="shared" si="54"/>
        <v>7.2</v>
      </c>
      <c r="K525" s="10">
        <f t="shared" si="55"/>
        <v>32.5</v>
      </c>
      <c r="L525" s="10">
        <f t="shared" si="58"/>
        <v>32.5</v>
      </c>
    </row>
    <row r="526" spans="1:12" x14ac:dyDescent="0.25">
      <c r="A526" s="7">
        <v>44841</v>
      </c>
      <c r="B526" t="s">
        <v>17</v>
      </c>
      <c r="C526" s="6">
        <v>2420</v>
      </c>
      <c r="D526" s="2" t="s">
        <v>207</v>
      </c>
      <c r="E526" s="1">
        <v>0.55833333333333335</v>
      </c>
      <c r="F526" s="1">
        <v>0.6791666666666667</v>
      </c>
      <c r="G526" s="9">
        <f t="shared" si="56"/>
        <v>44837</v>
      </c>
      <c r="H526" s="11">
        <f t="shared" si="57"/>
        <v>2.9</v>
      </c>
      <c r="I526" s="10">
        <f t="shared" si="53"/>
        <v>7.4</v>
      </c>
      <c r="J526" s="10">
        <f t="shared" si="54"/>
        <v>7.2</v>
      </c>
      <c r="K526" s="10">
        <f t="shared" si="55"/>
        <v>35.4</v>
      </c>
      <c r="L526" s="10">
        <f t="shared" si="58"/>
        <v>35.4</v>
      </c>
    </row>
    <row r="527" spans="1:12" x14ac:dyDescent="0.25">
      <c r="A527" s="7">
        <v>44844</v>
      </c>
      <c r="B527" t="s">
        <v>17</v>
      </c>
      <c r="C527" s="6">
        <v>2420</v>
      </c>
      <c r="D527" s="2" t="s">
        <v>207</v>
      </c>
      <c r="E527" s="1">
        <v>0.31805555555555554</v>
      </c>
      <c r="F527" s="1">
        <v>0.39166666666666666</v>
      </c>
      <c r="G527" s="9">
        <f t="shared" si="56"/>
        <v>44844</v>
      </c>
      <c r="H527" s="11">
        <f t="shared" si="57"/>
        <v>1.8</v>
      </c>
      <c r="I527" s="10">
        <f t="shared" si="53"/>
        <v>1.8</v>
      </c>
      <c r="J527" s="10">
        <f t="shared" si="54"/>
        <v>7.2</v>
      </c>
      <c r="K527" s="10">
        <f t="shared" si="55"/>
        <v>1.8</v>
      </c>
      <c r="L527" s="10">
        <f t="shared" si="58"/>
        <v>37.199999999999996</v>
      </c>
    </row>
    <row r="528" spans="1:12" x14ac:dyDescent="0.25">
      <c r="A528" s="7">
        <v>44844</v>
      </c>
      <c r="B528" t="s">
        <v>17</v>
      </c>
      <c r="C528" s="6">
        <v>2420</v>
      </c>
      <c r="D528" s="2" t="s">
        <v>207</v>
      </c>
      <c r="E528" s="1">
        <v>0.40486111111111112</v>
      </c>
      <c r="F528" s="1">
        <v>0.41666666666666669</v>
      </c>
      <c r="G528" s="9">
        <f t="shared" si="56"/>
        <v>44844</v>
      </c>
      <c r="H528" s="11">
        <f t="shared" si="57"/>
        <v>0.3</v>
      </c>
      <c r="I528" s="10">
        <f t="shared" si="53"/>
        <v>2.1</v>
      </c>
      <c r="J528" s="10">
        <f t="shared" si="54"/>
        <v>7.2</v>
      </c>
      <c r="K528" s="10">
        <f t="shared" si="55"/>
        <v>2.1</v>
      </c>
      <c r="L528" s="10">
        <f t="shared" si="58"/>
        <v>37.5</v>
      </c>
    </row>
    <row r="529" spans="1:12" x14ac:dyDescent="0.25">
      <c r="A529" s="7">
        <v>44844</v>
      </c>
      <c r="B529" t="s">
        <v>6</v>
      </c>
      <c r="C529" s="6" t="s">
        <v>416</v>
      </c>
      <c r="D529" s="5" t="s">
        <v>112</v>
      </c>
      <c r="E529" s="1">
        <v>0.41666666666666669</v>
      </c>
      <c r="F529" s="1">
        <v>0.45833333333333331</v>
      </c>
      <c r="G529" s="9">
        <f t="shared" si="56"/>
        <v>44844</v>
      </c>
      <c r="H529" s="11">
        <f t="shared" si="57"/>
        <v>1</v>
      </c>
      <c r="I529" s="10">
        <f t="shared" si="53"/>
        <v>3.1</v>
      </c>
      <c r="J529" s="10">
        <f t="shared" si="54"/>
        <v>7.2</v>
      </c>
      <c r="K529" s="10">
        <f t="shared" si="55"/>
        <v>3.1</v>
      </c>
      <c r="L529" s="10">
        <f t="shared" si="58"/>
        <v>38.5</v>
      </c>
    </row>
    <row r="530" spans="1:12" x14ac:dyDescent="0.25">
      <c r="A530" s="7">
        <v>44844</v>
      </c>
      <c r="B530" t="s">
        <v>17</v>
      </c>
      <c r="C530" s="6">
        <v>2420</v>
      </c>
      <c r="D530" s="2" t="s">
        <v>207</v>
      </c>
      <c r="E530" s="1">
        <v>0.45833333333333331</v>
      </c>
      <c r="F530" s="1">
        <v>0.5083333333333333</v>
      </c>
      <c r="G530" s="9">
        <f t="shared" si="56"/>
        <v>44844</v>
      </c>
      <c r="H530" s="11">
        <f t="shared" si="57"/>
        <v>1.2</v>
      </c>
      <c r="I530" s="10">
        <f t="shared" si="53"/>
        <v>4.3</v>
      </c>
      <c r="J530" s="10">
        <f t="shared" si="54"/>
        <v>7.2</v>
      </c>
      <c r="K530" s="10">
        <f t="shared" si="55"/>
        <v>4.3</v>
      </c>
      <c r="L530" s="10">
        <f t="shared" si="58"/>
        <v>39.700000000000003</v>
      </c>
    </row>
    <row r="531" spans="1:12" x14ac:dyDescent="0.25">
      <c r="A531" s="7">
        <v>44844</v>
      </c>
      <c r="B531" t="s">
        <v>17</v>
      </c>
      <c r="C531" s="6">
        <v>2420</v>
      </c>
      <c r="D531" s="2" t="s">
        <v>207</v>
      </c>
      <c r="E531" s="1">
        <v>0.52013888888888882</v>
      </c>
      <c r="F531" s="1">
        <v>0.64166666666666672</v>
      </c>
      <c r="G531" s="9">
        <f t="shared" si="56"/>
        <v>44844</v>
      </c>
      <c r="H531" s="11">
        <f t="shared" si="57"/>
        <v>2.9</v>
      </c>
      <c r="I531" s="10">
        <f t="shared" si="53"/>
        <v>7.1999999999999993</v>
      </c>
      <c r="J531" s="10">
        <f t="shared" si="54"/>
        <v>7.2</v>
      </c>
      <c r="K531" s="10">
        <f t="shared" si="55"/>
        <v>7.1999999999999993</v>
      </c>
      <c r="L531" s="10">
        <f t="shared" si="58"/>
        <v>42.6</v>
      </c>
    </row>
    <row r="532" spans="1:12" x14ac:dyDescent="0.25">
      <c r="A532" s="7">
        <v>44845</v>
      </c>
      <c r="B532" t="s">
        <v>17</v>
      </c>
      <c r="C532" s="6">
        <v>2420</v>
      </c>
      <c r="D532" s="2" t="s">
        <v>207</v>
      </c>
      <c r="E532" s="1">
        <v>0.33680555555555558</v>
      </c>
      <c r="F532" s="1">
        <v>0.48888888888888887</v>
      </c>
      <c r="G532" s="9">
        <f t="shared" si="56"/>
        <v>44844</v>
      </c>
      <c r="H532" s="11">
        <f t="shared" si="57"/>
        <v>3.7</v>
      </c>
      <c r="I532" s="10">
        <f t="shared" si="53"/>
        <v>3.7</v>
      </c>
      <c r="J532" s="10">
        <f t="shared" si="54"/>
        <v>7.2</v>
      </c>
      <c r="K532" s="10">
        <f t="shared" si="55"/>
        <v>10.9</v>
      </c>
      <c r="L532" s="10">
        <f t="shared" si="58"/>
        <v>46.300000000000004</v>
      </c>
    </row>
    <row r="533" spans="1:12" x14ac:dyDescent="0.25">
      <c r="A533" s="7">
        <v>44845</v>
      </c>
      <c r="B533" t="s">
        <v>17</v>
      </c>
      <c r="C533" s="6">
        <v>2420</v>
      </c>
      <c r="D533" s="2" t="s">
        <v>207</v>
      </c>
      <c r="E533" s="1">
        <v>0.50208333333333333</v>
      </c>
      <c r="F533" s="1">
        <v>0.64027777777777783</v>
      </c>
      <c r="G533" s="9">
        <f t="shared" si="56"/>
        <v>44844</v>
      </c>
      <c r="H533" s="11">
        <f t="shared" si="57"/>
        <v>3.3</v>
      </c>
      <c r="I533" s="10">
        <f t="shared" si="53"/>
        <v>7</v>
      </c>
      <c r="J533" s="10">
        <f t="shared" si="54"/>
        <v>7.2</v>
      </c>
      <c r="K533" s="10">
        <f t="shared" si="55"/>
        <v>14.2</v>
      </c>
      <c r="L533" s="10">
        <f t="shared" si="58"/>
        <v>49.599999999999994</v>
      </c>
    </row>
    <row r="534" spans="1:12" x14ac:dyDescent="0.25">
      <c r="A534" s="7">
        <v>44846</v>
      </c>
      <c r="B534" t="s">
        <v>17</v>
      </c>
      <c r="C534" s="6">
        <v>2420</v>
      </c>
      <c r="D534" s="2" t="s">
        <v>207</v>
      </c>
      <c r="E534" s="1">
        <v>0.32777777777777778</v>
      </c>
      <c r="F534" s="1">
        <v>0.375</v>
      </c>
      <c r="G534" s="9">
        <f t="shared" si="56"/>
        <v>44844</v>
      </c>
      <c r="H534" s="11">
        <f t="shared" si="57"/>
        <v>1.1000000000000001</v>
      </c>
      <c r="I534" s="10">
        <f t="shared" si="53"/>
        <v>1.1000000000000001</v>
      </c>
      <c r="J534" s="10">
        <f t="shared" si="54"/>
        <v>7.2</v>
      </c>
      <c r="K534" s="10">
        <f t="shared" si="55"/>
        <v>15.299999999999999</v>
      </c>
      <c r="L534" s="10">
        <f t="shared" si="58"/>
        <v>50.7</v>
      </c>
    </row>
    <row r="535" spans="1:12" x14ac:dyDescent="0.25">
      <c r="A535" s="7">
        <v>44846</v>
      </c>
      <c r="B535" t="s">
        <v>17</v>
      </c>
      <c r="C535" s="6">
        <v>2420</v>
      </c>
      <c r="D535" s="5" t="s">
        <v>178</v>
      </c>
      <c r="E535" s="1">
        <v>0.375</v>
      </c>
      <c r="F535" s="1">
        <v>0.41666666666666669</v>
      </c>
      <c r="G535" s="9">
        <f t="shared" si="56"/>
        <v>44844</v>
      </c>
      <c r="H535" s="11">
        <f t="shared" si="57"/>
        <v>1</v>
      </c>
      <c r="I535" s="10">
        <f t="shared" si="53"/>
        <v>2.1</v>
      </c>
      <c r="J535" s="10">
        <f t="shared" si="54"/>
        <v>7.2</v>
      </c>
      <c r="K535" s="10">
        <f t="shared" si="55"/>
        <v>16.3</v>
      </c>
      <c r="L535" s="10">
        <f t="shared" si="58"/>
        <v>51.7</v>
      </c>
    </row>
    <row r="536" spans="1:12" x14ac:dyDescent="0.25">
      <c r="A536" s="7">
        <v>44846</v>
      </c>
      <c r="B536" t="s">
        <v>17</v>
      </c>
      <c r="C536" s="6">
        <v>2420</v>
      </c>
      <c r="D536" s="2" t="s">
        <v>207</v>
      </c>
      <c r="E536" s="1">
        <v>0.41666666666666669</v>
      </c>
      <c r="F536" s="1">
        <v>0.48541666666666666</v>
      </c>
      <c r="G536" s="9">
        <f t="shared" si="56"/>
        <v>44844</v>
      </c>
      <c r="H536" s="11">
        <f t="shared" si="57"/>
        <v>1.7</v>
      </c>
      <c r="I536" s="10">
        <f t="shared" si="53"/>
        <v>3.8</v>
      </c>
      <c r="J536" s="10">
        <f t="shared" si="54"/>
        <v>7.2</v>
      </c>
      <c r="K536" s="10">
        <f t="shared" si="55"/>
        <v>18</v>
      </c>
      <c r="L536" s="10">
        <f t="shared" si="58"/>
        <v>53.400000000000006</v>
      </c>
    </row>
    <row r="537" spans="1:12" x14ac:dyDescent="0.25">
      <c r="A537" s="7">
        <v>44846</v>
      </c>
      <c r="B537" t="s">
        <v>17</v>
      </c>
      <c r="C537" s="6">
        <v>2420</v>
      </c>
      <c r="D537" s="2" t="s">
        <v>207</v>
      </c>
      <c r="E537" s="1">
        <v>0.51874999999999993</v>
      </c>
      <c r="F537" s="1">
        <v>0.625</v>
      </c>
      <c r="G537" s="9">
        <f t="shared" si="56"/>
        <v>44844</v>
      </c>
      <c r="H537" s="11">
        <f t="shared" si="57"/>
        <v>2.6</v>
      </c>
      <c r="I537" s="10">
        <f t="shared" si="53"/>
        <v>6.4</v>
      </c>
      <c r="J537" s="10">
        <f t="shared" si="54"/>
        <v>7.2</v>
      </c>
      <c r="K537" s="10">
        <f t="shared" si="55"/>
        <v>20.6</v>
      </c>
      <c r="L537" s="10">
        <f t="shared" si="58"/>
        <v>56</v>
      </c>
    </row>
    <row r="538" spans="1:12" ht="14.4" x14ac:dyDescent="0.3">
      <c r="A538" s="7">
        <v>44846</v>
      </c>
      <c r="B538" s="2" t="s">
        <v>464</v>
      </c>
      <c r="C538" s="28">
        <v>2431</v>
      </c>
      <c r="D538" s="2" t="s">
        <v>44</v>
      </c>
      <c r="E538" s="1">
        <v>0.625</v>
      </c>
      <c r="F538" s="1">
        <v>0.67847222222222225</v>
      </c>
      <c r="G538" s="9">
        <f t="shared" si="56"/>
        <v>44844</v>
      </c>
      <c r="H538" s="11">
        <f t="shared" si="57"/>
        <v>1.3</v>
      </c>
      <c r="I538" s="10">
        <f t="shared" si="53"/>
        <v>7.7</v>
      </c>
      <c r="J538" s="10">
        <f t="shared" si="54"/>
        <v>7.2</v>
      </c>
      <c r="K538" s="10">
        <f t="shared" si="55"/>
        <v>21.900000000000002</v>
      </c>
      <c r="L538" s="10">
        <f t="shared" si="58"/>
        <v>57.3</v>
      </c>
    </row>
    <row r="539" spans="1:12" x14ac:dyDescent="0.25">
      <c r="A539" s="7">
        <v>44847</v>
      </c>
      <c r="B539" t="s">
        <v>17</v>
      </c>
      <c r="C539" s="6">
        <v>2420</v>
      </c>
      <c r="D539" s="2" t="s">
        <v>208</v>
      </c>
      <c r="E539" s="1">
        <v>0.35902777777777778</v>
      </c>
      <c r="F539" s="1">
        <v>0.48402777777777778</v>
      </c>
      <c r="G539" s="9">
        <f t="shared" si="56"/>
        <v>44844</v>
      </c>
      <c r="H539" s="11">
        <f t="shared" si="57"/>
        <v>3</v>
      </c>
      <c r="I539" s="10">
        <f t="shared" si="53"/>
        <v>3</v>
      </c>
      <c r="J539" s="10">
        <f t="shared" si="54"/>
        <v>7.2</v>
      </c>
      <c r="K539" s="10">
        <f t="shared" si="55"/>
        <v>24.9</v>
      </c>
      <c r="L539" s="10">
        <f t="shared" si="58"/>
        <v>60.3</v>
      </c>
    </row>
    <row r="540" spans="1:12" x14ac:dyDescent="0.25">
      <c r="A540" s="7">
        <v>44847</v>
      </c>
      <c r="B540" t="s">
        <v>17</v>
      </c>
      <c r="C540" s="6">
        <v>2420</v>
      </c>
      <c r="D540" s="2" t="s">
        <v>208</v>
      </c>
      <c r="E540" s="1">
        <v>0.4993055555555555</v>
      </c>
      <c r="F540" s="1">
        <v>0.65763888888888888</v>
      </c>
      <c r="G540" s="9">
        <f t="shared" si="56"/>
        <v>44844</v>
      </c>
      <c r="H540" s="11">
        <f t="shared" si="57"/>
        <v>3.8</v>
      </c>
      <c r="I540" s="10">
        <f t="shared" si="53"/>
        <v>6.8</v>
      </c>
      <c r="J540" s="10">
        <f t="shared" si="54"/>
        <v>7.2</v>
      </c>
      <c r="K540" s="10">
        <f t="shared" si="55"/>
        <v>28.7</v>
      </c>
      <c r="L540" s="10">
        <f t="shared" si="58"/>
        <v>64.099999999999994</v>
      </c>
    </row>
    <row r="541" spans="1:12" x14ac:dyDescent="0.25">
      <c r="A541" s="7">
        <v>44848</v>
      </c>
      <c r="B541" t="s">
        <v>17</v>
      </c>
      <c r="C541" s="6">
        <v>2420</v>
      </c>
      <c r="D541" s="2" t="s">
        <v>208</v>
      </c>
      <c r="E541" s="1">
        <v>0.27361111111111108</v>
      </c>
      <c r="F541" s="1">
        <v>0.42430555555555555</v>
      </c>
      <c r="G541" s="9">
        <f t="shared" si="56"/>
        <v>44844</v>
      </c>
      <c r="H541" s="11">
        <f t="shared" si="57"/>
        <v>3.6</v>
      </c>
      <c r="I541" s="10">
        <f t="shared" si="53"/>
        <v>3.6</v>
      </c>
      <c r="J541" s="10">
        <f t="shared" si="54"/>
        <v>7.2</v>
      </c>
      <c r="K541" s="10">
        <f t="shared" si="55"/>
        <v>32.299999999999997</v>
      </c>
      <c r="L541" s="10">
        <f t="shared" si="58"/>
        <v>67.699999999999989</v>
      </c>
    </row>
    <row r="542" spans="1:12" x14ac:dyDescent="0.25">
      <c r="A542" s="7">
        <v>44848</v>
      </c>
      <c r="B542" t="s">
        <v>17</v>
      </c>
      <c r="C542" s="6">
        <v>2420</v>
      </c>
      <c r="D542" s="2" t="s">
        <v>209</v>
      </c>
      <c r="E542" s="1">
        <v>0.42430555555555555</v>
      </c>
      <c r="F542" s="1">
        <v>0.45833333333333331</v>
      </c>
      <c r="G542" s="9">
        <f t="shared" si="56"/>
        <v>44844</v>
      </c>
      <c r="H542" s="11">
        <f t="shared" si="57"/>
        <v>0.8</v>
      </c>
      <c r="I542" s="10">
        <f t="shared" si="53"/>
        <v>4.4000000000000004</v>
      </c>
      <c r="J542" s="10">
        <f t="shared" si="54"/>
        <v>7.2</v>
      </c>
      <c r="K542" s="10">
        <f t="shared" si="55"/>
        <v>33.099999999999994</v>
      </c>
      <c r="L542" s="10">
        <f t="shared" si="58"/>
        <v>68.5</v>
      </c>
    </row>
    <row r="543" spans="1:12" x14ac:dyDescent="0.25">
      <c r="A543" s="7">
        <v>44848</v>
      </c>
      <c r="B543" t="s">
        <v>17</v>
      </c>
      <c r="C543" s="6">
        <v>2420</v>
      </c>
      <c r="D543" s="2" t="s">
        <v>209</v>
      </c>
      <c r="E543" s="1">
        <v>0.5</v>
      </c>
      <c r="F543" s="1">
        <v>0.55625000000000002</v>
      </c>
      <c r="G543" s="9">
        <f t="shared" si="56"/>
        <v>44844</v>
      </c>
      <c r="H543" s="11">
        <f t="shared" si="57"/>
        <v>1.4</v>
      </c>
      <c r="I543" s="10">
        <f t="shared" si="53"/>
        <v>5.8000000000000007</v>
      </c>
      <c r="J543" s="10">
        <f t="shared" si="54"/>
        <v>7.2</v>
      </c>
      <c r="K543" s="10">
        <f t="shared" si="55"/>
        <v>34.5</v>
      </c>
      <c r="L543" s="10">
        <f t="shared" si="58"/>
        <v>69.900000000000006</v>
      </c>
    </row>
    <row r="544" spans="1:12" x14ac:dyDescent="0.25">
      <c r="A544" s="7">
        <v>44848</v>
      </c>
      <c r="B544" s="2" t="s">
        <v>126</v>
      </c>
      <c r="C544" s="24" t="s">
        <v>125</v>
      </c>
      <c r="D544" s="5" t="s">
        <v>210</v>
      </c>
      <c r="E544" s="1">
        <v>0.55625000000000002</v>
      </c>
      <c r="F544" s="1">
        <v>0.59444444444444444</v>
      </c>
      <c r="G544" s="9">
        <f t="shared" si="56"/>
        <v>44844</v>
      </c>
      <c r="H544" s="11">
        <f t="shared" si="57"/>
        <v>0.9</v>
      </c>
      <c r="I544" s="10">
        <f t="shared" si="53"/>
        <v>6.7</v>
      </c>
      <c r="J544" s="10">
        <f t="shared" si="54"/>
        <v>7.2</v>
      </c>
      <c r="K544" s="10">
        <f t="shared" si="55"/>
        <v>35.4</v>
      </c>
      <c r="L544" s="10">
        <f t="shared" si="58"/>
        <v>70.800000000000011</v>
      </c>
    </row>
    <row r="545" spans="1:12" x14ac:dyDescent="0.25">
      <c r="A545" s="7">
        <v>44848</v>
      </c>
      <c r="B545" t="s">
        <v>17</v>
      </c>
      <c r="C545" s="6">
        <v>2420</v>
      </c>
      <c r="D545" s="2" t="s">
        <v>209</v>
      </c>
      <c r="E545" s="1">
        <v>0.59444444444444444</v>
      </c>
      <c r="F545" s="1">
        <v>0.63124999999999998</v>
      </c>
      <c r="G545" s="9">
        <f t="shared" si="56"/>
        <v>44844</v>
      </c>
      <c r="H545" s="11">
        <f t="shared" si="57"/>
        <v>0.9</v>
      </c>
      <c r="I545" s="10">
        <f t="shared" si="53"/>
        <v>7.6000000000000005</v>
      </c>
      <c r="J545" s="10">
        <f t="shared" si="54"/>
        <v>7.2</v>
      </c>
      <c r="K545" s="10">
        <f t="shared" si="55"/>
        <v>36.299999999999997</v>
      </c>
      <c r="L545" s="10">
        <f t="shared" si="58"/>
        <v>71.7</v>
      </c>
    </row>
    <row r="546" spans="1:12" x14ac:dyDescent="0.25">
      <c r="A546" s="7">
        <v>44851</v>
      </c>
      <c r="B546" t="s">
        <v>17</v>
      </c>
      <c r="C546" s="6">
        <v>2420</v>
      </c>
      <c r="D546" s="2" t="s">
        <v>209</v>
      </c>
      <c r="E546" s="1">
        <v>0.28125</v>
      </c>
      <c r="F546" s="1">
        <v>0.45833333333333331</v>
      </c>
      <c r="G546" s="9">
        <f t="shared" si="56"/>
        <v>44851</v>
      </c>
      <c r="H546" s="11">
        <f t="shared" si="57"/>
        <v>4.3</v>
      </c>
      <c r="I546" s="10">
        <f t="shared" si="53"/>
        <v>4.3</v>
      </c>
      <c r="J546" s="10">
        <f t="shared" si="54"/>
        <v>7.2</v>
      </c>
      <c r="K546" s="10">
        <f t="shared" si="55"/>
        <v>4.3</v>
      </c>
      <c r="L546" s="10">
        <f t="shared" si="58"/>
        <v>76</v>
      </c>
    </row>
    <row r="547" spans="1:12" x14ac:dyDescent="0.25">
      <c r="A547" s="7">
        <v>44851</v>
      </c>
      <c r="B547" s="2" t="s">
        <v>126</v>
      </c>
      <c r="C547" s="24" t="s">
        <v>125</v>
      </c>
      <c r="D547" s="5" t="s">
        <v>211</v>
      </c>
      <c r="E547" s="1">
        <v>0.45833333333333331</v>
      </c>
      <c r="F547" s="1">
        <v>0.48472222222222222</v>
      </c>
      <c r="G547" s="9">
        <f t="shared" si="56"/>
        <v>44851</v>
      </c>
      <c r="H547" s="11">
        <f t="shared" si="57"/>
        <v>0.6</v>
      </c>
      <c r="I547" s="10">
        <f t="shared" si="53"/>
        <v>4.8999999999999995</v>
      </c>
      <c r="J547" s="10">
        <f t="shared" si="54"/>
        <v>7.2</v>
      </c>
      <c r="K547" s="10">
        <f t="shared" si="55"/>
        <v>4.8999999999999995</v>
      </c>
      <c r="L547" s="10">
        <f t="shared" si="58"/>
        <v>76.599999999999994</v>
      </c>
    </row>
    <row r="548" spans="1:12" x14ac:dyDescent="0.25">
      <c r="A548" s="7">
        <v>44851</v>
      </c>
      <c r="B548" t="s">
        <v>17</v>
      </c>
      <c r="C548" s="6">
        <v>2420</v>
      </c>
      <c r="D548" s="2" t="s">
        <v>209</v>
      </c>
      <c r="E548" s="1">
        <v>0.51111111111111118</v>
      </c>
      <c r="F548" s="1">
        <v>0.52083333333333337</v>
      </c>
      <c r="G548" s="9">
        <f t="shared" si="56"/>
        <v>44851</v>
      </c>
      <c r="H548" s="11">
        <f t="shared" si="57"/>
        <v>0.2</v>
      </c>
      <c r="I548" s="10">
        <f t="shared" si="53"/>
        <v>5.1000000000000005</v>
      </c>
      <c r="J548" s="10">
        <f t="shared" si="54"/>
        <v>7.2</v>
      </c>
      <c r="K548" s="10">
        <f t="shared" si="55"/>
        <v>5.1000000000000005</v>
      </c>
      <c r="L548" s="10">
        <f t="shared" si="58"/>
        <v>76.8</v>
      </c>
    </row>
    <row r="549" spans="1:12" x14ac:dyDescent="0.25">
      <c r="A549" s="7">
        <v>44851</v>
      </c>
      <c r="B549" t="s">
        <v>6</v>
      </c>
      <c r="C549" s="6" t="s">
        <v>416</v>
      </c>
      <c r="D549" s="5" t="s">
        <v>112</v>
      </c>
      <c r="E549" s="1">
        <v>0.52083333333333337</v>
      </c>
      <c r="F549" s="1">
        <v>0.57361111111111118</v>
      </c>
      <c r="G549" s="9">
        <f t="shared" si="56"/>
        <v>44851</v>
      </c>
      <c r="H549" s="11">
        <f t="shared" si="57"/>
        <v>1.3</v>
      </c>
      <c r="I549" s="10">
        <f t="shared" si="53"/>
        <v>6.3999999999999995</v>
      </c>
      <c r="J549" s="10">
        <f t="shared" si="54"/>
        <v>7.2</v>
      </c>
      <c r="K549" s="10">
        <f t="shared" si="55"/>
        <v>6.3999999999999995</v>
      </c>
      <c r="L549" s="10">
        <f t="shared" si="58"/>
        <v>78.099999999999994</v>
      </c>
    </row>
    <row r="550" spans="1:12" x14ac:dyDescent="0.25">
      <c r="A550" s="7">
        <v>44851</v>
      </c>
      <c r="B550" t="s">
        <v>17</v>
      </c>
      <c r="C550" s="6">
        <v>2420</v>
      </c>
      <c r="D550" s="2" t="s">
        <v>209</v>
      </c>
      <c r="E550" s="1">
        <v>0.57361111111111118</v>
      </c>
      <c r="F550" s="1">
        <v>0.61805555555555558</v>
      </c>
      <c r="G550" s="9">
        <f t="shared" si="56"/>
        <v>44851</v>
      </c>
      <c r="H550" s="11">
        <f t="shared" si="57"/>
        <v>1.1000000000000001</v>
      </c>
      <c r="I550" s="10">
        <f t="shared" si="53"/>
        <v>7.5</v>
      </c>
      <c r="J550" s="10">
        <f t="shared" si="54"/>
        <v>7.2</v>
      </c>
      <c r="K550" s="10">
        <f t="shared" si="55"/>
        <v>7.5</v>
      </c>
      <c r="L550" s="10">
        <f t="shared" si="58"/>
        <v>79.199999999999989</v>
      </c>
    </row>
    <row r="551" spans="1:12" x14ac:dyDescent="0.25">
      <c r="A551" s="7">
        <v>44852</v>
      </c>
      <c r="B551" t="s">
        <v>17</v>
      </c>
      <c r="C551" s="6">
        <v>2420</v>
      </c>
      <c r="D551" s="2" t="s">
        <v>212</v>
      </c>
      <c r="E551" s="1">
        <v>0.27777777777777779</v>
      </c>
      <c r="F551" s="1">
        <v>0.48819444444444443</v>
      </c>
      <c r="G551" s="9">
        <f t="shared" si="56"/>
        <v>44851</v>
      </c>
      <c r="H551" s="11">
        <f t="shared" si="57"/>
        <v>5.0999999999999996</v>
      </c>
      <c r="I551" s="10">
        <f t="shared" si="53"/>
        <v>5.0999999999999996</v>
      </c>
      <c r="J551" s="10">
        <f t="shared" si="54"/>
        <v>7.2</v>
      </c>
      <c r="K551" s="10">
        <f t="shared" si="55"/>
        <v>12.6</v>
      </c>
      <c r="L551" s="10">
        <f t="shared" si="58"/>
        <v>84.3</v>
      </c>
    </row>
    <row r="552" spans="1:12" x14ac:dyDescent="0.25">
      <c r="A552" s="7">
        <v>44852</v>
      </c>
      <c r="B552" t="s">
        <v>17</v>
      </c>
      <c r="C552" s="6">
        <v>2420</v>
      </c>
      <c r="D552" s="2" t="s">
        <v>212</v>
      </c>
      <c r="E552" s="1">
        <v>0.49861111111111112</v>
      </c>
      <c r="F552" s="1">
        <v>0.62638888888888888</v>
      </c>
      <c r="G552" s="9">
        <f t="shared" si="56"/>
        <v>44851</v>
      </c>
      <c r="H552" s="11">
        <f t="shared" si="57"/>
        <v>3.1</v>
      </c>
      <c r="I552" s="10">
        <f t="shared" si="53"/>
        <v>8.1999999999999993</v>
      </c>
      <c r="J552" s="10">
        <f t="shared" si="54"/>
        <v>7.2</v>
      </c>
      <c r="K552" s="10">
        <f t="shared" si="55"/>
        <v>15.7</v>
      </c>
      <c r="L552" s="10">
        <f t="shared" si="58"/>
        <v>87.399999999999991</v>
      </c>
    </row>
    <row r="553" spans="1:12" x14ac:dyDescent="0.25">
      <c r="A553" s="7">
        <v>44853</v>
      </c>
      <c r="B553" t="s">
        <v>17</v>
      </c>
      <c r="C553" s="6">
        <v>2420</v>
      </c>
      <c r="D553" s="2" t="s">
        <v>213</v>
      </c>
      <c r="E553" s="1">
        <v>0.32291666666666669</v>
      </c>
      <c r="F553" s="1">
        <v>0.48472222222222222</v>
      </c>
      <c r="G553" s="9">
        <f t="shared" si="56"/>
        <v>44851</v>
      </c>
      <c r="H553" s="11">
        <f t="shared" si="57"/>
        <v>3.9</v>
      </c>
      <c r="I553" s="10">
        <f t="shared" si="53"/>
        <v>3.9</v>
      </c>
      <c r="J553" s="10">
        <f t="shared" si="54"/>
        <v>7.2</v>
      </c>
      <c r="K553" s="10">
        <f t="shared" si="55"/>
        <v>19.599999999999998</v>
      </c>
      <c r="L553" s="10">
        <f t="shared" si="58"/>
        <v>91.300000000000011</v>
      </c>
    </row>
    <row r="554" spans="1:12" x14ac:dyDescent="0.25">
      <c r="A554" s="7">
        <v>44853</v>
      </c>
      <c r="B554" t="s">
        <v>17</v>
      </c>
      <c r="C554" s="6">
        <v>2420</v>
      </c>
      <c r="D554" s="2" t="s">
        <v>213</v>
      </c>
      <c r="E554" s="1">
        <v>0.49583333333333335</v>
      </c>
      <c r="F554" s="1">
        <v>0.58333333333333337</v>
      </c>
      <c r="G554" s="9">
        <f t="shared" si="56"/>
        <v>44851</v>
      </c>
      <c r="H554" s="11">
        <f t="shared" si="57"/>
        <v>2.1</v>
      </c>
      <c r="I554" s="10">
        <f t="shared" si="53"/>
        <v>6</v>
      </c>
      <c r="J554" s="10">
        <f t="shared" si="54"/>
        <v>7.2</v>
      </c>
      <c r="K554" s="10">
        <f t="shared" si="55"/>
        <v>21.700000000000003</v>
      </c>
      <c r="L554" s="10">
        <f t="shared" si="58"/>
        <v>93.399999999999991</v>
      </c>
    </row>
    <row r="555" spans="1:12" x14ac:dyDescent="0.25">
      <c r="A555" s="7">
        <v>44853</v>
      </c>
      <c r="B555" t="s">
        <v>17</v>
      </c>
      <c r="C555" s="6">
        <v>2420</v>
      </c>
      <c r="D555" s="2" t="s">
        <v>214</v>
      </c>
      <c r="E555" s="1">
        <v>0.58333333333333337</v>
      </c>
      <c r="F555" s="1">
        <v>0.62638888888888888</v>
      </c>
      <c r="G555" s="9">
        <f t="shared" si="56"/>
        <v>44851</v>
      </c>
      <c r="H555" s="11">
        <f t="shared" si="57"/>
        <v>1</v>
      </c>
      <c r="I555" s="10">
        <f t="shared" si="53"/>
        <v>7</v>
      </c>
      <c r="J555" s="10">
        <f t="shared" si="54"/>
        <v>7.2</v>
      </c>
      <c r="K555" s="10">
        <f t="shared" si="55"/>
        <v>22.7</v>
      </c>
      <c r="L555" s="10">
        <f t="shared" si="58"/>
        <v>94.4</v>
      </c>
    </row>
    <row r="556" spans="1:12" x14ac:dyDescent="0.25">
      <c r="A556" s="7">
        <v>44853</v>
      </c>
      <c r="B556" t="s">
        <v>6</v>
      </c>
      <c r="C556" s="6" t="s">
        <v>416</v>
      </c>
      <c r="D556" s="1" t="s">
        <v>130</v>
      </c>
      <c r="E556" s="1">
        <v>0.62638888888888888</v>
      </c>
      <c r="F556" s="1">
        <v>0.65555555555555556</v>
      </c>
      <c r="G556" s="9">
        <f t="shared" si="56"/>
        <v>44851</v>
      </c>
      <c r="H556" s="11">
        <f t="shared" si="57"/>
        <v>0.7</v>
      </c>
      <c r="I556" s="10">
        <f t="shared" si="53"/>
        <v>7.7</v>
      </c>
      <c r="J556" s="10">
        <f t="shared" si="54"/>
        <v>7.2</v>
      </c>
      <c r="K556" s="10">
        <f t="shared" si="55"/>
        <v>23.4</v>
      </c>
      <c r="L556" s="10">
        <f t="shared" si="58"/>
        <v>95.100000000000009</v>
      </c>
    </row>
    <row r="557" spans="1:12" x14ac:dyDescent="0.25">
      <c r="A557" s="7">
        <v>44854</v>
      </c>
      <c r="B557" t="s">
        <v>17</v>
      </c>
      <c r="C557" s="6">
        <v>2420</v>
      </c>
      <c r="D557" s="2" t="s">
        <v>213</v>
      </c>
      <c r="E557" s="1">
        <v>0.29305555555555557</v>
      </c>
      <c r="F557" s="1">
        <v>0.48194444444444445</v>
      </c>
      <c r="G557" s="9">
        <f t="shared" si="56"/>
        <v>44851</v>
      </c>
      <c r="H557" s="11">
        <f t="shared" si="57"/>
        <v>4.5</v>
      </c>
      <c r="I557" s="10">
        <f t="shared" si="53"/>
        <v>4.5</v>
      </c>
      <c r="J557" s="10">
        <f t="shared" si="54"/>
        <v>7.2</v>
      </c>
      <c r="K557" s="10">
        <f t="shared" si="55"/>
        <v>27.9</v>
      </c>
      <c r="L557" s="10">
        <f t="shared" si="58"/>
        <v>99.6</v>
      </c>
    </row>
    <row r="558" spans="1:12" x14ac:dyDescent="0.25">
      <c r="A558" s="7">
        <v>44854</v>
      </c>
      <c r="B558" t="s">
        <v>126</v>
      </c>
      <c r="C558" s="6" t="s">
        <v>125</v>
      </c>
      <c r="D558" s="5" t="s">
        <v>175</v>
      </c>
      <c r="E558" s="1">
        <v>0.48194444444444445</v>
      </c>
      <c r="F558" s="1">
        <v>0.49236111111111108</v>
      </c>
      <c r="G558" s="9">
        <f t="shared" si="56"/>
        <v>44851</v>
      </c>
      <c r="H558" s="11">
        <f t="shared" si="57"/>
        <v>0.2</v>
      </c>
      <c r="I558" s="10">
        <f t="shared" si="53"/>
        <v>4.7</v>
      </c>
      <c r="J558" s="10">
        <f t="shared" si="54"/>
        <v>7.2</v>
      </c>
      <c r="K558" s="10">
        <f t="shared" si="55"/>
        <v>28.099999999999998</v>
      </c>
      <c r="L558" s="10">
        <f t="shared" si="58"/>
        <v>99.8</v>
      </c>
    </row>
    <row r="559" spans="1:12" x14ac:dyDescent="0.25">
      <c r="A559" s="7">
        <v>44854</v>
      </c>
      <c r="B559" t="s">
        <v>17</v>
      </c>
      <c r="C559" s="6">
        <v>2420</v>
      </c>
      <c r="D559" s="2" t="s">
        <v>213</v>
      </c>
      <c r="E559" s="1">
        <v>0.50138888888888888</v>
      </c>
      <c r="F559" s="1">
        <v>0.56041666666666667</v>
      </c>
      <c r="G559" s="9">
        <f t="shared" si="56"/>
        <v>44851</v>
      </c>
      <c r="H559" s="11">
        <f t="shared" si="57"/>
        <v>1.4</v>
      </c>
      <c r="I559" s="10">
        <f t="shared" si="53"/>
        <v>6.1</v>
      </c>
      <c r="J559" s="10">
        <f t="shared" si="54"/>
        <v>7.2</v>
      </c>
      <c r="K559" s="10">
        <f t="shared" si="55"/>
        <v>29.5</v>
      </c>
      <c r="L559" s="10">
        <f t="shared" si="58"/>
        <v>101.2</v>
      </c>
    </row>
    <row r="560" spans="1:12" x14ac:dyDescent="0.25">
      <c r="A560" s="7">
        <v>44854</v>
      </c>
      <c r="B560" t="s">
        <v>126</v>
      </c>
      <c r="C560" s="6" t="s">
        <v>125</v>
      </c>
      <c r="D560" s="5" t="s">
        <v>117</v>
      </c>
      <c r="E560" s="1">
        <v>0.56041666666666667</v>
      </c>
      <c r="F560" s="1">
        <v>0.57847222222222217</v>
      </c>
      <c r="G560" s="9">
        <f t="shared" si="56"/>
        <v>44851</v>
      </c>
      <c r="H560" s="11">
        <f t="shared" si="57"/>
        <v>0.4</v>
      </c>
      <c r="I560" s="10">
        <f t="shared" si="53"/>
        <v>6.5</v>
      </c>
      <c r="J560" s="10">
        <f t="shared" si="54"/>
        <v>7.2</v>
      </c>
      <c r="K560" s="10">
        <f t="shared" si="55"/>
        <v>29.9</v>
      </c>
      <c r="L560" s="10">
        <f t="shared" si="58"/>
        <v>101.60000000000001</v>
      </c>
    </row>
    <row r="561" spans="1:12" x14ac:dyDescent="0.25">
      <c r="A561" s="7">
        <v>44854</v>
      </c>
      <c r="B561" t="s">
        <v>17</v>
      </c>
      <c r="C561" s="6">
        <v>2420</v>
      </c>
      <c r="D561" s="2" t="s">
        <v>213</v>
      </c>
      <c r="E561" s="1">
        <v>0.57847222222222217</v>
      </c>
      <c r="F561" s="1">
        <v>0.58402777777777781</v>
      </c>
      <c r="G561" s="9">
        <f t="shared" si="56"/>
        <v>44851</v>
      </c>
      <c r="H561" s="11">
        <f t="shared" si="57"/>
        <v>0.1</v>
      </c>
      <c r="I561" s="10">
        <f t="shared" si="53"/>
        <v>6.6</v>
      </c>
      <c r="J561" s="10">
        <f t="shared" si="54"/>
        <v>7.2</v>
      </c>
      <c r="K561" s="10">
        <f t="shared" si="55"/>
        <v>30</v>
      </c>
      <c r="L561" s="10">
        <f t="shared" si="58"/>
        <v>101.69999999999999</v>
      </c>
    </row>
    <row r="562" spans="1:12" x14ac:dyDescent="0.25">
      <c r="A562" s="7">
        <v>44854</v>
      </c>
      <c r="B562" t="s">
        <v>19</v>
      </c>
      <c r="C562" s="6">
        <v>2675</v>
      </c>
      <c r="D562" s="2" t="s">
        <v>44</v>
      </c>
      <c r="E562" s="1">
        <v>0.58402777777777781</v>
      </c>
      <c r="F562" s="1">
        <v>0.61458333333333337</v>
      </c>
      <c r="G562" s="9">
        <f t="shared" si="56"/>
        <v>44851</v>
      </c>
      <c r="H562" s="11">
        <f t="shared" si="57"/>
        <v>0.7</v>
      </c>
      <c r="I562" s="10">
        <f t="shared" si="53"/>
        <v>7.3</v>
      </c>
      <c r="J562" s="10">
        <f t="shared" si="54"/>
        <v>7.2</v>
      </c>
      <c r="K562" s="10">
        <f t="shared" si="55"/>
        <v>30.7</v>
      </c>
      <c r="L562" s="10">
        <f t="shared" si="58"/>
        <v>102.4</v>
      </c>
    </row>
    <row r="563" spans="1:12" x14ac:dyDescent="0.25">
      <c r="A563" s="7">
        <v>44854</v>
      </c>
      <c r="B563" t="s">
        <v>17</v>
      </c>
      <c r="C563" s="6">
        <v>2420</v>
      </c>
      <c r="D563" s="2" t="s">
        <v>213</v>
      </c>
      <c r="E563" s="1">
        <v>0.61458333333333337</v>
      </c>
      <c r="F563" s="1">
        <v>0.63194444444444442</v>
      </c>
      <c r="G563" s="9">
        <f t="shared" si="56"/>
        <v>44851</v>
      </c>
      <c r="H563" s="11">
        <f t="shared" si="57"/>
        <v>0.4</v>
      </c>
      <c r="I563" s="10">
        <f t="shared" si="53"/>
        <v>7.7</v>
      </c>
      <c r="J563" s="10">
        <f t="shared" si="54"/>
        <v>7.2</v>
      </c>
      <c r="K563" s="10">
        <f t="shared" si="55"/>
        <v>31.099999999999998</v>
      </c>
      <c r="L563" s="10">
        <f t="shared" si="58"/>
        <v>102.80000000000001</v>
      </c>
    </row>
    <row r="564" spans="1:12" x14ac:dyDescent="0.25">
      <c r="A564" s="7">
        <v>44855</v>
      </c>
      <c r="B564" t="s">
        <v>6</v>
      </c>
      <c r="C564" s="6" t="s">
        <v>416</v>
      </c>
      <c r="D564" s="5" t="s">
        <v>115</v>
      </c>
      <c r="E564" s="1">
        <v>0.2986111111111111</v>
      </c>
      <c r="F564" s="1">
        <v>0.3347222222222222</v>
      </c>
      <c r="G564" s="9">
        <f t="shared" si="56"/>
        <v>44851</v>
      </c>
      <c r="H564" s="11">
        <f t="shared" si="57"/>
        <v>0.9</v>
      </c>
      <c r="I564" s="10">
        <f t="shared" si="53"/>
        <v>0.9</v>
      </c>
      <c r="J564" s="10">
        <f t="shared" si="54"/>
        <v>7.2</v>
      </c>
      <c r="K564" s="10">
        <f t="shared" si="55"/>
        <v>32</v>
      </c>
      <c r="L564" s="10">
        <f t="shared" si="58"/>
        <v>103.7</v>
      </c>
    </row>
    <row r="565" spans="1:12" x14ac:dyDescent="0.25">
      <c r="A565" s="7">
        <v>44855</v>
      </c>
      <c r="B565" t="s">
        <v>17</v>
      </c>
      <c r="C565" s="6">
        <v>2420</v>
      </c>
      <c r="D565" s="2" t="s">
        <v>213</v>
      </c>
      <c r="E565" s="1">
        <v>0.3347222222222222</v>
      </c>
      <c r="F565" s="1">
        <v>0.48125000000000001</v>
      </c>
      <c r="G565" s="9">
        <f t="shared" si="56"/>
        <v>44851</v>
      </c>
      <c r="H565" s="11">
        <f t="shared" si="57"/>
        <v>3.5</v>
      </c>
      <c r="I565" s="10">
        <f t="shared" si="53"/>
        <v>4.4000000000000004</v>
      </c>
      <c r="J565" s="10">
        <f t="shared" si="54"/>
        <v>7.2</v>
      </c>
      <c r="K565" s="10">
        <f t="shared" si="55"/>
        <v>35.5</v>
      </c>
      <c r="L565" s="10">
        <f t="shared" si="58"/>
        <v>107.2</v>
      </c>
    </row>
    <row r="566" spans="1:12" x14ac:dyDescent="0.25">
      <c r="A566" s="7">
        <v>44855</v>
      </c>
      <c r="B566" t="s">
        <v>17</v>
      </c>
      <c r="C566" s="6">
        <v>2420</v>
      </c>
      <c r="D566" s="2" t="s">
        <v>213</v>
      </c>
      <c r="E566" s="1">
        <v>0.53472222222222221</v>
      </c>
      <c r="F566" s="1">
        <v>0.59930555555555554</v>
      </c>
      <c r="G566" s="9">
        <f t="shared" si="56"/>
        <v>44851</v>
      </c>
      <c r="H566" s="11">
        <f t="shared" si="57"/>
        <v>1.6</v>
      </c>
      <c r="I566" s="10">
        <f t="shared" si="53"/>
        <v>6</v>
      </c>
      <c r="J566" s="10">
        <f t="shared" si="54"/>
        <v>7.2</v>
      </c>
      <c r="K566" s="10">
        <f t="shared" si="55"/>
        <v>37.1</v>
      </c>
      <c r="L566" s="10">
        <f t="shared" si="58"/>
        <v>108.8</v>
      </c>
    </row>
    <row r="567" spans="1:12" x14ac:dyDescent="0.25">
      <c r="A567" s="7">
        <v>44858</v>
      </c>
      <c r="B567" t="s">
        <v>7</v>
      </c>
      <c r="C567" s="6" t="s">
        <v>22</v>
      </c>
      <c r="D567" s="2" t="s">
        <v>215</v>
      </c>
      <c r="E567" s="1">
        <v>0.40972222222222227</v>
      </c>
      <c r="F567" s="1">
        <v>0.70833333333333337</v>
      </c>
      <c r="G567" s="9">
        <f t="shared" si="56"/>
        <v>44858</v>
      </c>
      <c r="H567" s="11">
        <f t="shared" si="57"/>
        <v>7.2</v>
      </c>
      <c r="I567" s="10">
        <f t="shared" si="53"/>
        <v>7.2</v>
      </c>
      <c r="J567" s="10">
        <f t="shared" si="54"/>
        <v>7.2</v>
      </c>
      <c r="K567" s="10">
        <f t="shared" si="55"/>
        <v>7.2</v>
      </c>
      <c r="L567" s="10">
        <f t="shared" si="58"/>
        <v>116</v>
      </c>
    </row>
    <row r="568" spans="1:12" x14ac:dyDescent="0.25">
      <c r="A568" s="7">
        <v>44859</v>
      </c>
      <c r="B568" t="s">
        <v>17</v>
      </c>
      <c r="C568" s="6">
        <v>2420</v>
      </c>
      <c r="D568" s="2" t="s">
        <v>213</v>
      </c>
      <c r="E568" s="1">
        <v>0.31041666666666667</v>
      </c>
      <c r="F568" s="1">
        <v>0.4916666666666667</v>
      </c>
      <c r="G568" s="9">
        <f t="shared" si="56"/>
        <v>44858</v>
      </c>
      <c r="H568" s="11">
        <f t="shared" si="57"/>
        <v>4.4000000000000004</v>
      </c>
      <c r="I568" s="10">
        <f t="shared" si="53"/>
        <v>4.4000000000000004</v>
      </c>
      <c r="J568" s="10">
        <f t="shared" si="54"/>
        <v>7.2</v>
      </c>
      <c r="K568" s="10">
        <f t="shared" si="55"/>
        <v>11.600000000000001</v>
      </c>
      <c r="L568" s="10">
        <f t="shared" si="58"/>
        <v>120.4</v>
      </c>
    </row>
    <row r="569" spans="1:12" x14ac:dyDescent="0.25">
      <c r="A569" s="7">
        <v>44859</v>
      </c>
      <c r="B569" t="s">
        <v>17</v>
      </c>
      <c r="C569" s="6">
        <v>2420</v>
      </c>
      <c r="D569" s="2" t="s">
        <v>213</v>
      </c>
      <c r="E569" s="1">
        <v>0.50277777777777777</v>
      </c>
      <c r="F569" s="1">
        <v>0.61527777777777781</v>
      </c>
      <c r="G569" s="9">
        <f t="shared" si="56"/>
        <v>44858</v>
      </c>
      <c r="H569" s="11">
        <f t="shared" si="57"/>
        <v>2.7</v>
      </c>
      <c r="I569" s="10">
        <f t="shared" si="53"/>
        <v>7.1000000000000005</v>
      </c>
      <c r="J569" s="10">
        <f t="shared" si="54"/>
        <v>7.2</v>
      </c>
      <c r="K569" s="10">
        <f t="shared" si="55"/>
        <v>14.3</v>
      </c>
      <c r="L569" s="10">
        <f t="shared" si="58"/>
        <v>123.10000000000001</v>
      </c>
    </row>
    <row r="570" spans="1:12" x14ac:dyDescent="0.25">
      <c r="A570" s="7">
        <v>44860</v>
      </c>
      <c r="B570" t="s">
        <v>17</v>
      </c>
      <c r="C570" s="6">
        <v>2420</v>
      </c>
      <c r="D570" s="2" t="s">
        <v>213</v>
      </c>
      <c r="E570" s="1">
        <v>0.3659722222222222</v>
      </c>
      <c r="F570" s="1">
        <v>0.47152777777777777</v>
      </c>
      <c r="G570" s="9">
        <f t="shared" si="56"/>
        <v>44858</v>
      </c>
      <c r="H570" s="11">
        <f t="shared" si="57"/>
        <v>2.5</v>
      </c>
      <c r="I570" s="10">
        <f t="shared" si="53"/>
        <v>2.5</v>
      </c>
      <c r="J570" s="10">
        <f t="shared" si="54"/>
        <v>7.2</v>
      </c>
      <c r="K570" s="10">
        <f t="shared" si="55"/>
        <v>16.8</v>
      </c>
      <c r="L570" s="10">
        <f t="shared" si="58"/>
        <v>125.6</v>
      </c>
    </row>
    <row r="571" spans="1:12" x14ac:dyDescent="0.25">
      <c r="A571" s="7">
        <v>44860</v>
      </c>
      <c r="B571" t="s">
        <v>17</v>
      </c>
      <c r="C571" s="6">
        <v>2420</v>
      </c>
      <c r="D571" s="2" t="s">
        <v>216</v>
      </c>
      <c r="E571" s="1">
        <v>0.5131944444444444</v>
      </c>
      <c r="F571" s="1">
        <v>0.6430555555555556</v>
      </c>
      <c r="G571" s="9">
        <f t="shared" si="56"/>
        <v>44858</v>
      </c>
      <c r="H571" s="11">
        <f t="shared" si="57"/>
        <v>3.1</v>
      </c>
      <c r="I571" s="10">
        <f t="shared" si="53"/>
        <v>5.6</v>
      </c>
      <c r="J571" s="10">
        <f t="shared" si="54"/>
        <v>7.2</v>
      </c>
      <c r="K571" s="10">
        <f t="shared" si="55"/>
        <v>19.900000000000002</v>
      </c>
      <c r="L571" s="10">
        <f t="shared" si="58"/>
        <v>128.69999999999999</v>
      </c>
    </row>
    <row r="572" spans="1:12" x14ac:dyDescent="0.25">
      <c r="A572" s="7">
        <v>44861</v>
      </c>
      <c r="B572" t="s">
        <v>6</v>
      </c>
      <c r="C572" s="6" t="s">
        <v>416</v>
      </c>
      <c r="D572" s="2" t="s">
        <v>44</v>
      </c>
      <c r="E572" s="1">
        <v>0.34652777777777777</v>
      </c>
      <c r="F572" s="1">
        <v>0.5</v>
      </c>
      <c r="G572" s="9">
        <f t="shared" si="56"/>
        <v>44858</v>
      </c>
      <c r="H572" s="11">
        <f t="shared" si="57"/>
        <v>3.7</v>
      </c>
      <c r="I572" s="10">
        <f t="shared" si="53"/>
        <v>3.7</v>
      </c>
      <c r="J572" s="10">
        <f t="shared" si="54"/>
        <v>7.2</v>
      </c>
      <c r="K572" s="10">
        <f t="shared" si="55"/>
        <v>23.599999999999998</v>
      </c>
      <c r="L572" s="10">
        <f t="shared" si="58"/>
        <v>132.39999999999998</v>
      </c>
    </row>
    <row r="573" spans="1:12" x14ac:dyDescent="0.25">
      <c r="A573" s="7">
        <v>44861</v>
      </c>
      <c r="B573" t="s">
        <v>17</v>
      </c>
      <c r="C573" s="6">
        <v>2420</v>
      </c>
      <c r="D573" s="2" t="s">
        <v>216</v>
      </c>
      <c r="E573" s="1">
        <v>0.57708333333333328</v>
      </c>
      <c r="F573" s="1">
        <v>0.60416666666666663</v>
      </c>
      <c r="G573" s="9">
        <f t="shared" si="56"/>
        <v>44858</v>
      </c>
      <c r="H573" s="11">
        <f t="shared" si="57"/>
        <v>0.7</v>
      </c>
      <c r="I573" s="10">
        <f t="shared" si="53"/>
        <v>4.4000000000000004</v>
      </c>
      <c r="J573" s="10">
        <f t="shared" si="54"/>
        <v>7.2</v>
      </c>
      <c r="K573" s="10">
        <f t="shared" si="55"/>
        <v>24.3</v>
      </c>
      <c r="L573" s="10">
        <f t="shared" si="58"/>
        <v>133.1</v>
      </c>
    </row>
    <row r="574" spans="1:12" x14ac:dyDescent="0.25">
      <c r="A574" s="7">
        <v>44861</v>
      </c>
      <c r="B574" t="s">
        <v>19</v>
      </c>
      <c r="C574" s="6">
        <v>2675</v>
      </c>
      <c r="D574" s="5" t="s">
        <v>44</v>
      </c>
      <c r="E574" s="1">
        <v>0.60416666666666663</v>
      </c>
      <c r="F574" s="1">
        <v>0.63541666666666663</v>
      </c>
      <c r="G574" s="9">
        <f t="shared" si="56"/>
        <v>44858</v>
      </c>
      <c r="H574" s="11">
        <f t="shared" si="57"/>
        <v>0.8</v>
      </c>
      <c r="I574" s="10">
        <f t="shared" si="53"/>
        <v>5.2</v>
      </c>
      <c r="J574" s="10">
        <f t="shared" si="54"/>
        <v>7.2</v>
      </c>
      <c r="K574" s="10">
        <f t="shared" si="55"/>
        <v>25.1</v>
      </c>
      <c r="L574" s="10">
        <f t="shared" si="58"/>
        <v>133.9</v>
      </c>
    </row>
    <row r="575" spans="1:12" x14ac:dyDescent="0.25">
      <c r="A575" s="7">
        <v>44861</v>
      </c>
      <c r="B575" t="s">
        <v>17</v>
      </c>
      <c r="C575" s="6">
        <v>2420</v>
      </c>
      <c r="D575" s="2" t="s">
        <v>216</v>
      </c>
      <c r="E575" s="1">
        <v>0.63541666666666663</v>
      </c>
      <c r="F575" s="1">
        <v>0.66319444444444442</v>
      </c>
      <c r="G575" s="9">
        <f t="shared" si="56"/>
        <v>44858</v>
      </c>
      <c r="H575" s="11">
        <f t="shared" si="57"/>
        <v>0.7</v>
      </c>
      <c r="I575" s="10">
        <f t="shared" si="53"/>
        <v>5.9</v>
      </c>
      <c r="J575" s="10">
        <f t="shared" si="54"/>
        <v>7.2</v>
      </c>
      <c r="K575" s="10">
        <f t="shared" si="55"/>
        <v>25.8</v>
      </c>
      <c r="L575" s="10">
        <f t="shared" si="58"/>
        <v>134.6</v>
      </c>
    </row>
    <row r="576" spans="1:12" x14ac:dyDescent="0.25">
      <c r="A576" s="7">
        <v>44862</v>
      </c>
      <c r="B576" t="s">
        <v>17</v>
      </c>
      <c r="C576" s="6">
        <v>2420</v>
      </c>
      <c r="D576" s="2" t="s">
        <v>217</v>
      </c>
      <c r="E576" s="1">
        <v>0.31944444444444448</v>
      </c>
      <c r="F576" s="1">
        <v>0.47638888888888892</v>
      </c>
      <c r="G576" s="9">
        <f t="shared" si="56"/>
        <v>44858</v>
      </c>
      <c r="H576" s="11">
        <f t="shared" si="57"/>
        <v>3.8</v>
      </c>
      <c r="I576" s="10">
        <f t="shared" si="53"/>
        <v>3.8</v>
      </c>
      <c r="J576" s="10">
        <f t="shared" si="54"/>
        <v>7.2</v>
      </c>
      <c r="K576" s="10">
        <f t="shared" si="55"/>
        <v>29.6</v>
      </c>
      <c r="L576" s="10">
        <f t="shared" si="58"/>
        <v>138.4</v>
      </c>
    </row>
    <row r="577" spans="1:12" x14ac:dyDescent="0.25">
      <c r="A577" s="7">
        <v>44862</v>
      </c>
      <c r="B577" t="s">
        <v>17</v>
      </c>
      <c r="C577" s="6">
        <v>2420</v>
      </c>
      <c r="D577" s="2" t="s">
        <v>217</v>
      </c>
      <c r="E577" s="1">
        <v>0.50138888888888888</v>
      </c>
      <c r="F577" s="1">
        <v>0.58333333333333337</v>
      </c>
      <c r="G577" s="9">
        <f t="shared" si="56"/>
        <v>44858</v>
      </c>
      <c r="H577" s="11">
        <f t="shared" si="57"/>
        <v>2</v>
      </c>
      <c r="I577" s="10">
        <f t="shared" si="53"/>
        <v>5.8</v>
      </c>
      <c r="J577" s="10">
        <f t="shared" si="54"/>
        <v>7.2</v>
      </c>
      <c r="K577" s="10">
        <f t="shared" si="55"/>
        <v>31.6</v>
      </c>
      <c r="L577" s="10">
        <f t="shared" si="58"/>
        <v>140.4</v>
      </c>
    </row>
    <row r="578" spans="1:12" x14ac:dyDescent="0.25">
      <c r="A578" s="7">
        <v>44862</v>
      </c>
      <c r="B578" t="s">
        <v>126</v>
      </c>
      <c r="C578" s="6" t="s">
        <v>125</v>
      </c>
      <c r="D578" s="5" t="s">
        <v>218</v>
      </c>
      <c r="E578" s="1">
        <v>0.58333333333333337</v>
      </c>
      <c r="F578" s="1">
        <v>0.62430555555555556</v>
      </c>
      <c r="G578" s="9">
        <f t="shared" si="56"/>
        <v>44858</v>
      </c>
      <c r="H578" s="11">
        <f t="shared" si="57"/>
        <v>1</v>
      </c>
      <c r="I578" s="10">
        <f t="shared" si="53"/>
        <v>6.8</v>
      </c>
      <c r="J578" s="10">
        <f t="shared" si="54"/>
        <v>7.2</v>
      </c>
      <c r="K578" s="10">
        <f t="shared" si="55"/>
        <v>32.6</v>
      </c>
      <c r="L578" s="10">
        <f t="shared" si="58"/>
        <v>141.4</v>
      </c>
    </row>
    <row r="579" spans="1:12" x14ac:dyDescent="0.25">
      <c r="A579" s="7">
        <v>44862</v>
      </c>
      <c r="B579" t="s">
        <v>17</v>
      </c>
      <c r="C579" s="6">
        <v>2420</v>
      </c>
      <c r="D579" s="2" t="s">
        <v>217</v>
      </c>
      <c r="E579" s="1">
        <v>0.62430555555555556</v>
      </c>
      <c r="F579" s="1">
        <v>0.65069444444444446</v>
      </c>
      <c r="G579" s="9">
        <f t="shared" si="56"/>
        <v>44858</v>
      </c>
      <c r="H579" s="11">
        <f t="shared" si="57"/>
        <v>0.6</v>
      </c>
      <c r="I579" s="10">
        <f t="shared" ref="I579:I642" si="59">IF(H579="",H579,H579+IF(A579=A578,_xlfn.NUMBERVALUE(I578),0))</f>
        <v>7.3999999999999995</v>
      </c>
      <c r="J579" s="10">
        <f t="shared" ref="J579:J642" si="60">IF(H579="",H579,7.2)</f>
        <v>7.2</v>
      </c>
      <c r="K579" s="10">
        <f t="shared" ref="K579:K642" si="61">IF(H579="",H579,H579+IF(G579=G578,_xlfn.NUMBERVALUE(K578),0))</f>
        <v>33.200000000000003</v>
      </c>
      <c r="L579" s="10">
        <f t="shared" si="58"/>
        <v>142</v>
      </c>
    </row>
    <row r="580" spans="1:12" x14ac:dyDescent="0.25">
      <c r="A580" s="7">
        <v>44865</v>
      </c>
      <c r="B580" t="s">
        <v>17</v>
      </c>
      <c r="C580" s="6">
        <v>2420</v>
      </c>
      <c r="D580" s="2" t="s">
        <v>219</v>
      </c>
      <c r="E580" s="1">
        <v>0.31180555555555556</v>
      </c>
      <c r="F580" s="1">
        <v>0.41666666666666669</v>
      </c>
      <c r="G580" s="9">
        <f t="shared" ref="G580:G643" si="62">IF(E580&gt;0,INT((A580-2)/7)*7+2,"")</f>
        <v>44865</v>
      </c>
      <c r="H580" s="11">
        <f t="shared" ref="H580:H643" si="63">IF(E580&gt;0,ROUND(24*(IF(F580&gt;0,F580,NowTime)-E580),1),"")</f>
        <v>2.5</v>
      </c>
      <c r="I580" s="10">
        <f t="shared" si="59"/>
        <v>2.5</v>
      </c>
      <c r="J580" s="10">
        <f t="shared" si="60"/>
        <v>7.2</v>
      </c>
      <c r="K580" s="10">
        <f t="shared" si="61"/>
        <v>2.5</v>
      </c>
      <c r="L580" s="10">
        <f t="shared" si="58"/>
        <v>144.5</v>
      </c>
    </row>
    <row r="581" spans="1:12" x14ac:dyDescent="0.25">
      <c r="A581" s="7">
        <v>44865</v>
      </c>
      <c r="B581" t="s">
        <v>6</v>
      </c>
      <c r="C581" s="6" t="s">
        <v>416</v>
      </c>
      <c r="D581" s="2" t="s">
        <v>112</v>
      </c>
      <c r="E581" s="1">
        <v>0.41666666666666669</v>
      </c>
      <c r="F581" s="1">
        <v>0.4458333333333333</v>
      </c>
      <c r="G581" s="9">
        <f t="shared" si="62"/>
        <v>44865</v>
      </c>
      <c r="H581" s="11">
        <f t="shared" si="63"/>
        <v>0.7</v>
      </c>
      <c r="I581" s="10">
        <f t="shared" si="59"/>
        <v>3.2</v>
      </c>
      <c r="J581" s="10">
        <f t="shared" si="60"/>
        <v>7.2</v>
      </c>
      <c r="K581" s="10">
        <f t="shared" si="61"/>
        <v>3.2</v>
      </c>
      <c r="L581" s="10">
        <f t="shared" ref="L581:L644" si="64">IF(H581="",H581,H581+IF(MONTH(A581)=MONTH(A580),_xlfn.NUMBERVALUE(L580),0))</f>
        <v>145.19999999999999</v>
      </c>
    </row>
    <row r="582" spans="1:12" x14ac:dyDescent="0.25">
      <c r="A582" s="7">
        <v>44865</v>
      </c>
      <c r="B582" t="s">
        <v>17</v>
      </c>
      <c r="C582" s="6">
        <v>2420</v>
      </c>
      <c r="D582" s="2" t="s">
        <v>219</v>
      </c>
      <c r="E582" s="1">
        <v>0.4458333333333333</v>
      </c>
      <c r="F582" s="1">
        <v>0.48819444444444443</v>
      </c>
      <c r="G582" s="9">
        <f t="shared" si="62"/>
        <v>44865</v>
      </c>
      <c r="H582" s="11">
        <f t="shared" si="63"/>
        <v>1</v>
      </c>
      <c r="I582" s="10">
        <f t="shared" si="59"/>
        <v>4.2</v>
      </c>
      <c r="J582" s="10">
        <f t="shared" si="60"/>
        <v>7.2</v>
      </c>
      <c r="K582" s="10">
        <f t="shared" si="61"/>
        <v>4.2</v>
      </c>
      <c r="L582" s="10">
        <f t="shared" si="64"/>
        <v>146.19999999999999</v>
      </c>
    </row>
    <row r="583" spans="1:12" x14ac:dyDescent="0.25">
      <c r="A583" s="7">
        <v>44865</v>
      </c>
      <c r="B583" t="s">
        <v>17</v>
      </c>
      <c r="C583" s="6">
        <v>2420</v>
      </c>
      <c r="D583" s="2" t="s">
        <v>219</v>
      </c>
      <c r="E583" s="1">
        <v>0.49861111111111112</v>
      </c>
      <c r="F583" s="1">
        <v>0.54166666666666663</v>
      </c>
      <c r="G583" s="9">
        <f t="shared" si="62"/>
        <v>44865</v>
      </c>
      <c r="H583" s="11">
        <f t="shared" si="63"/>
        <v>1</v>
      </c>
      <c r="I583" s="10">
        <f t="shared" si="59"/>
        <v>5.2</v>
      </c>
      <c r="J583" s="10">
        <f t="shared" si="60"/>
        <v>7.2</v>
      </c>
      <c r="K583" s="10">
        <f t="shared" si="61"/>
        <v>5.2</v>
      </c>
      <c r="L583" s="10">
        <f t="shared" si="64"/>
        <v>147.19999999999999</v>
      </c>
    </row>
    <row r="584" spans="1:12" x14ac:dyDescent="0.25">
      <c r="A584" s="7">
        <v>44865</v>
      </c>
      <c r="B584" t="s">
        <v>6</v>
      </c>
      <c r="C584" s="6" t="s">
        <v>416</v>
      </c>
      <c r="D584" s="2" t="s">
        <v>177</v>
      </c>
      <c r="E584" s="1">
        <v>0.54166666666666663</v>
      </c>
      <c r="F584" s="1">
        <v>0.56666666666666665</v>
      </c>
      <c r="G584" s="9">
        <f t="shared" si="62"/>
        <v>44865</v>
      </c>
      <c r="H584" s="11">
        <f t="shared" si="63"/>
        <v>0.6</v>
      </c>
      <c r="I584" s="10">
        <f t="shared" si="59"/>
        <v>5.8</v>
      </c>
      <c r="J584" s="10">
        <f t="shared" si="60"/>
        <v>7.2</v>
      </c>
      <c r="K584" s="10">
        <f t="shared" si="61"/>
        <v>5.8</v>
      </c>
      <c r="L584" s="10">
        <f t="shared" si="64"/>
        <v>147.79999999999998</v>
      </c>
    </row>
    <row r="585" spans="1:12" x14ac:dyDescent="0.25">
      <c r="A585" s="7">
        <v>44865</v>
      </c>
      <c r="B585" t="s">
        <v>17</v>
      </c>
      <c r="C585" s="6">
        <v>2420</v>
      </c>
      <c r="D585" s="2" t="s">
        <v>219</v>
      </c>
      <c r="E585" s="1">
        <v>0.56666666666666665</v>
      </c>
      <c r="F585" s="1">
        <v>0.64236111111111105</v>
      </c>
      <c r="G585" s="9">
        <f t="shared" si="62"/>
        <v>44865</v>
      </c>
      <c r="H585" s="11">
        <f t="shared" si="63"/>
        <v>1.8</v>
      </c>
      <c r="I585" s="10">
        <f t="shared" si="59"/>
        <v>7.6</v>
      </c>
      <c r="J585" s="10">
        <f t="shared" si="60"/>
        <v>7.2</v>
      </c>
      <c r="K585" s="10">
        <f t="shared" si="61"/>
        <v>7.6</v>
      </c>
      <c r="L585" s="10">
        <f t="shared" si="64"/>
        <v>149.60000000000002</v>
      </c>
    </row>
    <row r="586" spans="1:12" x14ac:dyDescent="0.25">
      <c r="A586" s="7">
        <v>44866</v>
      </c>
      <c r="B586" t="s">
        <v>17</v>
      </c>
      <c r="C586" s="6">
        <v>2420</v>
      </c>
      <c r="D586" s="2" t="s">
        <v>123</v>
      </c>
      <c r="E586" s="1">
        <v>0.32916666666666666</v>
      </c>
      <c r="F586" s="1">
        <v>0.41666666666666669</v>
      </c>
      <c r="G586" s="9">
        <f t="shared" si="62"/>
        <v>44865</v>
      </c>
      <c r="H586" s="11">
        <f t="shared" si="63"/>
        <v>2.1</v>
      </c>
      <c r="I586" s="10">
        <f t="shared" si="59"/>
        <v>2.1</v>
      </c>
      <c r="J586" s="10">
        <f t="shared" si="60"/>
        <v>7.2</v>
      </c>
      <c r="K586" s="10">
        <f t="shared" si="61"/>
        <v>9.6999999999999993</v>
      </c>
      <c r="L586" s="10">
        <f t="shared" si="64"/>
        <v>2.1</v>
      </c>
    </row>
    <row r="587" spans="1:12" x14ac:dyDescent="0.25">
      <c r="A587" s="7">
        <v>44866</v>
      </c>
      <c r="B587" t="s">
        <v>6</v>
      </c>
      <c r="C587" s="6" t="s">
        <v>416</v>
      </c>
      <c r="D587" s="2" t="s">
        <v>130</v>
      </c>
      <c r="E587" s="1">
        <v>0.41666666666666669</v>
      </c>
      <c r="F587" s="1">
        <v>0.43888888888888888</v>
      </c>
      <c r="G587" s="9">
        <f t="shared" si="62"/>
        <v>44865</v>
      </c>
      <c r="H587" s="11">
        <f t="shared" si="63"/>
        <v>0.5</v>
      </c>
      <c r="I587" s="10">
        <f t="shared" si="59"/>
        <v>2.6</v>
      </c>
      <c r="J587" s="10">
        <f t="shared" si="60"/>
        <v>7.2</v>
      </c>
      <c r="K587" s="10">
        <f t="shared" si="61"/>
        <v>10.199999999999999</v>
      </c>
      <c r="L587" s="10">
        <f t="shared" si="64"/>
        <v>2.6</v>
      </c>
    </row>
    <row r="588" spans="1:12" x14ac:dyDescent="0.25">
      <c r="A588" s="7">
        <v>44866</v>
      </c>
      <c r="B588" t="s">
        <v>17</v>
      </c>
      <c r="C588" s="6">
        <v>2420</v>
      </c>
      <c r="D588" s="2" t="s">
        <v>123</v>
      </c>
      <c r="E588" s="1">
        <v>0.43888888888888888</v>
      </c>
      <c r="F588" s="1">
        <v>0.51944444444444449</v>
      </c>
      <c r="G588" s="9">
        <f t="shared" si="62"/>
        <v>44865</v>
      </c>
      <c r="H588" s="11">
        <f t="shared" si="63"/>
        <v>1.9</v>
      </c>
      <c r="I588" s="10">
        <f t="shared" si="59"/>
        <v>4.5</v>
      </c>
      <c r="J588" s="10">
        <f t="shared" si="60"/>
        <v>7.2</v>
      </c>
      <c r="K588" s="10">
        <f t="shared" si="61"/>
        <v>12.1</v>
      </c>
      <c r="L588" s="10">
        <f t="shared" si="64"/>
        <v>4.5</v>
      </c>
    </row>
    <row r="589" spans="1:12" x14ac:dyDescent="0.25">
      <c r="A589" s="7">
        <v>44866</v>
      </c>
      <c r="B589" t="s">
        <v>17</v>
      </c>
      <c r="C589" s="6">
        <v>2420</v>
      </c>
      <c r="D589" s="2" t="s">
        <v>123</v>
      </c>
      <c r="E589" s="1">
        <v>0.53125</v>
      </c>
      <c r="F589" s="1">
        <v>0.6743055555555556</v>
      </c>
      <c r="G589" s="9">
        <f t="shared" si="62"/>
        <v>44865</v>
      </c>
      <c r="H589" s="11">
        <f t="shared" si="63"/>
        <v>3.4</v>
      </c>
      <c r="I589" s="10">
        <f t="shared" si="59"/>
        <v>7.9</v>
      </c>
      <c r="J589" s="10">
        <f t="shared" si="60"/>
        <v>7.2</v>
      </c>
      <c r="K589" s="10">
        <f t="shared" si="61"/>
        <v>15.5</v>
      </c>
      <c r="L589" s="10">
        <f t="shared" si="64"/>
        <v>7.9</v>
      </c>
    </row>
    <row r="590" spans="1:12" x14ac:dyDescent="0.25">
      <c r="A590" s="7">
        <v>44867</v>
      </c>
      <c r="B590" t="s">
        <v>17</v>
      </c>
      <c r="C590" s="6">
        <v>2420</v>
      </c>
      <c r="D590" s="2" t="s">
        <v>123</v>
      </c>
      <c r="E590" s="1">
        <v>0.31597222222222221</v>
      </c>
      <c r="F590" s="1">
        <v>0.41666666666666669</v>
      </c>
      <c r="G590" s="9">
        <f t="shared" si="62"/>
        <v>44865</v>
      </c>
      <c r="H590" s="11">
        <f t="shared" si="63"/>
        <v>2.4</v>
      </c>
      <c r="I590" s="10">
        <f t="shared" si="59"/>
        <v>2.4</v>
      </c>
      <c r="J590" s="10">
        <f t="shared" si="60"/>
        <v>7.2</v>
      </c>
      <c r="K590" s="10">
        <f t="shared" si="61"/>
        <v>17.899999999999999</v>
      </c>
      <c r="L590" s="10">
        <f t="shared" si="64"/>
        <v>10.3</v>
      </c>
    </row>
    <row r="591" spans="1:12" x14ac:dyDescent="0.25">
      <c r="A591" s="7">
        <v>44867</v>
      </c>
      <c r="B591" t="s">
        <v>6</v>
      </c>
      <c r="C591" s="6" t="s">
        <v>416</v>
      </c>
      <c r="D591" s="2" t="s">
        <v>112</v>
      </c>
      <c r="E591" s="1">
        <v>0.41666666666666669</v>
      </c>
      <c r="F591" s="1">
        <v>0.46180555555555558</v>
      </c>
      <c r="G591" s="9">
        <f t="shared" si="62"/>
        <v>44865</v>
      </c>
      <c r="H591" s="11">
        <f t="shared" si="63"/>
        <v>1.1000000000000001</v>
      </c>
      <c r="I591" s="10">
        <f t="shared" si="59"/>
        <v>3.5</v>
      </c>
      <c r="J591" s="10">
        <f t="shared" si="60"/>
        <v>7.2</v>
      </c>
      <c r="K591" s="10">
        <f t="shared" si="61"/>
        <v>19</v>
      </c>
      <c r="L591" s="10">
        <f t="shared" si="64"/>
        <v>11.4</v>
      </c>
    </row>
    <row r="592" spans="1:12" x14ac:dyDescent="0.25">
      <c r="A592" s="7">
        <v>44867</v>
      </c>
      <c r="B592" t="s">
        <v>17</v>
      </c>
      <c r="C592" s="6">
        <v>2420</v>
      </c>
      <c r="D592" s="2" t="s">
        <v>123</v>
      </c>
      <c r="E592" s="1">
        <v>0.46180555555555558</v>
      </c>
      <c r="F592" s="1">
        <v>0.46736111111111112</v>
      </c>
      <c r="G592" s="9">
        <f t="shared" si="62"/>
        <v>44865</v>
      </c>
      <c r="H592" s="11">
        <f t="shared" si="63"/>
        <v>0.1</v>
      </c>
      <c r="I592" s="10">
        <f t="shared" si="59"/>
        <v>3.6</v>
      </c>
      <c r="J592" s="10">
        <f t="shared" si="60"/>
        <v>7.2</v>
      </c>
      <c r="K592" s="10">
        <f t="shared" si="61"/>
        <v>19.100000000000001</v>
      </c>
      <c r="L592" s="10">
        <f t="shared" si="64"/>
        <v>11.5</v>
      </c>
    </row>
    <row r="593" spans="1:12" x14ac:dyDescent="0.25">
      <c r="A593" s="7">
        <v>44867</v>
      </c>
      <c r="B593" t="s">
        <v>17</v>
      </c>
      <c r="C593" s="6">
        <v>2420</v>
      </c>
      <c r="D593" s="2" t="s">
        <v>123</v>
      </c>
      <c r="E593" s="1">
        <v>0.48125000000000001</v>
      </c>
      <c r="F593" s="1">
        <v>0.56805555555555554</v>
      </c>
      <c r="G593" s="9">
        <f t="shared" si="62"/>
        <v>44865</v>
      </c>
      <c r="H593" s="11">
        <f t="shared" si="63"/>
        <v>2.1</v>
      </c>
      <c r="I593" s="10">
        <f t="shared" si="59"/>
        <v>5.7</v>
      </c>
      <c r="J593" s="10">
        <f t="shared" si="60"/>
        <v>7.2</v>
      </c>
      <c r="K593" s="10">
        <f t="shared" si="61"/>
        <v>21.200000000000003</v>
      </c>
      <c r="L593" s="10">
        <f t="shared" si="64"/>
        <v>13.6</v>
      </c>
    </row>
    <row r="594" spans="1:12" x14ac:dyDescent="0.25">
      <c r="A594" s="7">
        <v>44868</v>
      </c>
      <c r="B594" t="s">
        <v>17</v>
      </c>
      <c r="C594" s="6">
        <v>2420</v>
      </c>
      <c r="D594" s="2" t="s">
        <v>123</v>
      </c>
      <c r="E594" s="1">
        <v>0.30277777777777776</v>
      </c>
      <c r="F594" s="1">
        <v>0.48125000000000001</v>
      </c>
      <c r="G594" s="9">
        <f t="shared" si="62"/>
        <v>44865</v>
      </c>
      <c r="H594" s="11">
        <f t="shared" si="63"/>
        <v>4.3</v>
      </c>
      <c r="I594" s="10">
        <f t="shared" si="59"/>
        <v>4.3</v>
      </c>
      <c r="J594" s="10">
        <f t="shared" si="60"/>
        <v>7.2</v>
      </c>
      <c r="K594" s="10">
        <f t="shared" si="61"/>
        <v>25.5</v>
      </c>
      <c r="L594" s="10">
        <f t="shared" si="64"/>
        <v>17.899999999999999</v>
      </c>
    </row>
    <row r="595" spans="1:12" x14ac:dyDescent="0.25">
      <c r="A595" s="7">
        <v>44868</v>
      </c>
      <c r="B595" t="s">
        <v>17</v>
      </c>
      <c r="C595" s="6">
        <v>2420</v>
      </c>
      <c r="D595" s="2" t="s">
        <v>123</v>
      </c>
      <c r="E595" s="1">
        <v>0.4909722222222222</v>
      </c>
      <c r="F595" s="1">
        <v>0.54166666666666663</v>
      </c>
      <c r="G595" s="9">
        <f t="shared" si="62"/>
        <v>44865</v>
      </c>
      <c r="H595" s="11">
        <f t="shared" si="63"/>
        <v>1.2</v>
      </c>
      <c r="I595" s="10">
        <f t="shared" si="59"/>
        <v>5.5</v>
      </c>
      <c r="J595" s="10">
        <f t="shared" si="60"/>
        <v>7.2</v>
      </c>
      <c r="K595" s="10">
        <f t="shared" si="61"/>
        <v>26.7</v>
      </c>
      <c r="L595" s="10">
        <f t="shared" si="64"/>
        <v>19.099999999999998</v>
      </c>
    </row>
    <row r="596" spans="1:12" x14ac:dyDescent="0.25">
      <c r="A596" s="7">
        <v>44868</v>
      </c>
      <c r="B596" t="s">
        <v>19</v>
      </c>
      <c r="C596" s="6">
        <v>2675</v>
      </c>
      <c r="D596" s="5" t="s">
        <v>44</v>
      </c>
      <c r="E596" s="1">
        <v>0.54166666666666663</v>
      </c>
      <c r="F596" s="1">
        <v>0.57986111111111105</v>
      </c>
      <c r="G596" s="9">
        <f t="shared" si="62"/>
        <v>44865</v>
      </c>
      <c r="H596" s="11">
        <f t="shared" si="63"/>
        <v>0.9</v>
      </c>
      <c r="I596" s="10">
        <f t="shared" si="59"/>
        <v>6.4</v>
      </c>
      <c r="J596" s="10">
        <f t="shared" si="60"/>
        <v>7.2</v>
      </c>
      <c r="K596" s="10">
        <f t="shared" si="61"/>
        <v>27.599999999999998</v>
      </c>
      <c r="L596" s="10">
        <f t="shared" si="64"/>
        <v>20</v>
      </c>
    </row>
    <row r="597" spans="1:12" x14ac:dyDescent="0.25">
      <c r="A597" s="7">
        <v>44868</v>
      </c>
      <c r="B597" t="s">
        <v>17</v>
      </c>
      <c r="C597" s="6">
        <v>2420</v>
      </c>
      <c r="D597" s="2" t="s">
        <v>123</v>
      </c>
      <c r="E597" s="1">
        <v>0.57986111111111105</v>
      </c>
      <c r="F597" s="1">
        <v>0.61805555555555558</v>
      </c>
      <c r="G597" s="9">
        <f t="shared" si="62"/>
        <v>44865</v>
      </c>
      <c r="H597" s="11">
        <f t="shared" si="63"/>
        <v>0.9</v>
      </c>
      <c r="I597" s="10">
        <f t="shared" si="59"/>
        <v>7.3000000000000007</v>
      </c>
      <c r="J597" s="10">
        <f t="shared" si="60"/>
        <v>7.2</v>
      </c>
      <c r="K597" s="10">
        <f t="shared" si="61"/>
        <v>28.5</v>
      </c>
      <c r="L597" s="10">
        <f t="shared" si="64"/>
        <v>20.9</v>
      </c>
    </row>
    <row r="598" spans="1:12" x14ac:dyDescent="0.25">
      <c r="A598" s="7">
        <v>44869</v>
      </c>
      <c r="B598" s="2" t="s">
        <v>464</v>
      </c>
      <c r="C598" s="6">
        <v>2431</v>
      </c>
      <c r="D598" s="2" t="s">
        <v>220</v>
      </c>
      <c r="E598" s="1">
        <v>0.28055555555555556</v>
      </c>
      <c r="F598" s="1">
        <v>0.35902777777777778</v>
      </c>
      <c r="G598" s="9">
        <f t="shared" si="62"/>
        <v>44865</v>
      </c>
      <c r="H598" s="11">
        <f t="shared" si="63"/>
        <v>1.9</v>
      </c>
      <c r="I598" s="10">
        <f t="shared" si="59"/>
        <v>1.9</v>
      </c>
      <c r="J598" s="10">
        <f t="shared" si="60"/>
        <v>7.2</v>
      </c>
      <c r="K598" s="10">
        <f t="shared" si="61"/>
        <v>30.4</v>
      </c>
      <c r="L598" s="10">
        <f t="shared" si="64"/>
        <v>22.799999999999997</v>
      </c>
    </row>
    <row r="599" spans="1:12" x14ac:dyDescent="0.25">
      <c r="A599" s="7">
        <v>44869</v>
      </c>
      <c r="B599" t="s">
        <v>17</v>
      </c>
      <c r="C599" s="6">
        <v>2420</v>
      </c>
      <c r="D599" s="2" t="s">
        <v>221</v>
      </c>
      <c r="E599" s="1">
        <v>0.35902777777777778</v>
      </c>
      <c r="F599" s="1">
        <v>0.47638888888888892</v>
      </c>
      <c r="G599" s="9">
        <f t="shared" si="62"/>
        <v>44865</v>
      </c>
      <c r="H599" s="11">
        <f t="shared" si="63"/>
        <v>2.8</v>
      </c>
      <c r="I599" s="10">
        <f t="shared" si="59"/>
        <v>4.6999999999999993</v>
      </c>
      <c r="J599" s="10">
        <f t="shared" si="60"/>
        <v>7.2</v>
      </c>
      <c r="K599" s="10">
        <f t="shared" si="61"/>
        <v>33.199999999999996</v>
      </c>
      <c r="L599" s="10">
        <f t="shared" si="64"/>
        <v>25.6</v>
      </c>
    </row>
    <row r="600" spans="1:12" x14ac:dyDescent="0.25">
      <c r="A600" s="7">
        <v>44869</v>
      </c>
      <c r="B600" t="s">
        <v>19</v>
      </c>
      <c r="C600" s="6">
        <v>2675</v>
      </c>
      <c r="D600" s="5" t="s">
        <v>222</v>
      </c>
      <c r="E600" s="1">
        <v>0.4916666666666667</v>
      </c>
      <c r="F600" s="1">
        <v>0.60763888888888895</v>
      </c>
      <c r="G600" s="9">
        <f t="shared" si="62"/>
        <v>44865</v>
      </c>
      <c r="H600" s="11">
        <f t="shared" si="63"/>
        <v>2.8</v>
      </c>
      <c r="I600" s="10">
        <f t="shared" si="59"/>
        <v>7.5</v>
      </c>
      <c r="J600" s="10">
        <f t="shared" si="60"/>
        <v>7.2</v>
      </c>
      <c r="K600" s="10">
        <f t="shared" si="61"/>
        <v>36</v>
      </c>
      <c r="L600" s="10">
        <f t="shared" si="64"/>
        <v>28.400000000000002</v>
      </c>
    </row>
    <row r="601" spans="1:12" x14ac:dyDescent="0.25">
      <c r="A601" s="7">
        <v>44872</v>
      </c>
      <c r="B601" t="s">
        <v>17</v>
      </c>
      <c r="C601" s="6">
        <v>2420</v>
      </c>
      <c r="D601" s="2" t="s">
        <v>208</v>
      </c>
      <c r="E601" s="1">
        <v>0.32222222222222224</v>
      </c>
      <c r="F601" s="1">
        <v>0.41666666666666669</v>
      </c>
      <c r="G601" s="9">
        <f t="shared" si="62"/>
        <v>44872</v>
      </c>
      <c r="H601" s="11">
        <f t="shared" si="63"/>
        <v>2.2999999999999998</v>
      </c>
      <c r="I601" s="10">
        <f t="shared" si="59"/>
        <v>2.2999999999999998</v>
      </c>
      <c r="J601" s="10">
        <f t="shared" si="60"/>
        <v>7.2</v>
      </c>
      <c r="K601" s="10">
        <f t="shared" si="61"/>
        <v>2.2999999999999998</v>
      </c>
      <c r="L601" s="10">
        <f t="shared" si="64"/>
        <v>30.7</v>
      </c>
    </row>
    <row r="602" spans="1:12" x14ac:dyDescent="0.25">
      <c r="A602" s="7">
        <v>44872</v>
      </c>
      <c r="B602" t="s">
        <v>6</v>
      </c>
      <c r="C602" s="6" t="s">
        <v>416</v>
      </c>
      <c r="D602" s="5" t="s">
        <v>112</v>
      </c>
      <c r="E602" s="1">
        <v>0.41666666666666669</v>
      </c>
      <c r="F602" s="1">
        <v>0.45833333333333331</v>
      </c>
      <c r="G602" s="9">
        <f t="shared" si="62"/>
        <v>44872</v>
      </c>
      <c r="H602" s="11">
        <f t="shared" si="63"/>
        <v>1</v>
      </c>
      <c r="I602" s="10">
        <f t="shared" si="59"/>
        <v>3.3</v>
      </c>
      <c r="J602" s="10">
        <f t="shared" si="60"/>
        <v>7.2</v>
      </c>
      <c r="K602" s="10">
        <f t="shared" si="61"/>
        <v>3.3</v>
      </c>
      <c r="L602" s="10">
        <f t="shared" si="64"/>
        <v>31.7</v>
      </c>
    </row>
    <row r="603" spans="1:12" x14ac:dyDescent="0.25">
      <c r="A603" s="7">
        <v>44872</v>
      </c>
      <c r="B603" t="s">
        <v>17</v>
      </c>
      <c r="C603" s="6">
        <v>2420</v>
      </c>
      <c r="D603" s="2" t="s">
        <v>208</v>
      </c>
      <c r="E603" s="1">
        <v>0.45833333333333331</v>
      </c>
      <c r="F603" s="1">
        <v>0.49791666666666662</v>
      </c>
      <c r="G603" s="9">
        <f t="shared" si="62"/>
        <v>44872</v>
      </c>
      <c r="H603" s="11">
        <f t="shared" si="63"/>
        <v>0.9</v>
      </c>
      <c r="I603" s="10">
        <f t="shared" si="59"/>
        <v>4.2</v>
      </c>
      <c r="J603" s="10">
        <f t="shared" si="60"/>
        <v>7.2</v>
      </c>
      <c r="K603" s="10">
        <f t="shared" si="61"/>
        <v>4.2</v>
      </c>
      <c r="L603" s="10">
        <f t="shared" si="64"/>
        <v>32.6</v>
      </c>
    </row>
    <row r="604" spans="1:12" x14ac:dyDescent="0.25">
      <c r="A604" s="7">
        <v>44872</v>
      </c>
      <c r="B604" t="s">
        <v>17</v>
      </c>
      <c r="C604" s="6">
        <v>2420</v>
      </c>
      <c r="D604" s="2" t="s">
        <v>208</v>
      </c>
      <c r="E604" s="1">
        <v>0.50694444444444442</v>
      </c>
      <c r="F604" s="1">
        <v>0.67361111111111116</v>
      </c>
      <c r="G604" s="9">
        <f t="shared" si="62"/>
        <v>44872</v>
      </c>
      <c r="H604" s="11">
        <f t="shared" si="63"/>
        <v>4</v>
      </c>
      <c r="I604" s="10">
        <f t="shared" si="59"/>
        <v>8.1999999999999993</v>
      </c>
      <c r="J604" s="10">
        <f t="shared" si="60"/>
        <v>7.2</v>
      </c>
      <c r="K604" s="10">
        <f t="shared" si="61"/>
        <v>8.1999999999999993</v>
      </c>
      <c r="L604" s="10">
        <f t="shared" si="64"/>
        <v>36.6</v>
      </c>
    </row>
    <row r="605" spans="1:12" x14ac:dyDescent="0.25">
      <c r="A605" s="7">
        <v>44873</v>
      </c>
      <c r="B605" t="s">
        <v>17</v>
      </c>
      <c r="C605" s="6">
        <v>2420</v>
      </c>
      <c r="D605" s="2" t="s">
        <v>208</v>
      </c>
      <c r="E605" s="1">
        <v>0.2673611111111111</v>
      </c>
      <c r="F605" s="1">
        <v>0.3666666666666667</v>
      </c>
      <c r="G605" s="9">
        <f t="shared" si="62"/>
        <v>44872</v>
      </c>
      <c r="H605" s="11">
        <f t="shared" si="63"/>
        <v>2.4</v>
      </c>
      <c r="I605" s="10">
        <f t="shared" si="59"/>
        <v>2.4</v>
      </c>
      <c r="J605" s="10">
        <f t="shared" si="60"/>
        <v>7.2</v>
      </c>
      <c r="K605" s="10">
        <f t="shared" si="61"/>
        <v>10.6</v>
      </c>
      <c r="L605" s="10">
        <f t="shared" si="64"/>
        <v>39</v>
      </c>
    </row>
    <row r="606" spans="1:12" x14ac:dyDescent="0.25">
      <c r="A606" s="7">
        <v>44873</v>
      </c>
      <c r="B606" t="s">
        <v>19</v>
      </c>
      <c r="C606" s="6">
        <v>2675</v>
      </c>
      <c r="D606" s="5" t="s">
        <v>222</v>
      </c>
      <c r="E606" s="1">
        <v>0.3666666666666667</v>
      </c>
      <c r="F606" s="1">
        <v>0.39583333333333331</v>
      </c>
      <c r="G606" s="9">
        <f t="shared" si="62"/>
        <v>44872</v>
      </c>
      <c r="H606" s="11">
        <f t="shared" si="63"/>
        <v>0.7</v>
      </c>
      <c r="I606" s="10">
        <f t="shared" si="59"/>
        <v>3.0999999999999996</v>
      </c>
      <c r="J606" s="10">
        <f t="shared" si="60"/>
        <v>7.2</v>
      </c>
      <c r="K606" s="10">
        <f t="shared" si="61"/>
        <v>11.299999999999999</v>
      </c>
      <c r="L606" s="10">
        <f t="shared" si="64"/>
        <v>39.700000000000003</v>
      </c>
    </row>
    <row r="607" spans="1:12" x14ac:dyDescent="0.25">
      <c r="A607" s="7">
        <v>44873</v>
      </c>
      <c r="B607" t="s">
        <v>19</v>
      </c>
      <c r="C607" s="6">
        <v>2675</v>
      </c>
      <c r="D607" s="5" t="s">
        <v>44</v>
      </c>
      <c r="E607" s="1">
        <v>0.39583333333333331</v>
      </c>
      <c r="F607" s="1">
        <v>0.52916666666666667</v>
      </c>
      <c r="G607" s="9">
        <f t="shared" si="62"/>
        <v>44872</v>
      </c>
      <c r="H607" s="11">
        <f t="shared" si="63"/>
        <v>3.2</v>
      </c>
      <c r="I607" s="10">
        <f t="shared" si="59"/>
        <v>6.3000000000000007</v>
      </c>
      <c r="J607" s="10">
        <f t="shared" si="60"/>
        <v>7.2</v>
      </c>
      <c r="K607" s="10">
        <f t="shared" si="61"/>
        <v>14.5</v>
      </c>
      <c r="L607" s="10">
        <f t="shared" si="64"/>
        <v>42.900000000000006</v>
      </c>
    </row>
    <row r="608" spans="1:12" x14ac:dyDescent="0.25">
      <c r="A608" s="7">
        <v>44873</v>
      </c>
      <c r="B608" t="s">
        <v>19</v>
      </c>
      <c r="C608" s="6">
        <v>2675</v>
      </c>
      <c r="D608" s="5" t="s">
        <v>222</v>
      </c>
      <c r="E608" s="1">
        <v>0.54097222222222219</v>
      </c>
      <c r="F608" s="1">
        <v>0.59583333333333333</v>
      </c>
      <c r="G608" s="9">
        <f t="shared" si="62"/>
        <v>44872</v>
      </c>
      <c r="H608" s="11">
        <f t="shared" si="63"/>
        <v>1.3</v>
      </c>
      <c r="I608" s="10">
        <f t="shared" si="59"/>
        <v>7.6</v>
      </c>
      <c r="J608" s="10">
        <f t="shared" si="60"/>
        <v>7.2</v>
      </c>
      <c r="K608" s="10">
        <f t="shared" si="61"/>
        <v>15.8</v>
      </c>
      <c r="L608" s="10">
        <f t="shared" si="64"/>
        <v>44.199999999999996</v>
      </c>
    </row>
    <row r="609" spans="1:12" x14ac:dyDescent="0.25">
      <c r="A609" s="7">
        <v>44874</v>
      </c>
      <c r="B609" t="s">
        <v>17</v>
      </c>
      <c r="C609" s="6">
        <v>2420</v>
      </c>
      <c r="D609" s="2" t="s">
        <v>219</v>
      </c>
      <c r="E609" s="1">
        <v>0.31041666666666667</v>
      </c>
      <c r="F609" s="1">
        <v>0.375</v>
      </c>
      <c r="G609" s="9">
        <f t="shared" si="62"/>
        <v>44872</v>
      </c>
      <c r="H609" s="11">
        <f t="shared" si="63"/>
        <v>1.6</v>
      </c>
      <c r="I609" s="10">
        <f t="shared" si="59"/>
        <v>1.6</v>
      </c>
      <c r="J609" s="10">
        <f t="shared" si="60"/>
        <v>7.2</v>
      </c>
      <c r="K609" s="10">
        <f t="shared" si="61"/>
        <v>17.400000000000002</v>
      </c>
      <c r="L609" s="10">
        <f t="shared" si="64"/>
        <v>45.800000000000004</v>
      </c>
    </row>
    <row r="610" spans="1:12" x14ac:dyDescent="0.25">
      <c r="A610" s="7">
        <v>44874</v>
      </c>
      <c r="B610" t="s">
        <v>17</v>
      </c>
      <c r="C610" s="6">
        <v>2420</v>
      </c>
      <c r="D610" s="2" t="s">
        <v>178</v>
      </c>
      <c r="E610" s="1">
        <v>0.375</v>
      </c>
      <c r="F610" s="1">
        <v>0.39930555555555558</v>
      </c>
      <c r="G610" s="9">
        <f t="shared" si="62"/>
        <v>44872</v>
      </c>
      <c r="H610" s="11">
        <f t="shared" si="63"/>
        <v>0.6</v>
      </c>
      <c r="I610" s="10">
        <f t="shared" si="59"/>
        <v>2.2000000000000002</v>
      </c>
      <c r="J610" s="10">
        <f t="shared" si="60"/>
        <v>7.2</v>
      </c>
      <c r="K610" s="10">
        <f t="shared" si="61"/>
        <v>18</v>
      </c>
      <c r="L610" s="10">
        <f t="shared" si="64"/>
        <v>46.4</v>
      </c>
    </row>
    <row r="611" spans="1:12" x14ac:dyDescent="0.25">
      <c r="A611" s="7">
        <v>44874</v>
      </c>
      <c r="B611" t="s">
        <v>17</v>
      </c>
      <c r="C611" s="6">
        <v>2420</v>
      </c>
      <c r="D611" s="2" t="s">
        <v>219</v>
      </c>
      <c r="E611" s="1">
        <v>0.39930555555555558</v>
      </c>
      <c r="F611" s="1">
        <v>0.45833333333333331</v>
      </c>
      <c r="G611" s="9">
        <f t="shared" si="62"/>
        <v>44872</v>
      </c>
      <c r="H611" s="11">
        <f t="shared" si="63"/>
        <v>1.4</v>
      </c>
      <c r="I611" s="10">
        <f t="shared" si="59"/>
        <v>3.6</v>
      </c>
      <c r="J611" s="10">
        <f t="shared" si="60"/>
        <v>7.2</v>
      </c>
      <c r="K611" s="10">
        <f t="shared" si="61"/>
        <v>19.399999999999999</v>
      </c>
      <c r="L611" s="10">
        <f t="shared" si="64"/>
        <v>47.8</v>
      </c>
    </row>
    <row r="612" spans="1:12" x14ac:dyDescent="0.25">
      <c r="A612" s="7">
        <v>44874</v>
      </c>
      <c r="B612" s="2" t="s">
        <v>6</v>
      </c>
      <c r="C612" s="24" t="s">
        <v>416</v>
      </c>
      <c r="D612" s="5" t="s">
        <v>103</v>
      </c>
      <c r="E612" s="1">
        <v>0.45833333333333331</v>
      </c>
      <c r="F612" s="1">
        <v>0.51597222222222217</v>
      </c>
      <c r="G612" s="9">
        <f t="shared" si="62"/>
        <v>44872</v>
      </c>
      <c r="H612" s="11">
        <f t="shared" si="63"/>
        <v>1.4</v>
      </c>
      <c r="I612" s="10">
        <f t="shared" si="59"/>
        <v>5</v>
      </c>
      <c r="J612" s="10">
        <f t="shared" si="60"/>
        <v>7.2</v>
      </c>
      <c r="K612" s="10">
        <f t="shared" si="61"/>
        <v>20.799999999999997</v>
      </c>
      <c r="L612" s="10">
        <f t="shared" si="64"/>
        <v>49.199999999999996</v>
      </c>
    </row>
    <row r="613" spans="1:12" x14ac:dyDescent="0.25">
      <c r="A613" s="7">
        <v>44874</v>
      </c>
      <c r="B613" t="s">
        <v>19</v>
      </c>
      <c r="C613" s="6">
        <v>2675</v>
      </c>
      <c r="D613" s="5" t="s">
        <v>222</v>
      </c>
      <c r="E613" s="1">
        <v>0.52638888888888891</v>
      </c>
      <c r="F613" s="1">
        <v>0.6166666666666667</v>
      </c>
      <c r="G613" s="9">
        <f t="shared" si="62"/>
        <v>44872</v>
      </c>
      <c r="H613" s="11">
        <f t="shared" si="63"/>
        <v>2.2000000000000002</v>
      </c>
      <c r="I613" s="10">
        <f t="shared" si="59"/>
        <v>7.2</v>
      </c>
      <c r="J613" s="10">
        <f t="shared" si="60"/>
        <v>7.2</v>
      </c>
      <c r="K613" s="10">
        <f t="shared" si="61"/>
        <v>23</v>
      </c>
      <c r="L613" s="10">
        <f t="shared" si="64"/>
        <v>51.400000000000006</v>
      </c>
    </row>
    <row r="614" spans="1:12" x14ac:dyDescent="0.25">
      <c r="A614" s="7">
        <v>44875</v>
      </c>
      <c r="B614" s="2" t="s">
        <v>464</v>
      </c>
      <c r="C614" s="6">
        <v>2431</v>
      </c>
      <c r="D614" s="2" t="s">
        <v>220</v>
      </c>
      <c r="E614" s="1">
        <v>0.35416666666666669</v>
      </c>
      <c r="F614" s="1">
        <v>0.43541666666666662</v>
      </c>
      <c r="G614" s="9">
        <f t="shared" si="62"/>
        <v>44872</v>
      </c>
      <c r="H614" s="11">
        <f t="shared" si="63"/>
        <v>2</v>
      </c>
      <c r="I614" s="10">
        <f t="shared" si="59"/>
        <v>2</v>
      </c>
      <c r="J614" s="10">
        <f t="shared" si="60"/>
        <v>7.2</v>
      </c>
      <c r="K614" s="10">
        <f t="shared" si="61"/>
        <v>25</v>
      </c>
      <c r="L614" s="10">
        <f t="shared" si="64"/>
        <v>53.4</v>
      </c>
    </row>
    <row r="615" spans="1:12" x14ac:dyDescent="0.25">
      <c r="A615" s="7">
        <v>44875</v>
      </c>
      <c r="B615" t="s">
        <v>19</v>
      </c>
      <c r="C615" s="6">
        <v>2675</v>
      </c>
      <c r="D615" s="5" t="s">
        <v>222</v>
      </c>
      <c r="E615" s="1">
        <v>0.43541666666666662</v>
      </c>
      <c r="F615" s="1">
        <v>0.45833333333333331</v>
      </c>
      <c r="G615" s="9">
        <f t="shared" si="62"/>
        <v>44872</v>
      </c>
      <c r="H615" s="11">
        <f t="shared" si="63"/>
        <v>0.6</v>
      </c>
      <c r="I615" s="10">
        <f t="shared" si="59"/>
        <v>2.6</v>
      </c>
      <c r="J615" s="10">
        <f t="shared" si="60"/>
        <v>7.2</v>
      </c>
      <c r="K615" s="10">
        <f t="shared" si="61"/>
        <v>25.6</v>
      </c>
      <c r="L615" s="10">
        <f t="shared" si="64"/>
        <v>54</v>
      </c>
    </row>
    <row r="616" spans="1:12" x14ac:dyDescent="0.25">
      <c r="A616" s="7">
        <v>44875</v>
      </c>
      <c r="B616" t="s">
        <v>19</v>
      </c>
      <c r="C616" s="6">
        <v>2675</v>
      </c>
      <c r="D616" s="5" t="s">
        <v>223</v>
      </c>
      <c r="E616" s="1">
        <v>0.45833333333333331</v>
      </c>
      <c r="F616" s="1">
        <v>0.5180555555555556</v>
      </c>
      <c r="G616" s="9">
        <f t="shared" si="62"/>
        <v>44872</v>
      </c>
      <c r="H616" s="11">
        <f t="shared" si="63"/>
        <v>1.4</v>
      </c>
      <c r="I616" s="10">
        <f t="shared" si="59"/>
        <v>4</v>
      </c>
      <c r="J616" s="10">
        <f t="shared" si="60"/>
        <v>7.2</v>
      </c>
      <c r="K616" s="10">
        <f t="shared" si="61"/>
        <v>27</v>
      </c>
      <c r="L616" s="10">
        <f t="shared" si="64"/>
        <v>55.4</v>
      </c>
    </row>
    <row r="617" spans="1:12" x14ac:dyDescent="0.25">
      <c r="A617" s="7">
        <v>44875</v>
      </c>
      <c r="B617" t="s">
        <v>19</v>
      </c>
      <c r="C617" s="6">
        <v>2675</v>
      </c>
      <c r="D617" s="5" t="s">
        <v>222</v>
      </c>
      <c r="E617" s="1">
        <v>0.53055555555555556</v>
      </c>
      <c r="F617" s="1">
        <v>0.62013888888888891</v>
      </c>
      <c r="G617" s="9">
        <f t="shared" si="62"/>
        <v>44872</v>
      </c>
      <c r="H617" s="11">
        <f t="shared" si="63"/>
        <v>2.2000000000000002</v>
      </c>
      <c r="I617" s="10">
        <f t="shared" si="59"/>
        <v>6.2</v>
      </c>
      <c r="J617" s="10">
        <f t="shared" si="60"/>
        <v>7.2</v>
      </c>
      <c r="K617" s="10">
        <f t="shared" si="61"/>
        <v>29.2</v>
      </c>
      <c r="L617" s="10">
        <f t="shared" si="64"/>
        <v>57.6</v>
      </c>
    </row>
    <row r="618" spans="1:12" x14ac:dyDescent="0.25">
      <c r="A618" s="7">
        <v>44876</v>
      </c>
      <c r="B618" t="s">
        <v>19</v>
      </c>
      <c r="C618" s="6">
        <v>2675</v>
      </c>
      <c r="D618" s="5" t="s">
        <v>222</v>
      </c>
      <c r="E618" s="1">
        <v>0.30486111111111108</v>
      </c>
      <c r="F618" s="1">
        <v>0.375</v>
      </c>
      <c r="G618" s="9">
        <f t="shared" si="62"/>
        <v>44872</v>
      </c>
      <c r="H618" s="11">
        <f t="shared" si="63"/>
        <v>1.7</v>
      </c>
      <c r="I618" s="10">
        <f t="shared" si="59"/>
        <v>1.7</v>
      </c>
      <c r="J618" s="10">
        <f t="shared" si="60"/>
        <v>7.2</v>
      </c>
      <c r="K618" s="10">
        <f t="shared" si="61"/>
        <v>30.9</v>
      </c>
      <c r="L618" s="10">
        <f t="shared" si="64"/>
        <v>59.300000000000004</v>
      </c>
    </row>
    <row r="619" spans="1:12" x14ac:dyDescent="0.25">
      <c r="A619" s="7">
        <v>44876</v>
      </c>
      <c r="B619" s="2" t="s">
        <v>464</v>
      </c>
      <c r="C619" s="6">
        <v>2431</v>
      </c>
      <c r="D619" s="5" t="s">
        <v>224</v>
      </c>
      <c r="E619" s="1">
        <v>0.375</v>
      </c>
      <c r="F619" s="1">
        <v>0.39999999999999997</v>
      </c>
      <c r="G619" s="9">
        <f t="shared" si="62"/>
        <v>44872</v>
      </c>
      <c r="H619" s="11">
        <f t="shared" si="63"/>
        <v>0.6</v>
      </c>
      <c r="I619" s="10">
        <f t="shared" si="59"/>
        <v>2.2999999999999998</v>
      </c>
      <c r="J619" s="10">
        <f t="shared" si="60"/>
        <v>7.2</v>
      </c>
      <c r="K619" s="10">
        <f t="shared" si="61"/>
        <v>31.5</v>
      </c>
      <c r="L619" s="10">
        <f t="shared" si="64"/>
        <v>59.9</v>
      </c>
    </row>
    <row r="620" spans="1:12" x14ac:dyDescent="0.25">
      <c r="A620" s="7">
        <v>44876</v>
      </c>
      <c r="B620" t="s">
        <v>19</v>
      </c>
      <c r="C620" s="6">
        <v>2675</v>
      </c>
      <c r="D620" s="5" t="s">
        <v>222</v>
      </c>
      <c r="E620" s="1">
        <v>0.39999999999999997</v>
      </c>
      <c r="F620" s="1">
        <v>0.4375</v>
      </c>
      <c r="G620" s="9">
        <f t="shared" si="62"/>
        <v>44872</v>
      </c>
      <c r="H620" s="11">
        <f t="shared" si="63"/>
        <v>0.9</v>
      </c>
      <c r="I620" s="10">
        <f t="shared" si="59"/>
        <v>3.1999999999999997</v>
      </c>
      <c r="J620" s="10">
        <f t="shared" si="60"/>
        <v>7.2</v>
      </c>
      <c r="K620" s="10">
        <f t="shared" si="61"/>
        <v>32.4</v>
      </c>
      <c r="L620" s="10">
        <f t="shared" si="64"/>
        <v>60.8</v>
      </c>
    </row>
    <row r="621" spans="1:12" x14ac:dyDescent="0.25">
      <c r="A621" s="7">
        <v>44876</v>
      </c>
      <c r="B621" t="s">
        <v>17</v>
      </c>
      <c r="C621" s="6">
        <v>2420</v>
      </c>
      <c r="D621" s="2" t="s">
        <v>160</v>
      </c>
      <c r="E621" s="1">
        <v>0.4375</v>
      </c>
      <c r="F621" s="1">
        <v>0.55208333333333337</v>
      </c>
      <c r="G621" s="9">
        <f t="shared" si="62"/>
        <v>44872</v>
      </c>
      <c r="H621" s="11">
        <f t="shared" si="63"/>
        <v>2.8</v>
      </c>
      <c r="I621" s="10">
        <f t="shared" si="59"/>
        <v>6</v>
      </c>
      <c r="J621" s="10">
        <f t="shared" si="60"/>
        <v>7.2</v>
      </c>
      <c r="K621" s="10">
        <f t="shared" si="61"/>
        <v>35.199999999999996</v>
      </c>
      <c r="L621" s="10">
        <f t="shared" si="64"/>
        <v>63.599999999999994</v>
      </c>
    </row>
    <row r="622" spans="1:12" x14ac:dyDescent="0.25">
      <c r="A622" s="7">
        <v>44876</v>
      </c>
      <c r="B622" t="s">
        <v>17</v>
      </c>
      <c r="C622" s="6">
        <v>2420</v>
      </c>
      <c r="D622" s="2" t="s">
        <v>160</v>
      </c>
      <c r="E622" s="1">
        <v>0.56944444444444442</v>
      </c>
      <c r="F622" s="1">
        <v>0.6694444444444444</v>
      </c>
      <c r="G622" s="9">
        <f t="shared" si="62"/>
        <v>44872</v>
      </c>
      <c r="H622" s="11">
        <f t="shared" si="63"/>
        <v>2.4</v>
      </c>
      <c r="I622" s="10">
        <f t="shared" si="59"/>
        <v>8.4</v>
      </c>
      <c r="J622" s="10">
        <f t="shared" si="60"/>
        <v>7.2</v>
      </c>
      <c r="K622" s="10">
        <f t="shared" si="61"/>
        <v>37.6</v>
      </c>
      <c r="L622" s="10">
        <f t="shared" si="64"/>
        <v>66</v>
      </c>
    </row>
    <row r="623" spans="1:12" x14ac:dyDescent="0.25">
      <c r="A623" s="7">
        <v>44879</v>
      </c>
      <c r="B623" s="2" t="s">
        <v>6</v>
      </c>
      <c r="C623" s="24" t="s">
        <v>416</v>
      </c>
      <c r="D623" s="5" t="s">
        <v>225</v>
      </c>
      <c r="E623" s="1">
        <v>0.39305555555555555</v>
      </c>
      <c r="F623" s="1">
        <v>0.51666666666666672</v>
      </c>
      <c r="G623" s="9">
        <f t="shared" si="62"/>
        <v>44879</v>
      </c>
      <c r="H623" s="11">
        <f t="shared" si="63"/>
        <v>3</v>
      </c>
      <c r="I623" s="10">
        <f t="shared" si="59"/>
        <v>3</v>
      </c>
      <c r="J623" s="10">
        <f t="shared" si="60"/>
        <v>7.2</v>
      </c>
      <c r="K623" s="10">
        <f t="shared" si="61"/>
        <v>3</v>
      </c>
      <c r="L623" s="10">
        <f t="shared" si="64"/>
        <v>69</v>
      </c>
    </row>
    <row r="624" spans="1:12" x14ac:dyDescent="0.25">
      <c r="A624" s="7">
        <v>44879</v>
      </c>
      <c r="B624" s="2" t="s">
        <v>6</v>
      </c>
      <c r="C624" s="24" t="s">
        <v>416</v>
      </c>
      <c r="D624" s="5" t="s">
        <v>225</v>
      </c>
      <c r="E624" s="1">
        <v>0.52569444444444446</v>
      </c>
      <c r="F624" s="1">
        <v>0.64444444444444449</v>
      </c>
      <c r="G624" s="9">
        <f t="shared" si="62"/>
        <v>44879</v>
      </c>
      <c r="H624" s="11">
        <f t="shared" si="63"/>
        <v>2.9</v>
      </c>
      <c r="I624" s="10">
        <f t="shared" si="59"/>
        <v>5.9</v>
      </c>
      <c r="J624" s="10">
        <f t="shared" si="60"/>
        <v>7.2</v>
      </c>
      <c r="K624" s="10">
        <f t="shared" si="61"/>
        <v>5.9</v>
      </c>
      <c r="L624" s="10">
        <f t="shared" si="64"/>
        <v>71.900000000000006</v>
      </c>
    </row>
    <row r="625" spans="1:12" x14ac:dyDescent="0.25">
      <c r="A625" s="7">
        <v>44880</v>
      </c>
      <c r="B625" t="s">
        <v>19</v>
      </c>
      <c r="C625" s="6">
        <v>2675</v>
      </c>
      <c r="D625" s="5" t="s">
        <v>222</v>
      </c>
      <c r="E625" s="1">
        <v>0.25347222222222221</v>
      </c>
      <c r="F625" s="1">
        <v>0.41666666666666669</v>
      </c>
      <c r="G625" s="9">
        <f t="shared" si="62"/>
        <v>44879</v>
      </c>
      <c r="H625" s="11">
        <f t="shared" si="63"/>
        <v>3.9</v>
      </c>
      <c r="I625" s="10">
        <f t="shared" si="59"/>
        <v>3.9</v>
      </c>
      <c r="J625" s="10">
        <f t="shared" si="60"/>
        <v>7.2</v>
      </c>
      <c r="K625" s="10">
        <f t="shared" si="61"/>
        <v>9.8000000000000007</v>
      </c>
      <c r="L625" s="10">
        <f t="shared" si="64"/>
        <v>75.800000000000011</v>
      </c>
    </row>
    <row r="626" spans="1:12" x14ac:dyDescent="0.25">
      <c r="A626" s="7">
        <v>44880</v>
      </c>
      <c r="B626" s="2" t="s">
        <v>6</v>
      </c>
      <c r="C626" s="24" t="s">
        <v>416</v>
      </c>
      <c r="D626" s="5" t="s">
        <v>226</v>
      </c>
      <c r="E626" s="1">
        <v>0.41666666666666669</v>
      </c>
      <c r="F626" s="1">
        <v>0.45763888888888887</v>
      </c>
      <c r="G626" s="9">
        <f t="shared" si="62"/>
        <v>44879</v>
      </c>
      <c r="H626" s="11">
        <f t="shared" si="63"/>
        <v>1</v>
      </c>
      <c r="I626" s="10">
        <f t="shared" si="59"/>
        <v>4.9000000000000004</v>
      </c>
      <c r="J626" s="10">
        <f t="shared" si="60"/>
        <v>7.2</v>
      </c>
      <c r="K626" s="10">
        <f t="shared" si="61"/>
        <v>10.8</v>
      </c>
      <c r="L626" s="10">
        <f t="shared" si="64"/>
        <v>76.8</v>
      </c>
    </row>
    <row r="627" spans="1:12" x14ac:dyDescent="0.25">
      <c r="A627" s="7">
        <v>44880</v>
      </c>
      <c r="B627" t="s">
        <v>19</v>
      </c>
      <c r="C627" s="6">
        <v>2675</v>
      </c>
      <c r="D627" s="5" t="s">
        <v>222</v>
      </c>
      <c r="E627" s="1">
        <v>0.45763888888888887</v>
      </c>
      <c r="F627" s="1">
        <v>0.48472222222222222</v>
      </c>
      <c r="G627" s="9">
        <f t="shared" si="62"/>
        <v>44879</v>
      </c>
      <c r="H627" s="11">
        <f t="shared" si="63"/>
        <v>0.7</v>
      </c>
      <c r="I627" s="10">
        <f t="shared" si="59"/>
        <v>5.6000000000000005</v>
      </c>
      <c r="J627" s="10">
        <f t="shared" si="60"/>
        <v>7.2</v>
      </c>
      <c r="K627" s="10">
        <f t="shared" si="61"/>
        <v>11.5</v>
      </c>
      <c r="L627" s="10">
        <f t="shared" si="64"/>
        <v>77.5</v>
      </c>
    </row>
    <row r="628" spans="1:12" x14ac:dyDescent="0.25">
      <c r="A628" s="7">
        <v>44880</v>
      </c>
      <c r="B628" t="s">
        <v>19</v>
      </c>
      <c r="C628" s="6">
        <v>2675</v>
      </c>
      <c r="D628" s="5" t="s">
        <v>222</v>
      </c>
      <c r="E628" s="1">
        <v>0.49722222222222223</v>
      </c>
      <c r="F628" s="1">
        <v>0.61388888888888882</v>
      </c>
      <c r="G628" s="9">
        <f t="shared" si="62"/>
        <v>44879</v>
      </c>
      <c r="H628" s="11">
        <f t="shared" si="63"/>
        <v>2.8</v>
      </c>
      <c r="I628" s="10">
        <f t="shared" si="59"/>
        <v>8.3999999999999986</v>
      </c>
      <c r="J628" s="10">
        <f t="shared" si="60"/>
        <v>7.2</v>
      </c>
      <c r="K628" s="10">
        <f t="shared" si="61"/>
        <v>14.3</v>
      </c>
      <c r="L628" s="10">
        <f t="shared" si="64"/>
        <v>80.3</v>
      </c>
    </row>
    <row r="629" spans="1:12" x14ac:dyDescent="0.25">
      <c r="A629" s="7">
        <v>44881</v>
      </c>
      <c r="B629" t="s">
        <v>19</v>
      </c>
      <c r="C629" s="6">
        <v>2675</v>
      </c>
      <c r="D629" s="5" t="s">
        <v>222</v>
      </c>
      <c r="E629" s="1">
        <v>0.2986111111111111</v>
      </c>
      <c r="F629" s="1">
        <v>0.48819444444444443</v>
      </c>
      <c r="G629" s="9">
        <f t="shared" si="62"/>
        <v>44879</v>
      </c>
      <c r="H629" s="11">
        <f t="shared" si="63"/>
        <v>4.5999999999999996</v>
      </c>
      <c r="I629" s="10">
        <f t="shared" si="59"/>
        <v>4.5999999999999996</v>
      </c>
      <c r="J629" s="10">
        <f t="shared" si="60"/>
        <v>7.2</v>
      </c>
      <c r="K629" s="10">
        <f t="shared" si="61"/>
        <v>18.899999999999999</v>
      </c>
      <c r="L629" s="10">
        <f t="shared" si="64"/>
        <v>84.899999999999991</v>
      </c>
    </row>
    <row r="630" spans="1:12" x14ac:dyDescent="0.25">
      <c r="A630" s="7">
        <v>44881</v>
      </c>
      <c r="B630" t="s">
        <v>19</v>
      </c>
      <c r="C630" s="6">
        <v>2675</v>
      </c>
      <c r="D630" s="5" t="s">
        <v>222</v>
      </c>
      <c r="E630" s="1">
        <v>0.5131944444444444</v>
      </c>
      <c r="F630" s="1">
        <v>0.54166666666666663</v>
      </c>
      <c r="G630" s="9">
        <f t="shared" si="62"/>
        <v>44879</v>
      </c>
      <c r="H630" s="11">
        <f t="shared" si="63"/>
        <v>0.7</v>
      </c>
      <c r="I630" s="10">
        <f t="shared" si="59"/>
        <v>5.3</v>
      </c>
      <c r="J630" s="10">
        <f t="shared" si="60"/>
        <v>7.2</v>
      </c>
      <c r="K630" s="10">
        <f t="shared" si="61"/>
        <v>19.599999999999998</v>
      </c>
      <c r="L630" s="10">
        <f t="shared" si="64"/>
        <v>85.600000000000009</v>
      </c>
    </row>
    <row r="631" spans="1:12" x14ac:dyDescent="0.25">
      <c r="A631" s="7">
        <v>44881</v>
      </c>
      <c r="B631" s="2" t="s">
        <v>6</v>
      </c>
      <c r="C631" s="24" t="s">
        <v>416</v>
      </c>
      <c r="D631" s="5" t="s">
        <v>227</v>
      </c>
      <c r="E631" s="1">
        <v>0.54166666666666663</v>
      </c>
      <c r="F631" s="1">
        <v>0.59166666666666667</v>
      </c>
      <c r="G631" s="9">
        <f t="shared" si="62"/>
        <v>44879</v>
      </c>
      <c r="H631" s="11">
        <f t="shared" si="63"/>
        <v>1.2</v>
      </c>
      <c r="I631" s="10">
        <f t="shared" si="59"/>
        <v>6.5</v>
      </c>
      <c r="J631" s="10">
        <f t="shared" si="60"/>
        <v>7.2</v>
      </c>
      <c r="K631" s="10">
        <f t="shared" si="61"/>
        <v>20.8</v>
      </c>
      <c r="L631" s="10">
        <f t="shared" si="64"/>
        <v>86.8</v>
      </c>
    </row>
    <row r="632" spans="1:12" x14ac:dyDescent="0.25">
      <c r="A632" s="7">
        <v>44881</v>
      </c>
      <c r="B632" t="s">
        <v>19</v>
      </c>
      <c r="C632" s="6">
        <v>2675</v>
      </c>
      <c r="D632" s="5" t="s">
        <v>222</v>
      </c>
      <c r="E632" s="1">
        <v>0.59166666666666667</v>
      </c>
      <c r="F632" s="1">
        <v>0.63194444444444442</v>
      </c>
      <c r="G632" s="9">
        <f t="shared" si="62"/>
        <v>44879</v>
      </c>
      <c r="H632" s="11">
        <f t="shared" si="63"/>
        <v>1</v>
      </c>
      <c r="I632" s="10">
        <f t="shared" si="59"/>
        <v>7.5</v>
      </c>
      <c r="J632" s="10">
        <f t="shared" si="60"/>
        <v>7.2</v>
      </c>
      <c r="K632" s="10">
        <f t="shared" si="61"/>
        <v>21.8</v>
      </c>
      <c r="L632" s="10">
        <f t="shared" si="64"/>
        <v>87.8</v>
      </c>
    </row>
    <row r="633" spans="1:12" x14ac:dyDescent="0.25">
      <c r="A633" s="7">
        <v>44882</v>
      </c>
      <c r="B633" s="2" t="s">
        <v>28</v>
      </c>
      <c r="C633" s="24">
        <v>2704</v>
      </c>
      <c r="D633" s="5" t="s">
        <v>228</v>
      </c>
      <c r="E633" s="1">
        <v>0.28472222222222221</v>
      </c>
      <c r="F633" s="1">
        <v>0.32500000000000001</v>
      </c>
      <c r="G633" s="9">
        <f t="shared" si="62"/>
        <v>44879</v>
      </c>
      <c r="H633" s="11">
        <f t="shared" si="63"/>
        <v>1</v>
      </c>
      <c r="I633" s="10">
        <f t="shared" si="59"/>
        <v>1</v>
      </c>
      <c r="J633" s="10">
        <f t="shared" si="60"/>
        <v>7.2</v>
      </c>
      <c r="K633" s="10">
        <f t="shared" si="61"/>
        <v>22.8</v>
      </c>
      <c r="L633" s="10">
        <f t="shared" si="64"/>
        <v>88.8</v>
      </c>
    </row>
    <row r="634" spans="1:12" x14ac:dyDescent="0.25">
      <c r="A634" s="7">
        <v>44882</v>
      </c>
      <c r="B634" s="2" t="s">
        <v>28</v>
      </c>
      <c r="C634" s="24">
        <v>2704</v>
      </c>
      <c r="D634" s="5" t="s">
        <v>228</v>
      </c>
      <c r="E634" s="1">
        <v>0.35069444444444442</v>
      </c>
      <c r="F634" s="1">
        <v>0.42777777777777781</v>
      </c>
      <c r="G634" s="9">
        <f t="shared" si="62"/>
        <v>44879</v>
      </c>
      <c r="H634" s="11">
        <f t="shared" si="63"/>
        <v>1.9</v>
      </c>
      <c r="I634" s="10">
        <f t="shared" si="59"/>
        <v>2.9</v>
      </c>
      <c r="J634" s="10">
        <f t="shared" si="60"/>
        <v>7.2</v>
      </c>
      <c r="K634" s="10">
        <f t="shared" si="61"/>
        <v>24.7</v>
      </c>
      <c r="L634" s="10">
        <f t="shared" si="64"/>
        <v>90.7</v>
      </c>
    </row>
    <row r="635" spans="1:12" x14ac:dyDescent="0.25">
      <c r="A635" s="7">
        <v>44882</v>
      </c>
      <c r="B635" t="s">
        <v>19</v>
      </c>
      <c r="C635" s="6">
        <v>2675</v>
      </c>
      <c r="D635" s="5" t="s">
        <v>222</v>
      </c>
      <c r="E635" s="1">
        <v>0.42777777777777781</v>
      </c>
      <c r="F635" s="1">
        <v>0.50694444444444442</v>
      </c>
      <c r="G635" s="9">
        <f t="shared" si="62"/>
        <v>44879</v>
      </c>
      <c r="H635" s="11">
        <f t="shared" si="63"/>
        <v>1.9</v>
      </c>
      <c r="I635" s="10">
        <f t="shared" si="59"/>
        <v>4.8</v>
      </c>
      <c r="J635" s="10">
        <f t="shared" si="60"/>
        <v>7.2</v>
      </c>
      <c r="K635" s="10">
        <f t="shared" si="61"/>
        <v>26.599999999999998</v>
      </c>
      <c r="L635" s="10">
        <f t="shared" si="64"/>
        <v>92.600000000000009</v>
      </c>
    </row>
    <row r="636" spans="1:12" x14ac:dyDescent="0.25">
      <c r="A636" s="7">
        <v>44882</v>
      </c>
      <c r="B636" t="s">
        <v>19</v>
      </c>
      <c r="C636" s="6">
        <v>2675</v>
      </c>
      <c r="D636" s="5" t="s">
        <v>222</v>
      </c>
      <c r="E636" s="1">
        <v>0.52013888888888882</v>
      </c>
      <c r="F636" s="1">
        <v>0.52638888888888891</v>
      </c>
      <c r="G636" s="9">
        <f t="shared" si="62"/>
        <v>44879</v>
      </c>
      <c r="H636" s="11">
        <f t="shared" si="63"/>
        <v>0.2</v>
      </c>
      <c r="I636" s="10">
        <f t="shared" si="59"/>
        <v>5</v>
      </c>
      <c r="J636" s="10">
        <f t="shared" si="60"/>
        <v>7.2</v>
      </c>
      <c r="K636" s="10">
        <f t="shared" si="61"/>
        <v>26.8</v>
      </c>
      <c r="L636" s="10">
        <f t="shared" si="64"/>
        <v>92.8</v>
      </c>
    </row>
    <row r="637" spans="1:12" x14ac:dyDescent="0.25">
      <c r="A637" s="7">
        <v>44882</v>
      </c>
      <c r="B637" t="s">
        <v>19</v>
      </c>
      <c r="C637" s="6">
        <v>2675</v>
      </c>
      <c r="D637" s="5" t="s">
        <v>222</v>
      </c>
      <c r="E637" s="1">
        <v>0.59722222222222221</v>
      </c>
      <c r="F637" s="1">
        <v>0.68333333333333324</v>
      </c>
      <c r="G637" s="9">
        <f t="shared" si="62"/>
        <v>44879</v>
      </c>
      <c r="H637" s="11">
        <f t="shared" si="63"/>
        <v>2.1</v>
      </c>
      <c r="I637" s="10">
        <f t="shared" si="59"/>
        <v>7.1</v>
      </c>
      <c r="J637" s="10">
        <f t="shared" si="60"/>
        <v>7.2</v>
      </c>
      <c r="K637" s="10">
        <f t="shared" si="61"/>
        <v>28.900000000000002</v>
      </c>
      <c r="L637" s="10">
        <f t="shared" si="64"/>
        <v>94.899999999999991</v>
      </c>
    </row>
    <row r="638" spans="1:12" x14ac:dyDescent="0.25">
      <c r="A638" s="7">
        <v>44883</v>
      </c>
      <c r="B638" t="s">
        <v>19</v>
      </c>
      <c r="C638" s="6">
        <v>2675</v>
      </c>
      <c r="D638" s="5" t="s">
        <v>222</v>
      </c>
      <c r="E638" s="1">
        <v>0.29930555555555555</v>
      </c>
      <c r="F638" s="1">
        <v>0.47361111111111115</v>
      </c>
      <c r="G638" s="9">
        <f t="shared" si="62"/>
        <v>44879</v>
      </c>
      <c r="H638" s="11">
        <f t="shared" si="63"/>
        <v>4.2</v>
      </c>
      <c r="I638" s="10">
        <f t="shared" si="59"/>
        <v>4.2</v>
      </c>
      <c r="J638" s="10">
        <f t="shared" si="60"/>
        <v>7.2</v>
      </c>
      <c r="K638" s="10">
        <f t="shared" si="61"/>
        <v>33.1</v>
      </c>
      <c r="L638" s="10">
        <f t="shared" si="64"/>
        <v>99.100000000000009</v>
      </c>
    </row>
    <row r="639" spans="1:12" x14ac:dyDescent="0.25">
      <c r="A639" s="7">
        <v>44883</v>
      </c>
      <c r="B639" t="s">
        <v>19</v>
      </c>
      <c r="C639" s="6">
        <v>2675</v>
      </c>
      <c r="D639" s="5" t="s">
        <v>229</v>
      </c>
      <c r="E639" s="1">
        <v>0.48680555555555555</v>
      </c>
      <c r="F639" s="1">
        <v>0.57986111111111105</v>
      </c>
      <c r="G639" s="9">
        <f t="shared" si="62"/>
        <v>44879</v>
      </c>
      <c r="H639" s="11">
        <f t="shared" si="63"/>
        <v>2.2000000000000002</v>
      </c>
      <c r="I639" s="10">
        <f t="shared" si="59"/>
        <v>6.4</v>
      </c>
      <c r="J639" s="10">
        <f t="shared" si="60"/>
        <v>7.2</v>
      </c>
      <c r="K639" s="10">
        <f t="shared" si="61"/>
        <v>35.300000000000004</v>
      </c>
      <c r="L639" s="10">
        <f t="shared" si="64"/>
        <v>101.3</v>
      </c>
    </row>
    <row r="640" spans="1:12" x14ac:dyDescent="0.25">
      <c r="A640" s="7">
        <v>44886</v>
      </c>
      <c r="B640" t="s">
        <v>19</v>
      </c>
      <c r="C640" s="6">
        <v>2675</v>
      </c>
      <c r="D640" s="5" t="s">
        <v>229</v>
      </c>
      <c r="E640" s="1">
        <v>0.29583333333333334</v>
      </c>
      <c r="F640" s="1">
        <v>0.3923611111111111</v>
      </c>
      <c r="G640" s="9">
        <f t="shared" si="62"/>
        <v>44886</v>
      </c>
      <c r="H640" s="11">
        <f t="shared" si="63"/>
        <v>2.2999999999999998</v>
      </c>
      <c r="I640" s="10">
        <f t="shared" si="59"/>
        <v>2.2999999999999998</v>
      </c>
      <c r="J640" s="10">
        <f t="shared" si="60"/>
        <v>7.2</v>
      </c>
      <c r="K640" s="10">
        <f t="shared" si="61"/>
        <v>2.2999999999999998</v>
      </c>
      <c r="L640" s="10">
        <f t="shared" si="64"/>
        <v>103.6</v>
      </c>
    </row>
    <row r="641" spans="1:12" x14ac:dyDescent="0.25">
      <c r="A641" s="7">
        <v>44886</v>
      </c>
      <c r="B641" s="2" t="s">
        <v>6</v>
      </c>
      <c r="C641" s="24" t="s">
        <v>416</v>
      </c>
      <c r="D641" s="5" t="s">
        <v>112</v>
      </c>
      <c r="E641" s="1">
        <v>0.3923611111111111</v>
      </c>
      <c r="F641" s="1">
        <v>0.47083333333333338</v>
      </c>
      <c r="G641" s="9">
        <f t="shared" si="62"/>
        <v>44886</v>
      </c>
      <c r="H641" s="11">
        <f t="shared" si="63"/>
        <v>1.9</v>
      </c>
      <c r="I641" s="10">
        <f t="shared" si="59"/>
        <v>4.1999999999999993</v>
      </c>
      <c r="J641" s="10">
        <f t="shared" si="60"/>
        <v>7.2</v>
      </c>
      <c r="K641" s="10">
        <f t="shared" si="61"/>
        <v>4.1999999999999993</v>
      </c>
      <c r="L641" s="10">
        <f t="shared" si="64"/>
        <v>105.5</v>
      </c>
    </row>
    <row r="642" spans="1:12" x14ac:dyDescent="0.25">
      <c r="A642" s="7">
        <v>44886</v>
      </c>
      <c r="B642" t="s">
        <v>19</v>
      </c>
      <c r="C642" s="6">
        <v>2675</v>
      </c>
      <c r="D642" s="5" t="s">
        <v>229</v>
      </c>
      <c r="E642" s="1">
        <v>0.48819444444444443</v>
      </c>
      <c r="F642" s="1">
        <v>0.54999999999999993</v>
      </c>
      <c r="G642" s="9">
        <f t="shared" si="62"/>
        <v>44886</v>
      </c>
      <c r="H642" s="11">
        <f t="shared" si="63"/>
        <v>1.5</v>
      </c>
      <c r="I642" s="10">
        <f t="shared" si="59"/>
        <v>5.7</v>
      </c>
      <c r="J642" s="10">
        <f t="shared" si="60"/>
        <v>7.2</v>
      </c>
      <c r="K642" s="10">
        <f t="shared" si="61"/>
        <v>5.7</v>
      </c>
      <c r="L642" s="10">
        <f t="shared" si="64"/>
        <v>107</v>
      </c>
    </row>
    <row r="643" spans="1:12" x14ac:dyDescent="0.25">
      <c r="A643" s="7">
        <v>44886</v>
      </c>
      <c r="B643" t="s">
        <v>126</v>
      </c>
      <c r="C643" s="6" t="s">
        <v>125</v>
      </c>
      <c r="D643" s="5" t="s">
        <v>230</v>
      </c>
      <c r="E643" s="1">
        <v>0.54999999999999993</v>
      </c>
      <c r="F643" s="1">
        <v>0.56736111111111109</v>
      </c>
      <c r="G643" s="9">
        <f t="shared" si="62"/>
        <v>44886</v>
      </c>
      <c r="H643" s="11">
        <f t="shared" si="63"/>
        <v>0.4</v>
      </c>
      <c r="I643" s="10">
        <f t="shared" ref="I643:I706" si="65">IF(H643="",H643,H643+IF(A643=A642,_xlfn.NUMBERVALUE(I642),0))</f>
        <v>6.1000000000000005</v>
      </c>
      <c r="J643" s="10">
        <f t="shared" ref="J643:J706" si="66">IF(H643="",H643,7.2)</f>
        <v>7.2</v>
      </c>
      <c r="K643" s="10">
        <f t="shared" ref="K643:K706" si="67">IF(H643="",H643,H643+IF(G643=G642,_xlfn.NUMBERVALUE(K642),0))</f>
        <v>6.1000000000000005</v>
      </c>
      <c r="L643" s="10">
        <f t="shared" si="64"/>
        <v>107.4</v>
      </c>
    </row>
    <row r="644" spans="1:12" x14ac:dyDescent="0.25">
      <c r="A644" s="7">
        <v>44886</v>
      </c>
      <c r="B644" t="s">
        <v>19</v>
      </c>
      <c r="C644" s="6">
        <v>2675</v>
      </c>
      <c r="D644" s="5" t="s">
        <v>229</v>
      </c>
      <c r="E644" s="1">
        <v>0.56736111111111109</v>
      </c>
      <c r="F644" s="1">
        <v>0.59444444444444444</v>
      </c>
      <c r="G644" s="9">
        <f t="shared" ref="G644:G707" si="68">IF(E644&gt;0,INT((A644-2)/7)*7+2,"")</f>
        <v>44886</v>
      </c>
      <c r="H644" s="11">
        <f t="shared" ref="H644:H707" si="69">IF(E644&gt;0,ROUND(24*(IF(F644&gt;0,F644,NowTime)-E644),1),"")</f>
        <v>0.7</v>
      </c>
      <c r="I644" s="10">
        <f t="shared" si="65"/>
        <v>6.8</v>
      </c>
      <c r="J644" s="10">
        <f t="shared" si="66"/>
        <v>7.2</v>
      </c>
      <c r="K644" s="10">
        <f t="shared" si="67"/>
        <v>6.8</v>
      </c>
      <c r="L644" s="10">
        <f t="shared" si="64"/>
        <v>108.10000000000001</v>
      </c>
    </row>
    <row r="645" spans="1:12" x14ac:dyDescent="0.25">
      <c r="A645" s="7">
        <v>44887</v>
      </c>
      <c r="B645" t="s">
        <v>19</v>
      </c>
      <c r="C645" s="6">
        <v>2675</v>
      </c>
      <c r="D645" s="5" t="s">
        <v>229</v>
      </c>
      <c r="E645" s="1">
        <v>0.26250000000000001</v>
      </c>
      <c r="F645" s="1">
        <v>0.34375</v>
      </c>
      <c r="G645" s="9">
        <f t="shared" si="68"/>
        <v>44886</v>
      </c>
      <c r="H645" s="11">
        <f t="shared" si="69"/>
        <v>2</v>
      </c>
      <c r="I645" s="10">
        <f t="shared" si="65"/>
        <v>2</v>
      </c>
      <c r="J645" s="10">
        <f t="shared" si="66"/>
        <v>7.2</v>
      </c>
      <c r="K645" s="10">
        <f t="shared" si="67"/>
        <v>8.8000000000000007</v>
      </c>
      <c r="L645" s="10">
        <f t="shared" ref="L645:L708" si="70">IF(H645="",H645,H645+IF(MONTH(A645)=MONTH(A644),_xlfn.NUMBERVALUE(L644),0))</f>
        <v>110.1</v>
      </c>
    </row>
    <row r="646" spans="1:12" x14ac:dyDescent="0.25">
      <c r="A646" s="7">
        <v>44887</v>
      </c>
      <c r="B646" t="s">
        <v>6</v>
      </c>
      <c r="C646" s="6" t="s">
        <v>416</v>
      </c>
      <c r="D646" s="5" t="s">
        <v>231</v>
      </c>
      <c r="E646" s="1">
        <v>0.34375</v>
      </c>
      <c r="F646" s="1">
        <v>0.83333333333333337</v>
      </c>
      <c r="G646" s="9">
        <f t="shared" si="68"/>
        <v>44886</v>
      </c>
      <c r="H646" s="11">
        <f t="shared" si="69"/>
        <v>11.8</v>
      </c>
      <c r="I646" s="10">
        <f t="shared" si="65"/>
        <v>13.8</v>
      </c>
      <c r="J646" s="10">
        <f t="shared" si="66"/>
        <v>7.2</v>
      </c>
      <c r="K646" s="10">
        <f t="shared" si="67"/>
        <v>20.6</v>
      </c>
      <c r="L646" s="10">
        <f t="shared" si="70"/>
        <v>121.89999999999999</v>
      </c>
    </row>
    <row r="647" spans="1:12" x14ac:dyDescent="0.25">
      <c r="A647" s="7">
        <v>44888</v>
      </c>
      <c r="B647" t="s">
        <v>126</v>
      </c>
      <c r="C647" s="6" t="s">
        <v>125</v>
      </c>
      <c r="D647" s="5" t="s">
        <v>232</v>
      </c>
      <c r="E647" s="1">
        <v>0.30555555555555552</v>
      </c>
      <c r="F647" s="1">
        <v>0.34375</v>
      </c>
      <c r="G647" s="9">
        <f t="shared" si="68"/>
        <v>44886</v>
      </c>
      <c r="H647" s="11">
        <f t="shared" si="69"/>
        <v>0.9</v>
      </c>
      <c r="I647" s="10">
        <f t="shared" si="65"/>
        <v>0.9</v>
      </c>
      <c r="J647" s="10">
        <f t="shared" si="66"/>
        <v>7.2</v>
      </c>
      <c r="K647" s="10">
        <f t="shared" si="67"/>
        <v>21.5</v>
      </c>
      <c r="L647" s="10">
        <f t="shared" si="70"/>
        <v>122.80000000000001</v>
      </c>
    </row>
    <row r="648" spans="1:12" x14ac:dyDescent="0.25">
      <c r="A648" s="7">
        <v>44888</v>
      </c>
      <c r="B648" t="s">
        <v>6</v>
      </c>
      <c r="C648" s="6" t="s">
        <v>416</v>
      </c>
      <c r="D648" s="5" t="s">
        <v>231</v>
      </c>
      <c r="E648" s="1">
        <v>0.34375</v>
      </c>
      <c r="F648" s="1">
        <v>0.64444444444444449</v>
      </c>
      <c r="G648" s="9">
        <f t="shared" si="68"/>
        <v>44886</v>
      </c>
      <c r="H648" s="11">
        <f t="shared" si="69"/>
        <v>7.2</v>
      </c>
      <c r="I648" s="10">
        <f t="shared" si="65"/>
        <v>8.1</v>
      </c>
      <c r="J648" s="10">
        <f t="shared" si="66"/>
        <v>7.2</v>
      </c>
      <c r="K648" s="10">
        <f t="shared" si="67"/>
        <v>28.7</v>
      </c>
      <c r="L648" s="10">
        <f t="shared" si="70"/>
        <v>130</v>
      </c>
    </row>
    <row r="649" spans="1:12" x14ac:dyDescent="0.25">
      <c r="A649" s="7">
        <v>44889</v>
      </c>
      <c r="B649" t="s">
        <v>126</v>
      </c>
      <c r="C649" s="6" t="s">
        <v>125</v>
      </c>
      <c r="D649" s="5" t="s">
        <v>232</v>
      </c>
      <c r="E649" s="1">
        <v>0.30555555555555552</v>
      </c>
      <c r="F649" s="1">
        <v>0.34652777777777777</v>
      </c>
      <c r="G649" s="9">
        <f t="shared" si="68"/>
        <v>44886</v>
      </c>
      <c r="H649" s="11">
        <f t="shared" si="69"/>
        <v>1</v>
      </c>
      <c r="I649" s="10">
        <f t="shared" si="65"/>
        <v>1</v>
      </c>
      <c r="J649" s="10">
        <f t="shared" si="66"/>
        <v>7.2</v>
      </c>
      <c r="K649" s="10">
        <f t="shared" si="67"/>
        <v>29.7</v>
      </c>
      <c r="L649" s="10">
        <f t="shared" si="70"/>
        <v>131</v>
      </c>
    </row>
    <row r="650" spans="1:12" x14ac:dyDescent="0.25">
      <c r="A650" s="7">
        <v>44889</v>
      </c>
      <c r="B650" t="s">
        <v>19</v>
      </c>
      <c r="C650" s="6">
        <v>2675</v>
      </c>
      <c r="D650" s="5" t="s">
        <v>236</v>
      </c>
      <c r="E650" s="1">
        <v>0.34652777777777777</v>
      </c>
      <c r="F650" s="1">
        <v>0.375</v>
      </c>
      <c r="G650" s="9">
        <f t="shared" si="68"/>
        <v>44886</v>
      </c>
      <c r="H650" s="11">
        <f t="shared" si="69"/>
        <v>0.7</v>
      </c>
      <c r="I650" s="10">
        <f t="shared" si="65"/>
        <v>1.7</v>
      </c>
      <c r="J650" s="10">
        <f t="shared" si="66"/>
        <v>7.2</v>
      </c>
      <c r="K650" s="10">
        <f t="shared" si="67"/>
        <v>30.4</v>
      </c>
      <c r="L650" s="10">
        <f t="shared" si="70"/>
        <v>131.69999999999999</v>
      </c>
    </row>
    <row r="651" spans="1:12" x14ac:dyDescent="0.25">
      <c r="A651" s="7">
        <v>44889</v>
      </c>
      <c r="B651" t="s">
        <v>6</v>
      </c>
      <c r="C651" s="6" t="s">
        <v>416</v>
      </c>
      <c r="D651" s="5" t="s">
        <v>234</v>
      </c>
      <c r="E651" s="1">
        <v>0.375</v>
      </c>
      <c r="F651" s="1">
        <v>0.51041666666666663</v>
      </c>
      <c r="G651" s="9">
        <f t="shared" si="68"/>
        <v>44886</v>
      </c>
      <c r="H651" s="11">
        <f t="shared" si="69"/>
        <v>3.3</v>
      </c>
      <c r="I651" s="10">
        <f t="shared" si="65"/>
        <v>5</v>
      </c>
      <c r="J651" s="10">
        <f t="shared" si="66"/>
        <v>7.2</v>
      </c>
      <c r="K651" s="10">
        <f t="shared" si="67"/>
        <v>33.699999999999996</v>
      </c>
      <c r="L651" s="10">
        <f t="shared" si="70"/>
        <v>135</v>
      </c>
    </row>
    <row r="652" spans="1:12" x14ac:dyDescent="0.25">
      <c r="A652" s="7">
        <v>44889</v>
      </c>
      <c r="B652" t="s">
        <v>19</v>
      </c>
      <c r="C652" s="6">
        <v>2675</v>
      </c>
      <c r="D652" s="5" t="s">
        <v>236</v>
      </c>
      <c r="E652" s="1">
        <v>0.53819444444444442</v>
      </c>
      <c r="F652" s="1">
        <v>0.55902777777777779</v>
      </c>
      <c r="G652" s="9">
        <f t="shared" si="68"/>
        <v>44886</v>
      </c>
      <c r="H652" s="11">
        <f t="shared" si="69"/>
        <v>0.5</v>
      </c>
      <c r="I652" s="10">
        <f t="shared" si="65"/>
        <v>5.5</v>
      </c>
      <c r="J652" s="10">
        <f t="shared" si="66"/>
        <v>7.2</v>
      </c>
      <c r="K652" s="10">
        <f t="shared" si="67"/>
        <v>34.200000000000003</v>
      </c>
      <c r="L652" s="10">
        <f t="shared" si="70"/>
        <v>135.5</v>
      </c>
    </row>
    <row r="653" spans="1:12" x14ac:dyDescent="0.25">
      <c r="A653" s="7">
        <v>44889</v>
      </c>
      <c r="B653" t="s">
        <v>126</v>
      </c>
      <c r="C653" s="6" t="s">
        <v>125</v>
      </c>
      <c r="D653" s="5" t="s">
        <v>175</v>
      </c>
      <c r="E653" s="1">
        <v>0.60416666666666663</v>
      </c>
      <c r="F653" s="1">
        <v>0.61805555555555558</v>
      </c>
      <c r="G653" s="9">
        <f t="shared" si="68"/>
        <v>44886</v>
      </c>
      <c r="H653" s="11">
        <f t="shared" si="69"/>
        <v>0.3</v>
      </c>
      <c r="I653" s="10">
        <f t="shared" si="65"/>
        <v>5.8</v>
      </c>
      <c r="J653" s="10">
        <f t="shared" si="66"/>
        <v>7.2</v>
      </c>
      <c r="K653" s="10">
        <f t="shared" si="67"/>
        <v>34.5</v>
      </c>
      <c r="L653" s="10">
        <f t="shared" si="70"/>
        <v>135.80000000000001</v>
      </c>
    </row>
    <row r="654" spans="1:12" x14ac:dyDescent="0.25">
      <c r="A654" s="7">
        <v>44890</v>
      </c>
      <c r="B654" t="s">
        <v>126</v>
      </c>
      <c r="C654" s="6" t="s">
        <v>125</v>
      </c>
      <c r="D654" s="5" t="s">
        <v>233</v>
      </c>
      <c r="E654" s="1">
        <v>0.31875000000000003</v>
      </c>
      <c r="F654" s="1">
        <v>0.37013888888888885</v>
      </c>
      <c r="G654" s="9">
        <f t="shared" si="68"/>
        <v>44886</v>
      </c>
      <c r="H654" s="11">
        <f t="shared" si="69"/>
        <v>1.2</v>
      </c>
      <c r="I654" s="10">
        <f t="shared" si="65"/>
        <v>1.2</v>
      </c>
      <c r="J654" s="10">
        <f t="shared" si="66"/>
        <v>7.2</v>
      </c>
      <c r="K654" s="10">
        <f t="shared" si="67"/>
        <v>35.700000000000003</v>
      </c>
      <c r="L654" s="10">
        <f t="shared" si="70"/>
        <v>137</v>
      </c>
    </row>
    <row r="655" spans="1:12" x14ac:dyDescent="0.25">
      <c r="A655" s="7">
        <v>44890</v>
      </c>
      <c r="B655" t="s">
        <v>19</v>
      </c>
      <c r="C655" s="6">
        <v>2675</v>
      </c>
      <c r="D655" s="5" t="s">
        <v>236</v>
      </c>
      <c r="E655" s="1">
        <v>0.37013888888888885</v>
      </c>
      <c r="F655" s="1">
        <v>0.46597222222222223</v>
      </c>
      <c r="G655" s="9">
        <f t="shared" si="68"/>
        <v>44886</v>
      </c>
      <c r="H655" s="11">
        <f t="shared" si="69"/>
        <v>2.2999999999999998</v>
      </c>
      <c r="I655" s="10">
        <f t="shared" si="65"/>
        <v>3.5</v>
      </c>
      <c r="J655" s="10">
        <f t="shared" si="66"/>
        <v>7.2</v>
      </c>
      <c r="K655" s="10">
        <f t="shared" si="67"/>
        <v>38</v>
      </c>
      <c r="L655" s="10">
        <f t="shared" si="70"/>
        <v>139.30000000000001</v>
      </c>
    </row>
    <row r="656" spans="1:12" x14ac:dyDescent="0.25">
      <c r="A656" s="7">
        <v>44893</v>
      </c>
      <c r="B656" t="s">
        <v>17</v>
      </c>
      <c r="C656" s="6">
        <v>2420</v>
      </c>
      <c r="D656" s="5" t="s">
        <v>235</v>
      </c>
      <c r="E656" s="1">
        <v>0.35000000000000003</v>
      </c>
      <c r="F656" s="1">
        <v>0.41666666666666669</v>
      </c>
      <c r="G656" s="9">
        <f t="shared" si="68"/>
        <v>44893</v>
      </c>
      <c r="H656" s="11">
        <f t="shared" si="69"/>
        <v>1.6</v>
      </c>
      <c r="I656" s="10">
        <f t="shared" si="65"/>
        <v>1.6</v>
      </c>
      <c r="J656" s="10">
        <f t="shared" si="66"/>
        <v>7.2</v>
      </c>
      <c r="K656" s="10">
        <f t="shared" si="67"/>
        <v>1.6</v>
      </c>
      <c r="L656" s="10">
        <f t="shared" si="70"/>
        <v>140.9</v>
      </c>
    </row>
    <row r="657" spans="1:12" x14ac:dyDescent="0.25">
      <c r="A657" s="7">
        <v>44893</v>
      </c>
      <c r="B657" t="s">
        <v>6</v>
      </c>
      <c r="C657" s="6" t="s">
        <v>416</v>
      </c>
      <c r="D657" s="5" t="s">
        <v>112</v>
      </c>
      <c r="E657" s="1">
        <v>0.41666666666666669</v>
      </c>
      <c r="F657" s="1">
        <v>0.46180555555555558</v>
      </c>
      <c r="G657" s="9">
        <f t="shared" si="68"/>
        <v>44893</v>
      </c>
      <c r="H657" s="11">
        <f t="shared" si="69"/>
        <v>1.1000000000000001</v>
      </c>
      <c r="I657" s="10">
        <f t="shared" si="65"/>
        <v>2.7</v>
      </c>
      <c r="J657" s="10">
        <f t="shared" si="66"/>
        <v>7.2</v>
      </c>
      <c r="K657" s="10">
        <f t="shared" si="67"/>
        <v>2.7</v>
      </c>
      <c r="L657" s="10">
        <f t="shared" si="70"/>
        <v>142</v>
      </c>
    </row>
    <row r="658" spans="1:12" x14ac:dyDescent="0.25">
      <c r="A658" s="7">
        <v>44893</v>
      </c>
      <c r="B658" t="s">
        <v>17</v>
      </c>
      <c r="C658" s="6">
        <v>2420</v>
      </c>
      <c r="D658" s="5" t="s">
        <v>235</v>
      </c>
      <c r="E658" s="1">
        <v>0.46180555555555558</v>
      </c>
      <c r="F658" s="1">
        <v>0.47500000000000003</v>
      </c>
      <c r="G658" s="9">
        <f t="shared" si="68"/>
        <v>44893</v>
      </c>
      <c r="H658" s="11">
        <f t="shared" si="69"/>
        <v>0.3</v>
      </c>
      <c r="I658" s="10">
        <f t="shared" si="65"/>
        <v>3</v>
      </c>
      <c r="J658" s="10">
        <f t="shared" si="66"/>
        <v>7.2</v>
      </c>
      <c r="K658" s="10">
        <f t="shared" si="67"/>
        <v>3</v>
      </c>
      <c r="L658" s="10">
        <f t="shared" si="70"/>
        <v>142.30000000000001</v>
      </c>
    </row>
    <row r="659" spans="1:12" x14ac:dyDescent="0.25">
      <c r="A659" s="7">
        <v>44893</v>
      </c>
      <c r="B659" t="s">
        <v>17</v>
      </c>
      <c r="C659" s="6">
        <v>2420</v>
      </c>
      <c r="D659" s="5" t="s">
        <v>235</v>
      </c>
      <c r="E659" s="1">
        <v>0.49305555555555558</v>
      </c>
      <c r="F659" s="1">
        <v>0.53402777777777777</v>
      </c>
      <c r="G659" s="9">
        <f t="shared" si="68"/>
        <v>44893</v>
      </c>
      <c r="H659" s="11">
        <f t="shared" si="69"/>
        <v>1</v>
      </c>
      <c r="I659" s="10">
        <f t="shared" si="65"/>
        <v>4</v>
      </c>
      <c r="J659" s="10">
        <f t="shared" si="66"/>
        <v>7.2</v>
      </c>
      <c r="K659" s="10">
        <f t="shared" si="67"/>
        <v>4</v>
      </c>
      <c r="L659" s="10">
        <f t="shared" si="70"/>
        <v>143.30000000000001</v>
      </c>
    </row>
    <row r="660" spans="1:12" x14ac:dyDescent="0.25">
      <c r="A660" s="7">
        <v>44893</v>
      </c>
      <c r="B660" t="s">
        <v>19</v>
      </c>
      <c r="C660" s="6">
        <v>2675</v>
      </c>
      <c r="D660" s="5" t="s">
        <v>236</v>
      </c>
      <c r="E660" s="1">
        <v>0.53402777777777777</v>
      </c>
      <c r="F660" s="1">
        <v>0.5708333333333333</v>
      </c>
      <c r="G660" s="9">
        <f t="shared" si="68"/>
        <v>44893</v>
      </c>
      <c r="H660" s="11">
        <f t="shared" si="69"/>
        <v>0.9</v>
      </c>
      <c r="I660" s="10">
        <f t="shared" si="65"/>
        <v>4.9000000000000004</v>
      </c>
      <c r="J660" s="10">
        <f t="shared" si="66"/>
        <v>7.2</v>
      </c>
      <c r="K660" s="10">
        <f t="shared" si="67"/>
        <v>4.9000000000000004</v>
      </c>
      <c r="L660" s="10">
        <f t="shared" si="70"/>
        <v>144.20000000000002</v>
      </c>
    </row>
    <row r="661" spans="1:12" x14ac:dyDescent="0.25">
      <c r="A661" s="7">
        <v>44893</v>
      </c>
      <c r="B661" t="s">
        <v>6</v>
      </c>
      <c r="C661" s="6" t="s">
        <v>416</v>
      </c>
      <c r="D661" s="5" t="s">
        <v>115</v>
      </c>
      <c r="E661" s="1">
        <v>0.5708333333333333</v>
      </c>
      <c r="F661" s="1">
        <v>0.6</v>
      </c>
      <c r="G661" s="9">
        <f t="shared" si="68"/>
        <v>44893</v>
      </c>
      <c r="H661" s="11">
        <f t="shared" si="69"/>
        <v>0.7</v>
      </c>
      <c r="I661" s="10">
        <f t="shared" si="65"/>
        <v>5.6000000000000005</v>
      </c>
      <c r="J661" s="10">
        <f t="shared" si="66"/>
        <v>7.2</v>
      </c>
      <c r="K661" s="10">
        <f t="shared" si="67"/>
        <v>5.6000000000000005</v>
      </c>
      <c r="L661" s="10">
        <f t="shared" si="70"/>
        <v>144.89999999999998</v>
      </c>
    </row>
    <row r="662" spans="1:12" x14ac:dyDescent="0.25">
      <c r="A662" s="7">
        <v>44894</v>
      </c>
      <c r="B662" s="2" t="s">
        <v>28</v>
      </c>
      <c r="C662" s="24">
        <v>2704</v>
      </c>
      <c r="D662" s="5" t="s">
        <v>228</v>
      </c>
      <c r="E662" s="1">
        <v>0.33611111111111108</v>
      </c>
      <c r="F662" s="1">
        <v>0.36874999999999997</v>
      </c>
      <c r="G662" s="9">
        <f t="shared" si="68"/>
        <v>44893</v>
      </c>
      <c r="H662" s="11">
        <f t="shared" si="69"/>
        <v>0.8</v>
      </c>
      <c r="I662" s="10">
        <f t="shared" si="65"/>
        <v>0.8</v>
      </c>
      <c r="J662" s="10">
        <f t="shared" si="66"/>
        <v>7.2</v>
      </c>
      <c r="K662" s="10">
        <f t="shared" si="67"/>
        <v>6.3999999999999995</v>
      </c>
      <c r="L662" s="10">
        <f t="shared" si="70"/>
        <v>145.70000000000002</v>
      </c>
    </row>
    <row r="663" spans="1:12" x14ac:dyDescent="0.25">
      <c r="A663" s="7">
        <v>44894</v>
      </c>
      <c r="B663" t="s">
        <v>17</v>
      </c>
      <c r="C663" s="6">
        <v>2420</v>
      </c>
      <c r="D663" s="5" t="s">
        <v>123</v>
      </c>
      <c r="E663" s="1">
        <v>0.36874999999999997</v>
      </c>
      <c r="F663" s="1">
        <v>0.53125</v>
      </c>
      <c r="G663" s="9">
        <f t="shared" si="68"/>
        <v>44893</v>
      </c>
      <c r="H663" s="11">
        <f t="shared" si="69"/>
        <v>3.9</v>
      </c>
      <c r="I663" s="10">
        <f t="shared" si="65"/>
        <v>4.7</v>
      </c>
      <c r="J663" s="10">
        <f t="shared" si="66"/>
        <v>7.2</v>
      </c>
      <c r="K663" s="10">
        <f t="shared" si="67"/>
        <v>10.3</v>
      </c>
      <c r="L663" s="10">
        <f t="shared" si="70"/>
        <v>149.6</v>
      </c>
    </row>
    <row r="664" spans="1:12" x14ac:dyDescent="0.25">
      <c r="A664" s="7">
        <v>44894</v>
      </c>
      <c r="B664" t="s">
        <v>17</v>
      </c>
      <c r="C664" s="6">
        <v>2420</v>
      </c>
      <c r="D664" s="5" t="s">
        <v>123</v>
      </c>
      <c r="E664" s="1">
        <v>0.54513888888888895</v>
      </c>
      <c r="F664" s="1">
        <v>0.67083333333333339</v>
      </c>
      <c r="G664" s="9">
        <f t="shared" si="68"/>
        <v>44893</v>
      </c>
      <c r="H664" s="11">
        <f t="shared" si="69"/>
        <v>3</v>
      </c>
      <c r="I664" s="10">
        <f t="shared" si="65"/>
        <v>7.7</v>
      </c>
      <c r="J664" s="10">
        <f t="shared" si="66"/>
        <v>7.2</v>
      </c>
      <c r="K664" s="10">
        <f t="shared" si="67"/>
        <v>13.3</v>
      </c>
      <c r="L664" s="10">
        <f t="shared" si="70"/>
        <v>152.6</v>
      </c>
    </row>
    <row r="665" spans="1:12" x14ac:dyDescent="0.25">
      <c r="A665" s="7">
        <v>44895</v>
      </c>
      <c r="B665" t="s">
        <v>17</v>
      </c>
      <c r="C665" s="6">
        <v>2420</v>
      </c>
      <c r="D665" s="5" t="s">
        <v>123</v>
      </c>
      <c r="E665" s="1">
        <v>0.3034722222222222</v>
      </c>
      <c r="F665" s="1">
        <v>0.48541666666666666</v>
      </c>
      <c r="G665" s="9">
        <f t="shared" si="68"/>
        <v>44893</v>
      </c>
      <c r="H665" s="11">
        <f t="shared" si="69"/>
        <v>4.4000000000000004</v>
      </c>
      <c r="I665" s="10">
        <f t="shared" si="65"/>
        <v>4.4000000000000004</v>
      </c>
      <c r="J665" s="10">
        <f t="shared" si="66"/>
        <v>7.2</v>
      </c>
      <c r="K665" s="10">
        <f t="shared" si="67"/>
        <v>17.700000000000003</v>
      </c>
      <c r="L665" s="10">
        <f t="shared" si="70"/>
        <v>157</v>
      </c>
    </row>
    <row r="666" spans="1:12" x14ac:dyDescent="0.25">
      <c r="A666" s="7">
        <v>44895</v>
      </c>
      <c r="B666" t="s">
        <v>17</v>
      </c>
      <c r="C666" s="6">
        <v>2420</v>
      </c>
      <c r="D666" s="5" t="s">
        <v>237</v>
      </c>
      <c r="E666" s="1">
        <v>0.49513888888888885</v>
      </c>
      <c r="F666" s="1">
        <v>0.65416666666666667</v>
      </c>
      <c r="G666" s="9">
        <f t="shared" si="68"/>
        <v>44893</v>
      </c>
      <c r="H666" s="11">
        <f t="shared" si="69"/>
        <v>3.8</v>
      </c>
      <c r="I666" s="10">
        <f t="shared" si="65"/>
        <v>8.1999999999999993</v>
      </c>
      <c r="J666" s="10">
        <f t="shared" si="66"/>
        <v>7.2</v>
      </c>
      <c r="K666" s="10">
        <f t="shared" si="67"/>
        <v>21.5</v>
      </c>
      <c r="L666" s="10">
        <f t="shared" si="70"/>
        <v>160.80000000000001</v>
      </c>
    </row>
    <row r="667" spans="1:12" x14ac:dyDescent="0.25">
      <c r="A667" s="7">
        <v>44896</v>
      </c>
      <c r="B667" t="s">
        <v>17</v>
      </c>
      <c r="C667" s="6">
        <v>2420</v>
      </c>
      <c r="D667" s="5" t="s">
        <v>235</v>
      </c>
      <c r="E667" s="1">
        <v>0.33749999999999997</v>
      </c>
      <c r="F667" s="1">
        <v>0.50763888888888886</v>
      </c>
      <c r="G667" s="9">
        <f t="shared" si="68"/>
        <v>44893</v>
      </c>
      <c r="H667" s="11">
        <f t="shared" si="69"/>
        <v>4.0999999999999996</v>
      </c>
      <c r="I667" s="10">
        <f t="shared" si="65"/>
        <v>4.0999999999999996</v>
      </c>
      <c r="J667" s="10">
        <f t="shared" si="66"/>
        <v>7.2</v>
      </c>
      <c r="K667" s="10">
        <f t="shared" si="67"/>
        <v>25.6</v>
      </c>
      <c r="L667" s="10">
        <f t="shared" si="70"/>
        <v>4.0999999999999996</v>
      </c>
    </row>
    <row r="668" spans="1:12" x14ac:dyDescent="0.25">
      <c r="A668" s="7">
        <v>44896</v>
      </c>
      <c r="B668" t="s">
        <v>17</v>
      </c>
      <c r="C668" s="6">
        <v>2420</v>
      </c>
      <c r="D668" s="5" t="s">
        <v>216</v>
      </c>
      <c r="E668" s="1">
        <v>0.51736111111111105</v>
      </c>
      <c r="F668" s="1">
        <v>0.66111111111111109</v>
      </c>
      <c r="G668" s="9">
        <f t="shared" si="68"/>
        <v>44893</v>
      </c>
      <c r="H668" s="11">
        <f t="shared" si="69"/>
        <v>3.5</v>
      </c>
      <c r="I668" s="10">
        <f t="shared" si="65"/>
        <v>7.6</v>
      </c>
      <c r="J668" s="10">
        <f t="shared" si="66"/>
        <v>7.2</v>
      </c>
      <c r="K668" s="10">
        <f t="shared" si="67"/>
        <v>29.1</v>
      </c>
      <c r="L668" s="10">
        <f t="shared" si="70"/>
        <v>7.6</v>
      </c>
    </row>
    <row r="669" spans="1:12" x14ac:dyDescent="0.25">
      <c r="A669" s="7">
        <v>44897</v>
      </c>
      <c r="B669" t="s">
        <v>17</v>
      </c>
      <c r="C669" s="6">
        <v>2420</v>
      </c>
      <c r="D669" s="5" t="s">
        <v>216</v>
      </c>
      <c r="E669" s="1">
        <v>0.27569444444444446</v>
      </c>
      <c r="F669" s="1">
        <v>0.49583333333333335</v>
      </c>
      <c r="G669" s="9">
        <f t="shared" si="68"/>
        <v>44893</v>
      </c>
      <c r="H669" s="11">
        <f t="shared" si="69"/>
        <v>5.3</v>
      </c>
      <c r="I669" s="10">
        <f t="shared" si="65"/>
        <v>5.3</v>
      </c>
      <c r="J669" s="10">
        <f t="shared" si="66"/>
        <v>7.2</v>
      </c>
      <c r="K669" s="10">
        <f t="shared" si="67"/>
        <v>34.4</v>
      </c>
      <c r="L669" s="10">
        <f t="shared" si="70"/>
        <v>12.899999999999999</v>
      </c>
    </row>
    <row r="670" spans="1:12" x14ac:dyDescent="0.25">
      <c r="A670" s="7">
        <v>44897</v>
      </c>
      <c r="B670" t="s">
        <v>17</v>
      </c>
      <c r="C670" s="6">
        <v>2420</v>
      </c>
      <c r="D670" s="5" t="s">
        <v>216</v>
      </c>
      <c r="E670" s="1">
        <v>0.5180555555555556</v>
      </c>
      <c r="F670" s="1">
        <v>0.60416666666666663</v>
      </c>
      <c r="G670" s="9">
        <f t="shared" si="68"/>
        <v>44893</v>
      </c>
      <c r="H670" s="11">
        <f t="shared" si="69"/>
        <v>2.1</v>
      </c>
      <c r="I670" s="10">
        <f t="shared" si="65"/>
        <v>7.4</v>
      </c>
      <c r="J670" s="10">
        <f t="shared" si="66"/>
        <v>7.2</v>
      </c>
      <c r="K670" s="10">
        <f t="shared" si="67"/>
        <v>36.5</v>
      </c>
      <c r="L670" s="10">
        <f t="shared" si="70"/>
        <v>15</v>
      </c>
    </row>
    <row r="671" spans="1:12" x14ac:dyDescent="0.25">
      <c r="A671" s="7">
        <v>44900</v>
      </c>
      <c r="B671" t="s">
        <v>17</v>
      </c>
      <c r="C671" s="6">
        <v>2420</v>
      </c>
      <c r="D671" s="5" t="s">
        <v>70</v>
      </c>
      <c r="E671" s="1">
        <v>0.35902777777777778</v>
      </c>
      <c r="F671" s="1">
        <v>0.49513888888888885</v>
      </c>
      <c r="G671" s="9">
        <f t="shared" si="68"/>
        <v>44900</v>
      </c>
      <c r="H671" s="11">
        <f t="shared" si="69"/>
        <v>3.3</v>
      </c>
      <c r="I671" s="10">
        <f t="shared" si="65"/>
        <v>3.3</v>
      </c>
      <c r="J671" s="10">
        <f t="shared" si="66"/>
        <v>7.2</v>
      </c>
      <c r="K671" s="10">
        <f t="shared" si="67"/>
        <v>3.3</v>
      </c>
      <c r="L671" s="10">
        <f t="shared" si="70"/>
        <v>18.3</v>
      </c>
    </row>
    <row r="672" spans="1:12" x14ac:dyDescent="0.25">
      <c r="A672" s="7">
        <v>44900</v>
      </c>
      <c r="B672" t="s">
        <v>17</v>
      </c>
      <c r="C672" s="6">
        <v>2420</v>
      </c>
      <c r="D672" s="5" t="s">
        <v>70</v>
      </c>
      <c r="E672" s="1">
        <v>0.50694444444444442</v>
      </c>
      <c r="F672" s="1">
        <v>0.66111111111111109</v>
      </c>
      <c r="G672" s="9">
        <f t="shared" si="68"/>
        <v>44900</v>
      </c>
      <c r="H672" s="11">
        <f t="shared" si="69"/>
        <v>3.7</v>
      </c>
      <c r="I672" s="10">
        <f t="shared" si="65"/>
        <v>7</v>
      </c>
      <c r="J672" s="10">
        <f t="shared" si="66"/>
        <v>7.2</v>
      </c>
      <c r="K672" s="10">
        <f t="shared" si="67"/>
        <v>7</v>
      </c>
      <c r="L672" s="10">
        <f t="shared" si="70"/>
        <v>22</v>
      </c>
    </row>
    <row r="673" spans="1:12" x14ac:dyDescent="0.25">
      <c r="A673" s="7">
        <v>44901</v>
      </c>
      <c r="B673" t="s">
        <v>17</v>
      </c>
      <c r="C673" s="6">
        <v>2420</v>
      </c>
      <c r="D673" s="5" t="s">
        <v>70</v>
      </c>
      <c r="E673" s="1">
        <v>0.30069444444444443</v>
      </c>
      <c r="F673" s="1">
        <v>0.46388888888888885</v>
      </c>
      <c r="G673" s="9">
        <f t="shared" si="68"/>
        <v>44900</v>
      </c>
      <c r="H673" s="11">
        <f t="shared" si="69"/>
        <v>3.9</v>
      </c>
      <c r="I673" s="10">
        <f t="shared" si="65"/>
        <v>3.9</v>
      </c>
      <c r="J673" s="10">
        <f t="shared" si="66"/>
        <v>7.2</v>
      </c>
      <c r="K673" s="10">
        <f t="shared" si="67"/>
        <v>10.9</v>
      </c>
      <c r="L673" s="10">
        <f t="shared" si="70"/>
        <v>25.9</v>
      </c>
    </row>
    <row r="674" spans="1:12" x14ac:dyDescent="0.25">
      <c r="A674" s="7">
        <v>44901</v>
      </c>
      <c r="B674" t="s">
        <v>17</v>
      </c>
      <c r="C674" s="6">
        <v>2420</v>
      </c>
      <c r="D674" s="5" t="s">
        <v>70</v>
      </c>
      <c r="E674" s="1">
        <v>0.50902777777777775</v>
      </c>
      <c r="F674" s="1">
        <v>0.58333333333333337</v>
      </c>
      <c r="G674" s="9">
        <f t="shared" si="68"/>
        <v>44900</v>
      </c>
      <c r="H674" s="11">
        <f t="shared" si="69"/>
        <v>1.8</v>
      </c>
      <c r="I674" s="10">
        <f t="shared" si="65"/>
        <v>5.7</v>
      </c>
      <c r="J674" s="10">
        <f t="shared" si="66"/>
        <v>7.2</v>
      </c>
      <c r="K674" s="10">
        <f t="shared" si="67"/>
        <v>12.700000000000001</v>
      </c>
      <c r="L674" s="10">
        <f t="shared" si="70"/>
        <v>27.7</v>
      </c>
    </row>
    <row r="675" spans="1:12" x14ac:dyDescent="0.25">
      <c r="A675" s="7">
        <v>44901</v>
      </c>
      <c r="B675" t="s">
        <v>6</v>
      </c>
      <c r="C675" s="6" t="s">
        <v>416</v>
      </c>
      <c r="D675" s="5" t="s">
        <v>112</v>
      </c>
      <c r="E675" s="1">
        <v>0.58333333333333337</v>
      </c>
      <c r="F675" s="1">
        <v>0.62638888888888888</v>
      </c>
      <c r="G675" s="9">
        <f t="shared" si="68"/>
        <v>44900</v>
      </c>
      <c r="H675" s="11">
        <f t="shared" si="69"/>
        <v>1</v>
      </c>
      <c r="I675" s="10">
        <f t="shared" si="65"/>
        <v>6.7</v>
      </c>
      <c r="J675" s="10">
        <f t="shared" si="66"/>
        <v>7.2</v>
      </c>
      <c r="K675" s="10">
        <f t="shared" si="67"/>
        <v>13.7</v>
      </c>
      <c r="L675" s="10">
        <f t="shared" si="70"/>
        <v>28.7</v>
      </c>
    </row>
    <row r="676" spans="1:12" x14ac:dyDescent="0.25">
      <c r="A676" s="7">
        <v>44901</v>
      </c>
      <c r="B676" t="s">
        <v>17</v>
      </c>
      <c r="C676" s="6">
        <v>2420</v>
      </c>
      <c r="D676" s="5" t="s">
        <v>70</v>
      </c>
      <c r="E676" s="1">
        <v>0.62638888888888888</v>
      </c>
      <c r="F676" s="1">
        <v>0.64652777777777781</v>
      </c>
      <c r="G676" s="9">
        <f t="shared" si="68"/>
        <v>44900</v>
      </c>
      <c r="H676" s="11">
        <f t="shared" si="69"/>
        <v>0.5</v>
      </c>
      <c r="I676" s="10">
        <f t="shared" si="65"/>
        <v>7.2</v>
      </c>
      <c r="J676" s="10">
        <f t="shared" si="66"/>
        <v>7.2</v>
      </c>
      <c r="K676" s="10">
        <f t="shared" si="67"/>
        <v>14.2</v>
      </c>
      <c r="L676" s="10">
        <f t="shared" si="70"/>
        <v>29.2</v>
      </c>
    </row>
    <row r="677" spans="1:12" x14ac:dyDescent="0.25">
      <c r="A677" s="7">
        <v>44902</v>
      </c>
      <c r="B677" t="s">
        <v>17</v>
      </c>
      <c r="C677" s="6">
        <v>2420</v>
      </c>
      <c r="D677" s="5" t="s">
        <v>70</v>
      </c>
      <c r="E677" s="1">
        <v>0.34583333333333338</v>
      </c>
      <c r="F677" s="1">
        <v>0.51666666666666672</v>
      </c>
      <c r="G677" s="9">
        <f t="shared" si="68"/>
        <v>44900</v>
      </c>
      <c r="H677" s="11">
        <f t="shared" si="69"/>
        <v>4.0999999999999996</v>
      </c>
      <c r="I677" s="10">
        <f t="shared" si="65"/>
        <v>4.0999999999999996</v>
      </c>
      <c r="J677" s="10">
        <f t="shared" si="66"/>
        <v>7.2</v>
      </c>
      <c r="K677" s="10">
        <f t="shared" si="67"/>
        <v>18.299999999999997</v>
      </c>
      <c r="L677" s="10">
        <f t="shared" si="70"/>
        <v>33.299999999999997</v>
      </c>
    </row>
    <row r="678" spans="1:12" x14ac:dyDescent="0.25">
      <c r="A678" s="7">
        <v>44902</v>
      </c>
      <c r="B678" t="s">
        <v>17</v>
      </c>
      <c r="C678" s="6">
        <v>2420</v>
      </c>
      <c r="D678" s="5" t="s">
        <v>70</v>
      </c>
      <c r="E678" s="1">
        <v>0.52847222222222223</v>
      </c>
      <c r="F678" s="1">
        <v>0.65069444444444446</v>
      </c>
      <c r="G678" s="9">
        <f t="shared" si="68"/>
        <v>44900</v>
      </c>
      <c r="H678" s="11">
        <f t="shared" si="69"/>
        <v>2.9</v>
      </c>
      <c r="I678" s="10">
        <f t="shared" si="65"/>
        <v>7</v>
      </c>
      <c r="J678" s="10">
        <f t="shared" si="66"/>
        <v>7.2</v>
      </c>
      <c r="K678" s="10">
        <f t="shared" si="67"/>
        <v>21.2</v>
      </c>
      <c r="L678" s="10">
        <f t="shared" si="70"/>
        <v>36.199999999999996</v>
      </c>
    </row>
    <row r="679" spans="1:12" x14ac:dyDescent="0.25">
      <c r="A679" s="7">
        <v>44903</v>
      </c>
      <c r="B679" t="s">
        <v>17</v>
      </c>
      <c r="C679" s="6">
        <v>2420</v>
      </c>
      <c r="D679" s="5" t="s">
        <v>70</v>
      </c>
      <c r="E679" s="1">
        <v>0.35694444444444445</v>
      </c>
      <c r="F679" s="1">
        <v>0.50624999999999998</v>
      </c>
      <c r="G679" s="9">
        <f t="shared" si="68"/>
        <v>44900</v>
      </c>
      <c r="H679" s="11">
        <f t="shared" si="69"/>
        <v>3.6</v>
      </c>
      <c r="I679" s="10">
        <f t="shared" si="65"/>
        <v>3.6</v>
      </c>
      <c r="J679" s="10">
        <f t="shared" si="66"/>
        <v>7.2</v>
      </c>
      <c r="K679" s="10">
        <f t="shared" si="67"/>
        <v>24.8</v>
      </c>
      <c r="L679" s="10">
        <f t="shared" si="70"/>
        <v>39.800000000000004</v>
      </c>
    </row>
    <row r="680" spans="1:12" x14ac:dyDescent="0.25">
      <c r="A680" s="7">
        <v>44903</v>
      </c>
      <c r="B680" t="s">
        <v>17</v>
      </c>
      <c r="C680" s="6">
        <v>2420</v>
      </c>
      <c r="D680" s="5" t="s">
        <v>70</v>
      </c>
      <c r="E680" s="1">
        <v>0.54513888888888895</v>
      </c>
      <c r="F680" s="1">
        <v>0.66111111111111109</v>
      </c>
      <c r="G680" s="9">
        <f t="shared" si="68"/>
        <v>44900</v>
      </c>
      <c r="H680" s="11">
        <f t="shared" si="69"/>
        <v>2.8</v>
      </c>
      <c r="I680" s="10">
        <f t="shared" si="65"/>
        <v>6.4</v>
      </c>
      <c r="J680" s="10">
        <f t="shared" si="66"/>
        <v>7.2</v>
      </c>
      <c r="K680" s="10">
        <f t="shared" si="67"/>
        <v>27.6</v>
      </c>
      <c r="L680" s="10">
        <f t="shared" si="70"/>
        <v>42.599999999999994</v>
      </c>
    </row>
    <row r="681" spans="1:12" x14ac:dyDescent="0.25">
      <c r="A681" s="7">
        <v>44904</v>
      </c>
      <c r="B681" t="s">
        <v>17</v>
      </c>
      <c r="C681" s="6">
        <v>2420</v>
      </c>
      <c r="D681" s="5" t="s">
        <v>216</v>
      </c>
      <c r="E681" s="1">
        <v>0.31805555555555554</v>
      </c>
      <c r="F681" s="1">
        <v>0.58680555555555558</v>
      </c>
      <c r="G681" s="9">
        <f t="shared" si="68"/>
        <v>44900</v>
      </c>
      <c r="H681" s="11">
        <f t="shared" si="69"/>
        <v>6.5</v>
      </c>
      <c r="I681" s="10">
        <f t="shared" si="65"/>
        <v>6.5</v>
      </c>
      <c r="J681" s="10">
        <f t="shared" si="66"/>
        <v>7.2</v>
      </c>
      <c r="K681" s="10">
        <f t="shared" si="67"/>
        <v>34.1</v>
      </c>
      <c r="L681" s="10">
        <f t="shared" si="70"/>
        <v>49.1</v>
      </c>
    </row>
    <row r="682" spans="1:12" x14ac:dyDescent="0.25">
      <c r="A682" s="7">
        <v>44907</v>
      </c>
      <c r="B682" t="s">
        <v>17</v>
      </c>
      <c r="C682" s="6">
        <v>2420</v>
      </c>
      <c r="D682" s="5" t="s">
        <v>216</v>
      </c>
      <c r="E682" s="1">
        <v>0.35555555555555557</v>
      </c>
      <c r="F682" s="1">
        <v>0.46875</v>
      </c>
      <c r="G682" s="9">
        <f t="shared" si="68"/>
        <v>44907</v>
      </c>
      <c r="H682" s="11">
        <f t="shared" si="69"/>
        <v>2.7</v>
      </c>
      <c r="I682" s="10">
        <f t="shared" si="65"/>
        <v>2.7</v>
      </c>
      <c r="J682" s="10">
        <f t="shared" si="66"/>
        <v>7.2</v>
      </c>
      <c r="K682" s="10">
        <f t="shared" si="67"/>
        <v>2.7</v>
      </c>
      <c r="L682" s="10">
        <f t="shared" si="70"/>
        <v>51.800000000000004</v>
      </c>
    </row>
    <row r="683" spans="1:12" x14ac:dyDescent="0.25">
      <c r="A683" s="7">
        <v>44907</v>
      </c>
      <c r="B683" s="2" t="s">
        <v>464</v>
      </c>
      <c r="C683" s="6">
        <v>2431</v>
      </c>
      <c r="D683" s="5" t="s">
        <v>238</v>
      </c>
      <c r="E683" s="1">
        <v>0.46875</v>
      </c>
      <c r="F683" s="1">
        <v>0.5</v>
      </c>
      <c r="G683" s="9">
        <f t="shared" si="68"/>
        <v>44907</v>
      </c>
      <c r="H683" s="11">
        <f t="shared" si="69"/>
        <v>0.8</v>
      </c>
      <c r="I683" s="10">
        <f t="shared" si="65"/>
        <v>3.5</v>
      </c>
      <c r="J683" s="10">
        <f t="shared" si="66"/>
        <v>7.2</v>
      </c>
      <c r="K683" s="10">
        <f t="shared" si="67"/>
        <v>3.5</v>
      </c>
      <c r="L683" s="10">
        <f t="shared" si="70"/>
        <v>52.599999999999994</v>
      </c>
    </row>
    <row r="684" spans="1:12" x14ac:dyDescent="0.25">
      <c r="A684" s="7">
        <v>44907</v>
      </c>
      <c r="B684" t="s">
        <v>17</v>
      </c>
      <c r="C684" s="6">
        <v>2420</v>
      </c>
      <c r="D684" s="5" t="s">
        <v>216</v>
      </c>
      <c r="E684" s="1">
        <v>0.5</v>
      </c>
      <c r="F684" s="1">
        <v>0.51458333333333328</v>
      </c>
      <c r="G684" s="9">
        <f t="shared" si="68"/>
        <v>44907</v>
      </c>
      <c r="H684" s="11">
        <f t="shared" si="69"/>
        <v>0.3</v>
      </c>
      <c r="I684" s="10">
        <f t="shared" si="65"/>
        <v>3.8</v>
      </c>
      <c r="J684" s="10">
        <f t="shared" si="66"/>
        <v>7.2</v>
      </c>
      <c r="K684" s="10">
        <f t="shared" si="67"/>
        <v>3.8</v>
      </c>
      <c r="L684" s="10">
        <f t="shared" si="70"/>
        <v>52.9</v>
      </c>
    </row>
    <row r="685" spans="1:12" x14ac:dyDescent="0.25">
      <c r="A685" s="7">
        <v>44907</v>
      </c>
      <c r="B685" t="s">
        <v>17</v>
      </c>
      <c r="C685" s="6">
        <v>2420</v>
      </c>
      <c r="D685" s="5" t="s">
        <v>216</v>
      </c>
      <c r="E685" s="1">
        <v>0.52708333333333335</v>
      </c>
      <c r="F685" s="1">
        <v>0.68125000000000002</v>
      </c>
      <c r="G685" s="9">
        <f t="shared" si="68"/>
        <v>44907</v>
      </c>
      <c r="H685" s="11">
        <f t="shared" si="69"/>
        <v>3.7</v>
      </c>
      <c r="I685" s="10">
        <f t="shared" si="65"/>
        <v>7.5</v>
      </c>
      <c r="J685" s="10">
        <f t="shared" si="66"/>
        <v>7.2</v>
      </c>
      <c r="K685" s="10">
        <f t="shared" si="67"/>
        <v>7.5</v>
      </c>
      <c r="L685" s="10">
        <f t="shared" si="70"/>
        <v>56.6</v>
      </c>
    </row>
    <row r="686" spans="1:12" x14ac:dyDescent="0.25">
      <c r="A686" s="7">
        <v>44908</v>
      </c>
      <c r="B686" t="s">
        <v>17</v>
      </c>
      <c r="C686" s="6">
        <v>2420</v>
      </c>
      <c r="D686" s="5" t="s">
        <v>216</v>
      </c>
      <c r="E686" s="1">
        <v>0.30833333333333335</v>
      </c>
      <c r="F686" s="1">
        <v>0.35902777777777778</v>
      </c>
      <c r="G686" s="9">
        <f t="shared" si="68"/>
        <v>44907</v>
      </c>
      <c r="H686" s="11">
        <f t="shared" si="69"/>
        <v>1.2</v>
      </c>
      <c r="I686" s="10">
        <f t="shared" si="65"/>
        <v>1.2</v>
      </c>
      <c r="J686" s="10">
        <f t="shared" si="66"/>
        <v>7.2</v>
      </c>
      <c r="K686" s="10">
        <f t="shared" si="67"/>
        <v>8.6999999999999993</v>
      </c>
      <c r="L686" s="10">
        <f t="shared" si="70"/>
        <v>57.800000000000004</v>
      </c>
    </row>
    <row r="687" spans="1:12" x14ac:dyDescent="0.25">
      <c r="A687" s="7">
        <v>44908</v>
      </c>
      <c r="B687" t="s">
        <v>19</v>
      </c>
      <c r="C687" s="6">
        <v>2675</v>
      </c>
      <c r="D687" s="5" t="s">
        <v>236</v>
      </c>
      <c r="E687" s="1">
        <v>0.35902777777777778</v>
      </c>
      <c r="F687" s="1">
        <v>0.4375</v>
      </c>
      <c r="G687" s="9">
        <f t="shared" si="68"/>
        <v>44907</v>
      </c>
      <c r="H687" s="11">
        <f t="shared" si="69"/>
        <v>1.9</v>
      </c>
      <c r="I687" s="10">
        <f t="shared" si="65"/>
        <v>3.0999999999999996</v>
      </c>
      <c r="J687" s="10">
        <f t="shared" si="66"/>
        <v>7.2</v>
      </c>
      <c r="K687" s="10">
        <f t="shared" si="67"/>
        <v>10.6</v>
      </c>
      <c r="L687" s="10">
        <f t="shared" si="70"/>
        <v>59.699999999999996</v>
      </c>
    </row>
    <row r="688" spans="1:12" x14ac:dyDescent="0.25">
      <c r="A688" s="7">
        <v>44908</v>
      </c>
      <c r="B688" s="2" t="s">
        <v>6</v>
      </c>
      <c r="C688" s="24" t="s">
        <v>416</v>
      </c>
      <c r="D688" s="5" t="s">
        <v>112</v>
      </c>
      <c r="E688" s="1">
        <v>0.4375</v>
      </c>
      <c r="F688" s="1">
        <v>0.48472222222222222</v>
      </c>
      <c r="G688" s="9">
        <f t="shared" si="68"/>
        <v>44907</v>
      </c>
      <c r="H688" s="11">
        <f t="shared" si="69"/>
        <v>1.1000000000000001</v>
      </c>
      <c r="I688" s="10">
        <f t="shared" si="65"/>
        <v>4.2</v>
      </c>
      <c r="J688" s="10">
        <f t="shared" si="66"/>
        <v>7.2</v>
      </c>
      <c r="K688" s="10">
        <f t="shared" si="67"/>
        <v>11.7</v>
      </c>
      <c r="L688" s="10">
        <f t="shared" si="70"/>
        <v>60.800000000000004</v>
      </c>
    </row>
    <row r="689" spans="1:12" x14ac:dyDescent="0.25">
      <c r="A689" s="7">
        <v>44908</v>
      </c>
      <c r="B689" t="s">
        <v>19</v>
      </c>
      <c r="C689" s="6">
        <v>2675</v>
      </c>
      <c r="D689" s="5" t="s">
        <v>236</v>
      </c>
      <c r="E689" s="1">
        <v>0.48472222222222222</v>
      </c>
      <c r="F689" s="1">
        <v>0.50138888888888888</v>
      </c>
      <c r="G689" s="9">
        <f t="shared" si="68"/>
        <v>44907</v>
      </c>
      <c r="H689" s="11">
        <f t="shared" si="69"/>
        <v>0.4</v>
      </c>
      <c r="I689" s="10">
        <f t="shared" si="65"/>
        <v>4.6000000000000005</v>
      </c>
      <c r="J689" s="10">
        <f t="shared" si="66"/>
        <v>7.2</v>
      </c>
      <c r="K689" s="10">
        <f t="shared" si="67"/>
        <v>12.1</v>
      </c>
      <c r="L689" s="10">
        <f t="shared" si="70"/>
        <v>61.199999999999996</v>
      </c>
    </row>
    <row r="690" spans="1:12" x14ac:dyDescent="0.25">
      <c r="A690" s="7">
        <v>44908</v>
      </c>
      <c r="B690" t="s">
        <v>19</v>
      </c>
      <c r="C690" s="6">
        <v>2675</v>
      </c>
      <c r="D690" s="5" t="s">
        <v>236</v>
      </c>
      <c r="E690" s="1">
        <v>0.51736111111111105</v>
      </c>
      <c r="F690" s="1">
        <v>0.58680555555555558</v>
      </c>
      <c r="G690" s="9">
        <f t="shared" si="68"/>
        <v>44907</v>
      </c>
      <c r="H690" s="11">
        <f t="shared" si="69"/>
        <v>1.7</v>
      </c>
      <c r="I690" s="10">
        <f t="shared" si="65"/>
        <v>6.3</v>
      </c>
      <c r="J690" s="10">
        <f t="shared" si="66"/>
        <v>7.2</v>
      </c>
      <c r="K690" s="10">
        <f t="shared" si="67"/>
        <v>13.799999999999999</v>
      </c>
      <c r="L690" s="10">
        <f t="shared" si="70"/>
        <v>62.900000000000006</v>
      </c>
    </row>
    <row r="691" spans="1:12" x14ac:dyDescent="0.25">
      <c r="A691" s="7">
        <v>44908</v>
      </c>
      <c r="B691" s="2" t="s">
        <v>6</v>
      </c>
      <c r="C691" s="24" t="s">
        <v>416</v>
      </c>
      <c r="D691" s="5" t="s">
        <v>71</v>
      </c>
      <c r="E691" s="1">
        <v>0.58680555555555558</v>
      </c>
      <c r="F691" s="1">
        <v>0.625</v>
      </c>
      <c r="G691" s="9">
        <f t="shared" si="68"/>
        <v>44907</v>
      </c>
      <c r="H691" s="11">
        <f t="shared" si="69"/>
        <v>0.9</v>
      </c>
      <c r="I691" s="10">
        <f t="shared" si="65"/>
        <v>7.2</v>
      </c>
      <c r="J691" s="10">
        <f t="shared" si="66"/>
        <v>7.2</v>
      </c>
      <c r="K691" s="10">
        <f t="shared" si="67"/>
        <v>14.700000000000001</v>
      </c>
      <c r="L691" s="10">
        <f t="shared" si="70"/>
        <v>63.8</v>
      </c>
    </row>
    <row r="692" spans="1:12" x14ac:dyDescent="0.25">
      <c r="A692" s="7">
        <v>44909</v>
      </c>
      <c r="B692" t="s">
        <v>17</v>
      </c>
      <c r="C692" s="6">
        <v>2420</v>
      </c>
      <c r="D692" s="5" t="s">
        <v>239</v>
      </c>
      <c r="E692" s="1">
        <v>0.28819444444444448</v>
      </c>
      <c r="F692" s="1">
        <v>0.32083333333333336</v>
      </c>
      <c r="G692" s="9">
        <f t="shared" si="68"/>
        <v>44907</v>
      </c>
      <c r="H692" s="11">
        <f t="shared" si="69"/>
        <v>0.8</v>
      </c>
      <c r="I692" s="10">
        <f t="shared" si="65"/>
        <v>0.8</v>
      </c>
      <c r="J692" s="10">
        <f t="shared" si="66"/>
        <v>7.2</v>
      </c>
      <c r="K692" s="10">
        <f t="shared" si="67"/>
        <v>15.5</v>
      </c>
      <c r="L692" s="10">
        <f t="shared" si="70"/>
        <v>64.599999999999994</v>
      </c>
    </row>
    <row r="693" spans="1:12" x14ac:dyDescent="0.25">
      <c r="A693" s="7">
        <v>44909</v>
      </c>
      <c r="B693" t="s">
        <v>19</v>
      </c>
      <c r="C693" s="6">
        <v>2675</v>
      </c>
      <c r="D693" s="5" t="s">
        <v>240</v>
      </c>
      <c r="E693" s="1">
        <v>0.32083333333333336</v>
      </c>
      <c r="F693" s="1">
        <v>0.39583333333333331</v>
      </c>
      <c r="G693" s="9">
        <f t="shared" si="68"/>
        <v>44907</v>
      </c>
      <c r="H693" s="11">
        <f t="shared" si="69"/>
        <v>1.8</v>
      </c>
      <c r="I693" s="10">
        <f t="shared" si="65"/>
        <v>2.6</v>
      </c>
      <c r="J693" s="10">
        <f t="shared" si="66"/>
        <v>7.2</v>
      </c>
      <c r="K693" s="10">
        <f t="shared" si="67"/>
        <v>17.3</v>
      </c>
      <c r="L693" s="10">
        <f t="shared" si="70"/>
        <v>66.399999999999991</v>
      </c>
    </row>
    <row r="694" spans="1:12" x14ac:dyDescent="0.25">
      <c r="A694" s="7">
        <v>44909</v>
      </c>
      <c r="B694" s="2" t="s">
        <v>6</v>
      </c>
      <c r="C694" s="24" t="s">
        <v>416</v>
      </c>
      <c r="D694" s="5" t="s">
        <v>241</v>
      </c>
      <c r="E694" s="1">
        <v>0.39583333333333331</v>
      </c>
      <c r="F694" s="1">
        <v>0.43958333333333338</v>
      </c>
      <c r="G694" s="9">
        <f t="shared" si="68"/>
        <v>44907</v>
      </c>
      <c r="H694" s="11">
        <f t="shared" si="69"/>
        <v>1.1000000000000001</v>
      </c>
      <c r="I694" s="10">
        <f t="shared" si="65"/>
        <v>3.7</v>
      </c>
      <c r="J694" s="10">
        <f t="shared" si="66"/>
        <v>7.2</v>
      </c>
      <c r="K694" s="10">
        <f t="shared" si="67"/>
        <v>18.400000000000002</v>
      </c>
      <c r="L694" s="10">
        <f t="shared" si="70"/>
        <v>67.5</v>
      </c>
    </row>
    <row r="695" spans="1:12" x14ac:dyDescent="0.25">
      <c r="A695" s="7">
        <v>44909</v>
      </c>
      <c r="B695" t="s">
        <v>19</v>
      </c>
      <c r="C695" s="6">
        <v>2675</v>
      </c>
      <c r="D695" s="5" t="s">
        <v>240</v>
      </c>
      <c r="E695" s="1">
        <v>0.43958333333333338</v>
      </c>
      <c r="F695" s="1">
        <v>0.48680555555555555</v>
      </c>
      <c r="G695" s="9">
        <f t="shared" si="68"/>
        <v>44907</v>
      </c>
      <c r="H695" s="11">
        <f t="shared" si="69"/>
        <v>1.1000000000000001</v>
      </c>
      <c r="I695" s="10">
        <f t="shared" si="65"/>
        <v>4.8000000000000007</v>
      </c>
      <c r="J695" s="10">
        <f t="shared" si="66"/>
        <v>7.2</v>
      </c>
      <c r="K695" s="10">
        <f t="shared" si="67"/>
        <v>19.5</v>
      </c>
      <c r="L695" s="10">
        <f t="shared" si="70"/>
        <v>68.599999999999994</v>
      </c>
    </row>
    <row r="696" spans="1:12" x14ac:dyDescent="0.25">
      <c r="A696" s="7">
        <v>44909</v>
      </c>
      <c r="B696" t="s">
        <v>17</v>
      </c>
      <c r="C696" s="6">
        <v>2420</v>
      </c>
      <c r="D696" s="5" t="s">
        <v>242</v>
      </c>
      <c r="E696" s="1">
        <v>0.49305555555555558</v>
      </c>
      <c r="F696" s="1">
        <v>0.54791666666666672</v>
      </c>
      <c r="G696" s="9">
        <f t="shared" si="68"/>
        <v>44907</v>
      </c>
      <c r="H696" s="11">
        <f t="shared" si="69"/>
        <v>1.3</v>
      </c>
      <c r="I696" s="10">
        <f t="shared" si="65"/>
        <v>6.1</v>
      </c>
      <c r="J696" s="10">
        <f t="shared" si="66"/>
        <v>7.2</v>
      </c>
      <c r="K696" s="10">
        <f t="shared" si="67"/>
        <v>20.8</v>
      </c>
      <c r="L696" s="10">
        <f t="shared" si="70"/>
        <v>69.899999999999991</v>
      </c>
    </row>
    <row r="697" spans="1:12" x14ac:dyDescent="0.25">
      <c r="A697" s="7">
        <v>44909</v>
      </c>
      <c r="B697" t="s">
        <v>17</v>
      </c>
      <c r="C697" s="6">
        <v>2420</v>
      </c>
      <c r="D697" s="5" t="s">
        <v>243</v>
      </c>
      <c r="E697" s="1">
        <v>0.54791666666666672</v>
      </c>
      <c r="F697" s="1">
        <v>0.60763888888888895</v>
      </c>
      <c r="G697" s="9">
        <f t="shared" si="68"/>
        <v>44907</v>
      </c>
      <c r="H697" s="11">
        <f t="shared" si="69"/>
        <v>1.4</v>
      </c>
      <c r="I697" s="10">
        <f t="shared" si="65"/>
        <v>7.5</v>
      </c>
      <c r="J697" s="10">
        <f t="shared" si="66"/>
        <v>7.2</v>
      </c>
      <c r="K697" s="10">
        <f t="shared" si="67"/>
        <v>22.2</v>
      </c>
      <c r="L697" s="10">
        <f t="shared" si="70"/>
        <v>71.300000000000011</v>
      </c>
    </row>
    <row r="698" spans="1:12" x14ac:dyDescent="0.25">
      <c r="A698" s="7">
        <v>44910</v>
      </c>
      <c r="B698" t="s">
        <v>17</v>
      </c>
      <c r="C698" s="6">
        <v>2420</v>
      </c>
      <c r="D698" s="5" t="s">
        <v>244</v>
      </c>
      <c r="E698" s="1">
        <v>0.30138888888888887</v>
      </c>
      <c r="F698" s="1">
        <v>0.36319444444444443</v>
      </c>
      <c r="G698" s="9">
        <f t="shared" si="68"/>
        <v>44907</v>
      </c>
      <c r="H698" s="11">
        <f t="shared" si="69"/>
        <v>1.5</v>
      </c>
      <c r="I698" s="10">
        <f t="shared" si="65"/>
        <v>1.5</v>
      </c>
      <c r="J698" s="10">
        <f t="shared" si="66"/>
        <v>7.2</v>
      </c>
      <c r="K698" s="10">
        <f t="shared" si="67"/>
        <v>23.7</v>
      </c>
      <c r="L698" s="10">
        <f t="shared" si="70"/>
        <v>72.8</v>
      </c>
    </row>
    <row r="699" spans="1:12" x14ac:dyDescent="0.25">
      <c r="A699" s="7">
        <v>44910</v>
      </c>
      <c r="B699" t="s">
        <v>19</v>
      </c>
      <c r="C699" s="6">
        <v>2675</v>
      </c>
      <c r="D699" s="5" t="s">
        <v>240</v>
      </c>
      <c r="E699" s="1">
        <v>0.36319444444444443</v>
      </c>
      <c r="F699" s="1">
        <v>0.375</v>
      </c>
      <c r="G699" s="9">
        <f t="shared" si="68"/>
        <v>44907</v>
      </c>
      <c r="H699" s="11">
        <f t="shared" si="69"/>
        <v>0.3</v>
      </c>
      <c r="I699" s="10">
        <f t="shared" si="65"/>
        <v>1.8</v>
      </c>
      <c r="J699" s="10">
        <f t="shared" si="66"/>
        <v>7.2</v>
      </c>
      <c r="K699" s="10">
        <f t="shared" si="67"/>
        <v>24</v>
      </c>
      <c r="L699" s="10">
        <f t="shared" si="70"/>
        <v>73.099999999999994</v>
      </c>
    </row>
    <row r="700" spans="1:12" x14ac:dyDescent="0.25">
      <c r="A700" s="7">
        <v>44910</v>
      </c>
      <c r="B700" s="2" t="s">
        <v>6</v>
      </c>
      <c r="C700" s="24" t="s">
        <v>416</v>
      </c>
      <c r="D700" s="5" t="s">
        <v>234</v>
      </c>
      <c r="E700" s="1">
        <v>0.375</v>
      </c>
      <c r="F700" s="1">
        <v>0.49583333333333335</v>
      </c>
      <c r="G700" s="9">
        <f t="shared" si="68"/>
        <v>44907</v>
      </c>
      <c r="H700" s="11">
        <f t="shared" si="69"/>
        <v>2.9</v>
      </c>
      <c r="I700" s="10">
        <f t="shared" si="65"/>
        <v>4.7</v>
      </c>
      <c r="J700" s="10">
        <f t="shared" si="66"/>
        <v>7.2</v>
      </c>
      <c r="K700" s="10">
        <f t="shared" si="67"/>
        <v>26.9</v>
      </c>
      <c r="L700" s="10">
        <f t="shared" si="70"/>
        <v>76</v>
      </c>
    </row>
    <row r="701" spans="1:12" x14ac:dyDescent="0.25">
      <c r="A701" s="7">
        <v>44910</v>
      </c>
      <c r="B701" t="s">
        <v>19</v>
      </c>
      <c r="C701" s="6">
        <v>2675</v>
      </c>
      <c r="D701" s="5" t="s">
        <v>236</v>
      </c>
      <c r="E701" s="1">
        <v>0.50902777777777775</v>
      </c>
      <c r="F701" s="1">
        <v>0.5625</v>
      </c>
      <c r="G701" s="9">
        <f t="shared" si="68"/>
        <v>44907</v>
      </c>
      <c r="H701" s="11">
        <f t="shared" si="69"/>
        <v>1.3</v>
      </c>
      <c r="I701" s="10">
        <f t="shared" si="65"/>
        <v>6</v>
      </c>
      <c r="J701" s="10">
        <f t="shared" si="66"/>
        <v>7.2</v>
      </c>
      <c r="K701" s="10">
        <f t="shared" si="67"/>
        <v>28.2</v>
      </c>
      <c r="L701" s="10">
        <f t="shared" si="70"/>
        <v>77.3</v>
      </c>
    </row>
    <row r="702" spans="1:12" x14ac:dyDescent="0.25">
      <c r="A702" s="7">
        <v>44910</v>
      </c>
      <c r="B702" t="s">
        <v>19</v>
      </c>
      <c r="C702" s="6">
        <v>2675</v>
      </c>
      <c r="D702" s="5" t="s">
        <v>245</v>
      </c>
      <c r="E702" s="1">
        <v>0.5625</v>
      </c>
      <c r="F702" s="1">
        <v>0.61527777777777781</v>
      </c>
      <c r="G702" s="9">
        <f t="shared" si="68"/>
        <v>44907</v>
      </c>
      <c r="H702" s="11">
        <f t="shared" si="69"/>
        <v>1.3</v>
      </c>
      <c r="I702" s="10">
        <f t="shared" si="65"/>
        <v>7.3</v>
      </c>
      <c r="J702" s="10">
        <f t="shared" si="66"/>
        <v>7.2</v>
      </c>
      <c r="K702" s="10">
        <f t="shared" si="67"/>
        <v>29.5</v>
      </c>
      <c r="L702" s="10">
        <f t="shared" si="70"/>
        <v>78.599999999999994</v>
      </c>
    </row>
    <row r="703" spans="1:12" x14ac:dyDescent="0.25">
      <c r="A703" s="7">
        <v>44911</v>
      </c>
      <c r="B703" t="s">
        <v>17</v>
      </c>
      <c r="C703" s="6">
        <v>2420</v>
      </c>
      <c r="D703" s="5" t="s">
        <v>244</v>
      </c>
      <c r="E703" s="1">
        <v>0.27708333333333335</v>
      </c>
      <c r="F703" s="1">
        <v>0.53055555555555556</v>
      </c>
      <c r="G703" s="9">
        <f t="shared" si="68"/>
        <v>44907</v>
      </c>
      <c r="H703" s="11">
        <f t="shared" si="69"/>
        <v>6.1</v>
      </c>
      <c r="I703" s="10">
        <f t="shared" si="65"/>
        <v>6.1</v>
      </c>
      <c r="J703" s="10">
        <f t="shared" si="66"/>
        <v>7.2</v>
      </c>
      <c r="K703" s="10">
        <f t="shared" si="67"/>
        <v>35.6</v>
      </c>
      <c r="L703" s="10">
        <f t="shared" si="70"/>
        <v>84.699999999999989</v>
      </c>
    </row>
    <row r="704" spans="1:12" x14ac:dyDescent="0.25">
      <c r="A704" s="7">
        <v>44911</v>
      </c>
      <c r="B704" t="s">
        <v>19</v>
      </c>
      <c r="C704" s="6">
        <v>2675</v>
      </c>
      <c r="D704" s="5" t="s">
        <v>245</v>
      </c>
      <c r="E704" s="1">
        <v>0.53055555555555556</v>
      </c>
      <c r="F704" s="1">
        <v>0.56319444444444444</v>
      </c>
      <c r="G704" s="9">
        <f t="shared" si="68"/>
        <v>44907</v>
      </c>
      <c r="H704" s="11">
        <f t="shared" si="69"/>
        <v>0.8</v>
      </c>
      <c r="I704" s="10">
        <f t="shared" si="65"/>
        <v>6.8999999999999995</v>
      </c>
      <c r="J704" s="10">
        <f t="shared" si="66"/>
        <v>7.2</v>
      </c>
      <c r="K704" s="10">
        <f t="shared" si="67"/>
        <v>36.4</v>
      </c>
      <c r="L704" s="10">
        <f t="shared" si="70"/>
        <v>85.5</v>
      </c>
    </row>
    <row r="705" spans="1:12" x14ac:dyDescent="0.25">
      <c r="A705" s="7">
        <v>44914</v>
      </c>
      <c r="B705" t="s">
        <v>7</v>
      </c>
      <c r="C705" s="6" t="s">
        <v>22</v>
      </c>
      <c r="D705" s="2" t="s">
        <v>7</v>
      </c>
      <c r="E705" s="1">
        <v>0.40972222222222227</v>
      </c>
      <c r="F705" s="1">
        <v>0.70833333333333337</v>
      </c>
      <c r="G705" s="9">
        <f t="shared" si="68"/>
        <v>44914</v>
      </c>
      <c r="H705" s="11">
        <f t="shared" si="69"/>
        <v>7.2</v>
      </c>
      <c r="I705" s="10">
        <f t="shared" si="65"/>
        <v>7.2</v>
      </c>
      <c r="J705" s="10">
        <f t="shared" si="66"/>
        <v>7.2</v>
      </c>
      <c r="K705" s="10">
        <f t="shared" si="67"/>
        <v>7.2</v>
      </c>
      <c r="L705" s="10">
        <f t="shared" si="70"/>
        <v>92.7</v>
      </c>
    </row>
    <row r="706" spans="1:12" x14ac:dyDescent="0.25">
      <c r="A706" s="7">
        <v>44915</v>
      </c>
      <c r="B706" t="s">
        <v>7</v>
      </c>
      <c r="C706" s="6" t="s">
        <v>22</v>
      </c>
      <c r="D706" s="2" t="s">
        <v>7</v>
      </c>
      <c r="E706" s="1">
        <v>0.40972222222222227</v>
      </c>
      <c r="F706" s="1">
        <v>0.70833333333333337</v>
      </c>
      <c r="G706" s="9">
        <f t="shared" si="68"/>
        <v>44914</v>
      </c>
      <c r="H706" s="11">
        <f t="shared" si="69"/>
        <v>7.2</v>
      </c>
      <c r="I706" s="10">
        <f t="shared" si="65"/>
        <v>7.2</v>
      </c>
      <c r="J706" s="10">
        <f t="shared" si="66"/>
        <v>7.2</v>
      </c>
      <c r="K706" s="10">
        <f t="shared" si="67"/>
        <v>14.4</v>
      </c>
      <c r="L706" s="10">
        <f t="shared" si="70"/>
        <v>99.9</v>
      </c>
    </row>
    <row r="707" spans="1:12" x14ac:dyDescent="0.25">
      <c r="A707" s="7">
        <v>44916</v>
      </c>
      <c r="B707" t="s">
        <v>7</v>
      </c>
      <c r="C707" s="6" t="s">
        <v>22</v>
      </c>
      <c r="D707" s="2" t="s">
        <v>7</v>
      </c>
      <c r="E707" s="1">
        <v>0.40972222222222227</v>
      </c>
      <c r="F707" s="1">
        <v>0.70833333333333337</v>
      </c>
      <c r="G707" s="9">
        <f t="shared" si="68"/>
        <v>44914</v>
      </c>
      <c r="H707" s="11">
        <f t="shared" si="69"/>
        <v>7.2</v>
      </c>
      <c r="I707" s="10">
        <f t="shared" ref="I707:I770" si="71">IF(H707="",H707,H707+IF(A707=A706,_xlfn.NUMBERVALUE(I706),0))</f>
        <v>7.2</v>
      </c>
      <c r="J707" s="10">
        <f t="shared" ref="J707:J770" si="72">IF(H707="",H707,7.2)</f>
        <v>7.2</v>
      </c>
      <c r="K707" s="10">
        <f t="shared" ref="K707:K770" si="73">IF(H707="",H707,H707+IF(G707=G706,_xlfn.NUMBERVALUE(K706),0))</f>
        <v>21.6</v>
      </c>
      <c r="L707" s="10">
        <f t="shared" si="70"/>
        <v>107.10000000000001</v>
      </c>
    </row>
    <row r="708" spans="1:12" x14ac:dyDescent="0.25">
      <c r="A708" s="7">
        <v>44917</v>
      </c>
      <c r="B708" t="s">
        <v>7</v>
      </c>
      <c r="C708" s="6" t="s">
        <v>22</v>
      </c>
      <c r="D708" s="2" t="s">
        <v>7</v>
      </c>
      <c r="E708" s="1">
        <v>0.40972222222222227</v>
      </c>
      <c r="F708" s="1">
        <v>0.70833333333333337</v>
      </c>
      <c r="G708" s="9">
        <f t="shared" ref="G708:G771" si="74">IF(E708&gt;0,INT((A708-2)/7)*7+2,"")</f>
        <v>44914</v>
      </c>
      <c r="H708" s="11">
        <f t="shared" ref="H708:H771" si="75">IF(E708&gt;0,ROUND(24*(IF(F708&gt;0,F708,NowTime)-E708),1),"")</f>
        <v>7.2</v>
      </c>
      <c r="I708" s="10">
        <f t="shared" si="71"/>
        <v>7.2</v>
      </c>
      <c r="J708" s="10">
        <f t="shared" si="72"/>
        <v>7.2</v>
      </c>
      <c r="K708" s="10">
        <f t="shared" si="73"/>
        <v>28.8</v>
      </c>
      <c r="L708" s="10">
        <f t="shared" si="70"/>
        <v>114.3</v>
      </c>
    </row>
    <row r="709" spans="1:12" x14ac:dyDescent="0.25">
      <c r="A709" s="7">
        <v>44918</v>
      </c>
      <c r="B709" t="s">
        <v>7</v>
      </c>
      <c r="C709" s="6" t="s">
        <v>22</v>
      </c>
      <c r="D709" s="2" t="s">
        <v>7</v>
      </c>
      <c r="E709" s="1">
        <v>0.40972222222222227</v>
      </c>
      <c r="F709" s="1">
        <v>0.70833333333333337</v>
      </c>
      <c r="G709" s="9">
        <f t="shared" ref="G709:G731" si="76">IF(E709&gt;0,INT((A709-2)/7)*7+2,"")</f>
        <v>44914</v>
      </c>
      <c r="H709" s="11">
        <f t="shared" ref="H709:H731" si="77">IF(E709&gt;0,ROUND(24*(IF(F709&gt;0,F709,NowTime)-E709),1),"")</f>
        <v>7.2</v>
      </c>
      <c r="I709" s="10">
        <f t="shared" ref="I709:I731" si="78">IF(H709="",H709,H709+IF(A709=A708,_xlfn.NUMBERVALUE(I708),0))</f>
        <v>7.2</v>
      </c>
      <c r="J709" s="10">
        <f t="shared" ref="J709:J731" si="79">IF(H709="",H709,7.2)</f>
        <v>7.2</v>
      </c>
      <c r="K709" s="10">
        <f t="shared" ref="K709:K731" si="80">IF(H709="",H709,H709+IF(G709=G708,_xlfn.NUMBERVALUE(K708),0))</f>
        <v>36</v>
      </c>
      <c r="L709" s="10">
        <f t="shared" ref="L709:L731" si="81">IF(H709="",H709,H709+IF(MONTH(A709)=MONTH(A708),_xlfn.NUMBERVALUE(L708),0))</f>
        <v>121.5</v>
      </c>
    </row>
    <row r="710" spans="1:12" x14ac:dyDescent="0.25">
      <c r="A710" s="7">
        <v>44921</v>
      </c>
      <c r="B710" t="s">
        <v>7</v>
      </c>
      <c r="C710" s="6" t="s">
        <v>22</v>
      </c>
      <c r="D710" s="2" t="s">
        <v>7</v>
      </c>
      <c r="E710" s="1">
        <v>0.40972222222222227</v>
      </c>
      <c r="F710" s="1">
        <v>0.70833333333333337</v>
      </c>
      <c r="G710" s="9">
        <f t="shared" si="76"/>
        <v>44921</v>
      </c>
      <c r="H710" s="11">
        <f t="shared" si="77"/>
        <v>7.2</v>
      </c>
      <c r="I710" s="10">
        <f t="shared" si="78"/>
        <v>7.2</v>
      </c>
      <c r="J710" s="10">
        <f t="shared" si="79"/>
        <v>7.2</v>
      </c>
      <c r="K710" s="10">
        <f t="shared" si="80"/>
        <v>7.2</v>
      </c>
      <c r="L710" s="10">
        <f t="shared" si="81"/>
        <v>128.69999999999999</v>
      </c>
    </row>
    <row r="711" spans="1:12" x14ac:dyDescent="0.25">
      <c r="A711" s="7">
        <v>44922</v>
      </c>
      <c r="B711" t="s">
        <v>7</v>
      </c>
      <c r="C711" s="6" t="s">
        <v>22</v>
      </c>
      <c r="D711" s="2" t="s">
        <v>7</v>
      </c>
      <c r="E711" s="1">
        <v>0.40972222222222227</v>
      </c>
      <c r="F711" s="1">
        <v>0.70833333333333337</v>
      </c>
      <c r="G711" s="9">
        <f t="shared" si="76"/>
        <v>44921</v>
      </c>
      <c r="H711" s="11">
        <f t="shared" si="77"/>
        <v>7.2</v>
      </c>
      <c r="I711" s="10">
        <f t="shared" si="78"/>
        <v>7.2</v>
      </c>
      <c r="J711" s="10">
        <f t="shared" si="79"/>
        <v>7.2</v>
      </c>
      <c r="K711" s="10">
        <f t="shared" si="80"/>
        <v>14.4</v>
      </c>
      <c r="L711" s="10">
        <f t="shared" si="81"/>
        <v>135.89999999999998</v>
      </c>
    </row>
    <row r="712" spans="1:12" x14ac:dyDescent="0.25">
      <c r="A712" s="7">
        <v>44923</v>
      </c>
      <c r="B712" t="s">
        <v>7</v>
      </c>
      <c r="C712" s="6" t="s">
        <v>22</v>
      </c>
      <c r="D712" s="2" t="s">
        <v>7</v>
      </c>
      <c r="E712" s="1">
        <v>0.40972222222222227</v>
      </c>
      <c r="F712" s="1">
        <v>0.70833333333333337</v>
      </c>
      <c r="G712" s="9">
        <f t="shared" si="76"/>
        <v>44921</v>
      </c>
      <c r="H712" s="11">
        <f t="shared" si="77"/>
        <v>7.2</v>
      </c>
      <c r="I712" s="10">
        <f t="shared" si="78"/>
        <v>7.2</v>
      </c>
      <c r="J712" s="10">
        <f t="shared" si="79"/>
        <v>7.2</v>
      </c>
      <c r="K712" s="10">
        <f t="shared" si="80"/>
        <v>21.6</v>
      </c>
      <c r="L712" s="10">
        <f t="shared" si="81"/>
        <v>143.1</v>
      </c>
    </row>
    <row r="713" spans="1:12" x14ac:dyDescent="0.25">
      <c r="A713" s="7">
        <v>44924</v>
      </c>
      <c r="B713" t="s">
        <v>7</v>
      </c>
      <c r="C713" s="6" t="s">
        <v>22</v>
      </c>
      <c r="D713" s="2" t="s">
        <v>7</v>
      </c>
      <c r="E713" s="1">
        <v>0.40972222222222227</v>
      </c>
      <c r="F713" s="1">
        <v>0.70833333333333337</v>
      </c>
      <c r="G713" s="9">
        <f t="shared" si="76"/>
        <v>44921</v>
      </c>
      <c r="H713" s="11">
        <f t="shared" si="77"/>
        <v>7.2</v>
      </c>
      <c r="I713" s="10">
        <f t="shared" si="78"/>
        <v>7.2</v>
      </c>
      <c r="J713" s="10">
        <f t="shared" si="79"/>
        <v>7.2</v>
      </c>
      <c r="K713" s="10">
        <f t="shared" si="80"/>
        <v>28.8</v>
      </c>
      <c r="L713" s="10">
        <f t="shared" si="81"/>
        <v>150.29999999999998</v>
      </c>
    </row>
    <row r="714" spans="1:12" x14ac:dyDescent="0.25">
      <c r="A714" s="7">
        <v>44925</v>
      </c>
      <c r="B714" t="s">
        <v>7</v>
      </c>
      <c r="C714" s="6" t="s">
        <v>22</v>
      </c>
      <c r="D714" s="2" t="s">
        <v>7</v>
      </c>
      <c r="E714" s="1">
        <v>0.40972222222222227</v>
      </c>
      <c r="F714" s="1">
        <v>0.70833333333333337</v>
      </c>
      <c r="G714" s="9">
        <f t="shared" si="76"/>
        <v>44921</v>
      </c>
      <c r="H714" s="11">
        <f t="shared" si="77"/>
        <v>7.2</v>
      </c>
      <c r="I714" s="10">
        <f t="shared" si="78"/>
        <v>7.2</v>
      </c>
      <c r="J714" s="10">
        <f t="shared" si="79"/>
        <v>7.2</v>
      </c>
      <c r="K714" s="10">
        <f t="shared" si="80"/>
        <v>36</v>
      </c>
      <c r="L714" s="10">
        <f t="shared" si="81"/>
        <v>157.5</v>
      </c>
    </row>
    <row r="715" spans="1:12" x14ac:dyDescent="0.25">
      <c r="A715" s="7">
        <v>44928</v>
      </c>
      <c r="B715" t="s">
        <v>7</v>
      </c>
      <c r="C715" s="6" t="s">
        <v>22</v>
      </c>
      <c r="D715" s="2" t="s">
        <v>7</v>
      </c>
      <c r="E715" s="1">
        <v>0.40972222222222227</v>
      </c>
      <c r="F715" s="1">
        <v>0.70833333333333337</v>
      </c>
      <c r="G715" s="9">
        <f t="shared" si="76"/>
        <v>44928</v>
      </c>
      <c r="H715" s="11">
        <f t="shared" si="77"/>
        <v>7.2</v>
      </c>
      <c r="I715" s="10">
        <f t="shared" si="78"/>
        <v>7.2</v>
      </c>
      <c r="J715" s="10">
        <f t="shared" si="79"/>
        <v>7.2</v>
      </c>
      <c r="K715" s="10">
        <f t="shared" si="80"/>
        <v>7.2</v>
      </c>
      <c r="L715" s="10">
        <f t="shared" si="81"/>
        <v>7.2</v>
      </c>
    </row>
    <row r="716" spans="1:12" x14ac:dyDescent="0.25">
      <c r="A716" s="7">
        <v>44929</v>
      </c>
      <c r="B716" t="s">
        <v>7</v>
      </c>
      <c r="C716" s="6" t="s">
        <v>22</v>
      </c>
      <c r="D716" s="2" t="s">
        <v>7</v>
      </c>
      <c r="E716" s="1">
        <v>0.40972222222222227</v>
      </c>
      <c r="F716" s="1">
        <v>0.70833333333333337</v>
      </c>
      <c r="G716" s="9">
        <f t="shared" si="76"/>
        <v>44928</v>
      </c>
      <c r="H716" s="11">
        <f t="shared" si="77"/>
        <v>7.2</v>
      </c>
      <c r="I716" s="10">
        <f t="shared" si="78"/>
        <v>7.2</v>
      </c>
      <c r="J716" s="10">
        <f t="shared" si="79"/>
        <v>7.2</v>
      </c>
      <c r="K716" s="10">
        <f t="shared" si="80"/>
        <v>14.4</v>
      </c>
      <c r="L716" s="10">
        <f t="shared" si="81"/>
        <v>14.4</v>
      </c>
    </row>
    <row r="717" spans="1:12" x14ac:dyDescent="0.25">
      <c r="A717" s="7">
        <v>44930</v>
      </c>
      <c r="B717" t="s">
        <v>7</v>
      </c>
      <c r="C717" s="6" t="s">
        <v>22</v>
      </c>
      <c r="D717" s="2" t="s">
        <v>7</v>
      </c>
      <c r="E717" s="1">
        <v>0.40972222222222227</v>
      </c>
      <c r="F717" s="1">
        <v>0.70833333333333337</v>
      </c>
      <c r="G717" s="9">
        <f t="shared" si="76"/>
        <v>44928</v>
      </c>
      <c r="H717" s="11">
        <f t="shared" si="77"/>
        <v>7.2</v>
      </c>
      <c r="I717" s="10">
        <f t="shared" si="78"/>
        <v>7.2</v>
      </c>
      <c r="J717" s="10">
        <f t="shared" si="79"/>
        <v>7.2</v>
      </c>
      <c r="K717" s="10">
        <f t="shared" si="80"/>
        <v>21.6</v>
      </c>
      <c r="L717" s="10">
        <f t="shared" si="81"/>
        <v>21.6</v>
      </c>
    </row>
    <row r="718" spans="1:12" x14ac:dyDescent="0.25">
      <c r="A718" s="7">
        <v>44931</v>
      </c>
      <c r="B718" t="s">
        <v>7</v>
      </c>
      <c r="C718" s="6" t="s">
        <v>22</v>
      </c>
      <c r="D718" s="2" t="s">
        <v>7</v>
      </c>
      <c r="E718" s="1">
        <v>0.40972222222222227</v>
      </c>
      <c r="F718" s="1">
        <v>0.70833333333333337</v>
      </c>
      <c r="G718" s="9">
        <f t="shared" si="76"/>
        <v>44928</v>
      </c>
      <c r="H718" s="11">
        <f t="shared" si="77"/>
        <v>7.2</v>
      </c>
      <c r="I718" s="10">
        <f t="shared" si="78"/>
        <v>7.2</v>
      </c>
      <c r="J718" s="10">
        <f t="shared" si="79"/>
        <v>7.2</v>
      </c>
      <c r="K718" s="10">
        <f t="shared" si="80"/>
        <v>28.8</v>
      </c>
      <c r="L718" s="10">
        <f t="shared" si="81"/>
        <v>28.8</v>
      </c>
    </row>
    <row r="719" spans="1:12" x14ac:dyDescent="0.25">
      <c r="A719" s="7">
        <v>44932</v>
      </c>
      <c r="B719" t="s">
        <v>7</v>
      </c>
      <c r="C719" s="6" t="s">
        <v>22</v>
      </c>
      <c r="D719" s="2" t="s">
        <v>7</v>
      </c>
      <c r="E719" s="1">
        <v>0.40972222222222227</v>
      </c>
      <c r="F719" s="1">
        <v>0.70833333333333337</v>
      </c>
      <c r="G719" s="9">
        <f t="shared" si="76"/>
        <v>44928</v>
      </c>
      <c r="H719" s="11">
        <f t="shared" si="77"/>
        <v>7.2</v>
      </c>
      <c r="I719" s="10">
        <f t="shared" si="78"/>
        <v>7.2</v>
      </c>
      <c r="J719" s="10">
        <f t="shared" si="79"/>
        <v>7.2</v>
      </c>
      <c r="K719" s="10">
        <f t="shared" si="80"/>
        <v>36</v>
      </c>
      <c r="L719" s="10">
        <f t="shared" si="81"/>
        <v>36</v>
      </c>
    </row>
    <row r="720" spans="1:12" x14ac:dyDescent="0.25">
      <c r="A720" s="7">
        <v>44935</v>
      </c>
      <c r="B720" t="s">
        <v>6</v>
      </c>
      <c r="C720" s="6" t="s">
        <v>416</v>
      </c>
      <c r="D720" s="1" t="s">
        <v>104</v>
      </c>
      <c r="E720" s="1">
        <v>0.31736111111111115</v>
      </c>
      <c r="F720" s="1">
        <v>0.41111111111111115</v>
      </c>
      <c r="G720" s="9">
        <f t="shared" si="76"/>
        <v>44935</v>
      </c>
      <c r="H720" s="11">
        <f t="shared" si="77"/>
        <v>2.2999999999999998</v>
      </c>
      <c r="I720" s="10">
        <f t="shared" si="78"/>
        <v>2.2999999999999998</v>
      </c>
      <c r="J720" s="10">
        <f t="shared" si="79"/>
        <v>7.2</v>
      </c>
      <c r="K720" s="10">
        <f t="shared" si="80"/>
        <v>2.2999999999999998</v>
      </c>
      <c r="L720" s="10">
        <f t="shared" si="81"/>
        <v>38.299999999999997</v>
      </c>
    </row>
    <row r="721" spans="1:12" x14ac:dyDescent="0.25">
      <c r="A721" s="7">
        <v>44935</v>
      </c>
      <c r="B721" t="s">
        <v>19</v>
      </c>
      <c r="C721" s="6">
        <v>2675</v>
      </c>
      <c r="D721" s="5" t="s">
        <v>50</v>
      </c>
      <c r="E721" s="1">
        <v>0.41111111111111115</v>
      </c>
      <c r="F721" s="1">
        <v>0.47847222222222219</v>
      </c>
      <c r="G721" s="9">
        <f t="shared" si="76"/>
        <v>44935</v>
      </c>
      <c r="H721" s="11">
        <f t="shared" si="77"/>
        <v>1.6</v>
      </c>
      <c r="I721" s="10">
        <f t="shared" si="78"/>
        <v>3.9</v>
      </c>
      <c r="J721" s="10">
        <f t="shared" si="79"/>
        <v>7.2</v>
      </c>
      <c r="K721" s="10">
        <f t="shared" si="80"/>
        <v>3.9</v>
      </c>
      <c r="L721" s="10">
        <f t="shared" si="81"/>
        <v>39.9</v>
      </c>
    </row>
    <row r="722" spans="1:12" x14ac:dyDescent="0.25">
      <c r="A722" s="7">
        <v>44935</v>
      </c>
      <c r="B722" t="s">
        <v>19</v>
      </c>
      <c r="C722" s="6">
        <v>2675</v>
      </c>
      <c r="D722" s="5" t="s">
        <v>246</v>
      </c>
      <c r="E722" s="1">
        <v>0.49513888888888885</v>
      </c>
      <c r="F722" s="1">
        <v>0.64236111111111105</v>
      </c>
      <c r="G722" s="9">
        <f t="shared" si="76"/>
        <v>44935</v>
      </c>
      <c r="H722" s="11">
        <f t="shared" si="77"/>
        <v>3.5</v>
      </c>
      <c r="I722" s="10">
        <f t="shared" si="78"/>
        <v>7.4</v>
      </c>
      <c r="J722" s="10">
        <f t="shared" si="79"/>
        <v>7.2</v>
      </c>
      <c r="K722" s="10">
        <f t="shared" si="80"/>
        <v>7.4</v>
      </c>
      <c r="L722" s="10">
        <f t="shared" si="81"/>
        <v>43.4</v>
      </c>
    </row>
    <row r="723" spans="1:12" x14ac:dyDescent="0.25">
      <c r="A723" s="7">
        <v>44936</v>
      </c>
      <c r="B723" t="s">
        <v>19</v>
      </c>
      <c r="C723" s="6">
        <v>2675</v>
      </c>
      <c r="D723" s="5" t="s">
        <v>246</v>
      </c>
      <c r="E723" s="1">
        <v>0.29375000000000001</v>
      </c>
      <c r="F723" s="1">
        <v>0.39999999999999997</v>
      </c>
      <c r="G723" s="9">
        <f t="shared" si="76"/>
        <v>44935</v>
      </c>
      <c r="H723" s="11">
        <f t="shared" si="77"/>
        <v>2.6</v>
      </c>
      <c r="I723" s="10">
        <f t="shared" si="78"/>
        <v>2.6</v>
      </c>
      <c r="J723" s="10">
        <f t="shared" si="79"/>
        <v>7.2</v>
      </c>
      <c r="K723" s="10">
        <f t="shared" si="80"/>
        <v>10</v>
      </c>
      <c r="L723" s="10">
        <f t="shared" si="81"/>
        <v>46</v>
      </c>
    </row>
    <row r="724" spans="1:12" x14ac:dyDescent="0.25">
      <c r="A724" s="7">
        <v>44936</v>
      </c>
      <c r="B724" t="s">
        <v>19</v>
      </c>
      <c r="C724" s="6">
        <v>2675</v>
      </c>
      <c r="D724" s="5" t="s">
        <v>247</v>
      </c>
      <c r="E724" s="1">
        <v>0.42291666666666666</v>
      </c>
      <c r="F724" s="1">
        <v>0.4604166666666667</v>
      </c>
      <c r="G724" s="9">
        <f t="shared" si="76"/>
        <v>44935</v>
      </c>
      <c r="H724" s="11">
        <f t="shared" si="77"/>
        <v>0.9</v>
      </c>
      <c r="I724" s="10">
        <f t="shared" si="78"/>
        <v>3.5</v>
      </c>
      <c r="J724" s="10">
        <f t="shared" si="79"/>
        <v>7.2</v>
      </c>
      <c r="K724" s="10">
        <f t="shared" si="80"/>
        <v>10.9</v>
      </c>
      <c r="L724" s="10">
        <f t="shared" si="81"/>
        <v>46.9</v>
      </c>
    </row>
    <row r="725" spans="1:12" x14ac:dyDescent="0.25">
      <c r="A725" s="7">
        <v>44936</v>
      </c>
      <c r="B725" t="s">
        <v>6</v>
      </c>
      <c r="C725" s="6" t="s">
        <v>416</v>
      </c>
      <c r="D725" s="5" t="s">
        <v>112</v>
      </c>
      <c r="E725" s="1">
        <v>0.4604166666666667</v>
      </c>
      <c r="F725" s="1">
        <v>0.47847222222222219</v>
      </c>
      <c r="G725" s="9">
        <f t="shared" si="76"/>
        <v>44935</v>
      </c>
      <c r="H725" s="11">
        <f t="shared" si="77"/>
        <v>0.4</v>
      </c>
      <c r="I725" s="10">
        <f t="shared" si="78"/>
        <v>3.9</v>
      </c>
      <c r="J725" s="10">
        <f t="shared" si="79"/>
        <v>7.2</v>
      </c>
      <c r="K725" s="10">
        <f t="shared" si="80"/>
        <v>11.3</v>
      </c>
      <c r="L725" s="10">
        <f t="shared" si="81"/>
        <v>47.3</v>
      </c>
    </row>
    <row r="726" spans="1:12" x14ac:dyDescent="0.25">
      <c r="A726" s="7">
        <v>44936</v>
      </c>
      <c r="B726" t="s">
        <v>19</v>
      </c>
      <c r="C726" s="6">
        <v>2675</v>
      </c>
      <c r="D726" s="5" t="s">
        <v>247</v>
      </c>
      <c r="E726" s="1">
        <v>0.47847222222222219</v>
      </c>
      <c r="F726" s="1">
        <v>0.5395833333333333</v>
      </c>
      <c r="G726" s="9">
        <f t="shared" si="76"/>
        <v>44935</v>
      </c>
      <c r="H726" s="11">
        <f t="shared" si="77"/>
        <v>1.5</v>
      </c>
      <c r="I726" s="10">
        <f t="shared" si="78"/>
        <v>5.4</v>
      </c>
      <c r="J726" s="10">
        <f t="shared" si="79"/>
        <v>7.2</v>
      </c>
      <c r="K726" s="10">
        <f t="shared" si="80"/>
        <v>12.8</v>
      </c>
      <c r="L726" s="10">
        <f t="shared" si="81"/>
        <v>48.8</v>
      </c>
    </row>
    <row r="727" spans="1:12" x14ac:dyDescent="0.25">
      <c r="A727" s="7">
        <v>44936</v>
      </c>
      <c r="B727" t="s">
        <v>19</v>
      </c>
      <c r="C727" s="6">
        <v>2675</v>
      </c>
      <c r="D727" s="5" t="s">
        <v>247</v>
      </c>
      <c r="E727" s="1">
        <v>0.56319444444444444</v>
      </c>
      <c r="F727" s="1">
        <v>0.65555555555555556</v>
      </c>
      <c r="G727" s="9">
        <f t="shared" si="76"/>
        <v>44935</v>
      </c>
      <c r="H727" s="11">
        <f t="shared" si="77"/>
        <v>2.2000000000000002</v>
      </c>
      <c r="I727" s="10">
        <f t="shared" si="78"/>
        <v>7.6000000000000005</v>
      </c>
      <c r="J727" s="10">
        <f t="shared" si="79"/>
        <v>7.2</v>
      </c>
      <c r="K727" s="10">
        <f t="shared" si="80"/>
        <v>15</v>
      </c>
      <c r="L727" s="10">
        <f t="shared" si="81"/>
        <v>51</v>
      </c>
    </row>
    <row r="728" spans="1:12" x14ac:dyDescent="0.25">
      <c r="A728" s="7">
        <v>44937</v>
      </c>
      <c r="B728" t="s">
        <v>17</v>
      </c>
      <c r="C728" s="6">
        <v>2420</v>
      </c>
      <c r="D728" s="5" t="s">
        <v>50</v>
      </c>
      <c r="E728" s="1">
        <v>0.3034722222222222</v>
      </c>
      <c r="F728" s="1">
        <v>0.375</v>
      </c>
      <c r="G728" s="9">
        <f t="shared" si="76"/>
        <v>44935</v>
      </c>
      <c r="H728" s="11">
        <f t="shared" si="77"/>
        <v>1.7</v>
      </c>
      <c r="I728" s="10">
        <f t="shared" si="78"/>
        <v>1.7</v>
      </c>
      <c r="J728" s="10">
        <f t="shared" si="79"/>
        <v>7.2</v>
      </c>
      <c r="K728" s="10">
        <f t="shared" si="80"/>
        <v>16.7</v>
      </c>
      <c r="L728" s="10">
        <f t="shared" si="81"/>
        <v>52.7</v>
      </c>
    </row>
    <row r="729" spans="1:12" x14ac:dyDescent="0.25">
      <c r="A729" s="7">
        <v>44937</v>
      </c>
      <c r="B729" t="s">
        <v>17</v>
      </c>
      <c r="C729" s="6">
        <v>2420</v>
      </c>
      <c r="D729" s="5" t="s">
        <v>44</v>
      </c>
      <c r="E729" s="1">
        <v>0.375</v>
      </c>
      <c r="F729" s="1">
        <v>0.40833333333333338</v>
      </c>
      <c r="G729" s="9">
        <f t="shared" si="76"/>
        <v>44935</v>
      </c>
      <c r="H729" s="11">
        <f t="shared" si="77"/>
        <v>0.8</v>
      </c>
      <c r="I729" s="10">
        <f t="shared" si="78"/>
        <v>2.5</v>
      </c>
      <c r="J729" s="10">
        <f t="shared" si="79"/>
        <v>7.2</v>
      </c>
      <c r="K729" s="10">
        <f t="shared" si="80"/>
        <v>17.5</v>
      </c>
      <c r="L729" s="10">
        <f t="shared" si="81"/>
        <v>53.5</v>
      </c>
    </row>
    <row r="730" spans="1:12" x14ac:dyDescent="0.25">
      <c r="A730" s="7">
        <v>44937</v>
      </c>
      <c r="B730" t="s">
        <v>17</v>
      </c>
      <c r="C730" s="6">
        <v>2420</v>
      </c>
      <c r="D730" s="5" t="s">
        <v>50</v>
      </c>
      <c r="E730" s="1">
        <v>0.40833333333333338</v>
      </c>
      <c r="F730" s="1">
        <v>0.41875000000000001</v>
      </c>
      <c r="G730" s="9">
        <f t="shared" si="76"/>
        <v>44935</v>
      </c>
      <c r="H730" s="11">
        <f t="shared" si="77"/>
        <v>0.2</v>
      </c>
      <c r="I730" s="10">
        <f t="shared" si="78"/>
        <v>2.7</v>
      </c>
      <c r="J730" s="10">
        <f t="shared" si="79"/>
        <v>7.2</v>
      </c>
      <c r="K730" s="10">
        <f t="shared" si="80"/>
        <v>17.7</v>
      </c>
      <c r="L730" s="10">
        <f t="shared" si="81"/>
        <v>53.7</v>
      </c>
    </row>
    <row r="731" spans="1:12" x14ac:dyDescent="0.25">
      <c r="A731" s="7">
        <v>44937</v>
      </c>
      <c r="B731" t="s">
        <v>17</v>
      </c>
      <c r="C731" s="6">
        <v>2420</v>
      </c>
      <c r="D731" s="5" t="s">
        <v>50</v>
      </c>
      <c r="E731" s="1">
        <v>0.43472222222222223</v>
      </c>
      <c r="F731" s="1">
        <v>0.50208333333333333</v>
      </c>
      <c r="G731" s="9">
        <f t="shared" si="76"/>
        <v>44935</v>
      </c>
      <c r="H731" s="11">
        <f t="shared" si="77"/>
        <v>1.6</v>
      </c>
      <c r="I731" s="10">
        <f t="shared" si="78"/>
        <v>4.3000000000000007</v>
      </c>
      <c r="J731" s="10">
        <f t="shared" si="79"/>
        <v>7.2</v>
      </c>
      <c r="K731" s="10">
        <f t="shared" si="80"/>
        <v>19.3</v>
      </c>
      <c r="L731" s="10">
        <f t="shared" si="81"/>
        <v>55.300000000000004</v>
      </c>
    </row>
    <row r="732" spans="1:12" x14ac:dyDescent="0.25">
      <c r="A732" s="7">
        <v>44937</v>
      </c>
      <c r="B732" t="s">
        <v>19</v>
      </c>
      <c r="C732" s="6">
        <v>2675</v>
      </c>
      <c r="D732" s="5" t="s">
        <v>136</v>
      </c>
      <c r="E732" s="1">
        <v>0.50208333333333333</v>
      </c>
      <c r="F732" s="1">
        <v>0.61527777777777781</v>
      </c>
      <c r="G732" s="9">
        <f t="shared" si="74"/>
        <v>44935</v>
      </c>
      <c r="H732" s="11">
        <f t="shared" si="75"/>
        <v>2.7</v>
      </c>
      <c r="I732" s="10">
        <f t="shared" si="71"/>
        <v>7</v>
      </c>
      <c r="J732" s="10">
        <f t="shared" si="72"/>
        <v>7.2</v>
      </c>
      <c r="K732" s="10">
        <f t="shared" si="73"/>
        <v>22</v>
      </c>
      <c r="L732" s="10">
        <f t="shared" ref="L732:L772" si="82">IF(H732="",H732,H732+IF(MONTH(A732)=MONTH(A731),_xlfn.NUMBERVALUE(L731),0))</f>
        <v>58</v>
      </c>
    </row>
    <row r="733" spans="1:12" x14ac:dyDescent="0.25">
      <c r="A733" s="7">
        <v>44938</v>
      </c>
      <c r="B733" t="s">
        <v>19</v>
      </c>
      <c r="C733" s="6">
        <v>2675</v>
      </c>
      <c r="D733" s="5" t="s">
        <v>248</v>
      </c>
      <c r="E733" s="1">
        <v>0.34027777777777773</v>
      </c>
      <c r="F733" s="1">
        <v>0.50416666666666665</v>
      </c>
      <c r="G733" s="9">
        <f t="shared" si="74"/>
        <v>44935</v>
      </c>
      <c r="H733" s="11">
        <f t="shared" si="75"/>
        <v>3.9</v>
      </c>
      <c r="I733" s="10">
        <f t="shared" si="71"/>
        <v>3.9</v>
      </c>
      <c r="J733" s="10">
        <f t="shared" si="72"/>
        <v>7.2</v>
      </c>
      <c r="K733" s="10">
        <f t="shared" si="73"/>
        <v>25.9</v>
      </c>
      <c r="L733" s="10">
        <f t="shared" si="82"/>
        <v>61.9</v>
      </c>
    </row>
    <row r="734" spans="1:12" x14ac:dyDescent="0.25">
      <c r="A734" s="7">
        <v>44938</v>
      </c>
      <c r="B734" t="s">
        <v>19</v>
      </c>
      <c r="C734" s="6">
        <v>2675</v>
      </c>
      <c r="D734" s="5" t="s">
        <v>248</v>
      </c>
      <c r="E734" s="1">
        <v>0.52013888888888882</v>
      </c>
      <c r="F734" s="1">
        <v>0.58333333333333337</v>
      </c>
      <c r="G734" s="9">
        <f t="shared" si="74"/>
        <v>44935</v>
      </c>
      <c r="H734" s="11">
        <f t="shared" si="75"/>
        <v>1.5</v>
      </c>
      <c r="I734" s="10">
        <f t="shared" si="71"/>
        <v>5.4</v>
      </c>
      <c r="J734" s="10">
        <f t="shared" si="72"/>
        <v>7.2</v>
      </c>
      <c r="K734" s="10">
        <f t="shared" si="73"/>
        <v>27.4</v>
      </c>
      <c r="L734" s="10">
        <f t="shared" si="82"/>
        <v>63.4</v>
      </c>
    </row>
    <row r="735" spans="1:12" x14ac:dyDescent="0.25">
      <c r="A735" s="7">
        <v>44938</v>
      </c>
      <c r="B735" t="s">
        <v>17</v>
      </c>
      <c r="C735" s="6">
        <v>2420</v>
      </c>
      <c r="D735" s="5" t="s">
        <v>44</v>
      </c>
      <c r="E735" s="1">
        <v>0.58333333333333337</v>
      </c>
      <c r="F735" s="1">
        <v>0.63750000000000007</v>
      </c>
      <c r="G735" s="9">
        <f t="shared" si="74"/>
        <v>44935</v>
      </c>
      <c r="H735" s="11">
        <f t="shared" si="75"/>
        <v>1.3</v>
      </c>
      <c r="I735" s="10">
        <f t="shared" si="71"/>
        <v>6.7</v>
      </c>
      <c r="J735" s="10">
        <f t="shared" si="72"/>
        <v>7.2</v>
      </c>
      <c r="K735" s="10">
        <f t="shared" si="73"/>
        <v>28.7</v>
      </c>
      <c r="L735" s="10">
        <f t="shared" si="82"/>
        <v>64.7</v>
      </c>
    </row>
    <row r="736" spans="1:12" x14ac:dyDescent="0.25">
      <c r="A736" s="7">
        <v>44939</v>
      </c>
      <c r="B736" t="s">
        <v>17</v>
      </c>
      <c r="C736" s="6">
        <v>2420</v>
      </c>
      <c r="D736" s="5" t="s">
        <v>249</v>
      </c>
      <c r="E736" s="1">
        <v>0.32708333333333334</v>
      </c>
      <c r="F736" s="1">
        <v>0.43263888888888885</v>
      </c>
      <c r="G736" s="9">
        <f t="shared" si="74"/>
        <v>44935</v>
      </c>
      <c r="H736" s="11">
        <f t="shared" si="75"/>
        <v>2.5</v>
      </c>
      <c r="I736" s="10">
        <f t="shared" si="71"/>
        <v>2.5</v>
      </c>
      <c r="J736" s="10">
        <f t="shared" si="72"/>
        <v>7.2</v>
      </c>
      <c r="K736" s="10">
        <f t="shared" si="73"/>
        <v>31.2</v>
      </c>
      <c r="L736" s="10">
        <f t="shared" si="82"/>
        <v>67.2</v>
      </c>
    </row>
    <row r="737" spans="1:12" x14ac:dyDescent="0.25">
      <c r="A737" s="7">
        <v>44939</v>
      </c>
      <c r="B737" t="s">
        <v>19</v>
      </c>
      <c r="C737" s="6">
        <v>2675</v>
      </c>
      <c r="D737" s="5" t="s">
        <v>248</v>
      </c>
      <c r="E737" s="1">
        <v>0.43263888888888885</v>
      </c>
      <c r="F737" s="1">
        <v>0.5756944444444444</v>
      </c>
      <c r="G737" s="9">
        <f t="shared" si="74"/>
        <v>44935</v>
      </c>
      <c r="H737" s="11">
        <f t="shared" si="75"/>
        <v>3.4</v>
      </c>
      <c r="I737" s="10">
        <f t="shared" si="71"/>
        <v>5.9</v>
      </c>
      <c r="J737" s="10">
        <f t="shared" si="72"/>
        <v>7.2</v>
      </c>
      <c r="K737" s="10">
        <f t="shared" si="73"/>
        <v>34.6</v>
      </c>
      <c r="L737" s="10">
        <f t="shared" si="82"/>
        <v>70.600000000000009</v>
      </c>
    </row>
    <row r="738" spans="1:12" x14ac:dyDescent="0.25">
      <c r="A738" s="7">
        <v>44942</v>
      </c>
      <c r="B738" t="s">
        <v>19</v>
      </c>
      <c r="C738" s="6">
        <v>2675</v>
      </c>
      <c r="D738" s="5" t="s">
        <v>248</v>
      </c>
      <c r="E738" s="1">
        <v>0.28958333333333336</v>
      </c>
      <c r="F738" s="1">
        <v>0.37708333333333338</v>
      </c>
      <c r="G738" s="9">
        <f t="shared" si="74"/>
        <v>44942</v>
      </c>
      <c r="H738" s="11">
        <f t="shared" si="75"/>
        <v>2.1</v>
      </c>
      <c r="I738" s="10">
        <f t="shared" si="71"/>
        <v>2.1</v>
      </c>
      <c r="J738" s="10">
        <f t="shared" si="72"/>
        <v>7.2</v>
      </c>
      <c r="K738" s="10">
        <f t="shared" si="73"/>
        <v>2.1</v>
      </c>
      <c r="L738" s="10">
        <f t="shared" si="82"/>
        <v>72.699999999999989</v>
      </c>
    </row>
    <row r="739" spans="1:12" x14ac:dyDescent="0.25">
      <c r="A739" s="7">
        <v>44942</v>
      </c>
      <c r="B739" s="2" t="s">
        <v>6</v>
      </c>
      <c r="C739" s="24" t="s">
        <v>416</v>
      </c>
      <c r="D739" s="5" t="s">
        <v>112</v>
      </c>
      <c r="E739" s="1">
        <v>0.44375000000000003</v>
      </c>
      <c r="F739" s="1">
        <v>0.50277777777777777</v>
      </c>
      <c r="G739" s="9">
        <f t="shared" si="74"/>
        <v>44942</v>
      </c>
      <c r="H739" s="11">
        <f t="shared" si="75"/>
        <v>1.4</v>
      </c>
      <c r="I739" s="10">
        <f t="shared" si="71"/>
        <v>3.5</v>
      </c>
      <c r="J739" s="10">
        <f t="shared" si="72"/>
        <v>7.2</v>
      </c>
      <c r="K739" s="10">
        <f t="shared" si="73"/>
        <v>3.5</v>
      </c>
      <c r="L739" s="10">
        <f t="shared" si="82"/>
        <v>74.100000000000009</v>
      </c>
    </row>
    <row r="740" spans="1:12" x14ac:dyDescent="0.25">
      <c r="A740" s="7">
        <v>44942</v>
      </c>
      <c r="B740" t="s">
        <v>19</v>
      </c>
      <c r="C740" s="6">
        <v>2675</v>
      </c>
      <c r="D740" s="5" t="s">
        <v>248</v>
      </c>
      <c r="E740" s="1">
        <v>0.50277777777777777</v>
      </c>
      <c r="F740" s="1">
        <v>0.50624999999999998</v>
      </c>
      <c r="G740" s="9">
        <f t="shared" si="74"/>
        <v>44942</v>
      </c>
      <c r="H740" s="11">
        <f t="shared" si="75"/>
        <v>0.1</v>
      </c>
      <c r="I740" s="10">
        <f t="shared" si="71"/>
        <v>3.6</v>
      </c>
      <c r="J740" s="10">
        <f t="shared" si="72"/>
        <v>7.2</v>
      </c>
      <c r="K740" s="10">
        <f t="shared" si="73"/>
        <v>3.6</v>
      </c>
      <c r="L740" s="10">
        <f t="shared" si="82"/>
        <v>74.199999999999989</v>
      </c>
    </row>
    <row r="741" spans="1:12" x14ac:dyDescent="0.25">
      <c r="A741" s="7">
        <v>44942</v>
      </c>
      <c r="B741" t="s">
        <v>19</v>
      </c>
      <c r="C741" s="6">
        <v>2675</v>
      </c>
      <c r="D741" s="5" t="s">
        <v>248</v>
      </c>
      <c r="E741" s="1">
        <v>0.5229166666666667</v>
      </c>
      <c r="F741" s="1">
        <v>0.65208333333333335</v>
      </c>
      <c r="G741" s="9">
        <f t="shared" si="74"/>
        <v>44942</v>
      </c>
      <c r="H741" s="11">
        <f t="shared" si="75"/>
        <v>3.1</v>
      </c>
      <c r="I741" s="10">
        <f t="shared" si="71"/>
        <v>6.7</v>
      </c>
      <c r="J741" s="10">
        <f t="shared" si="72"/>
        <v>7.2</v>
      </c>
      <c r="K741" s="10">
        <f t="shared" si="73"/>
        <v>6.7</v>
      </c>
      <c r="L741" s="10">
        <f t="shared" si="82"/>
        <v>77.3</v>
      </c>
    </row>
    <row r="742" spans="1:12" x14ac:dyDescent="0.25">
      <c r="A742" s="7">
        <v>44943</v>
      </c>
      <c r="B742" t="s">
        <v>250</v>
      </c>
      <c r="C742" s="6" t="s">
        <v>417</v>
      </c>
      <c r="D742" s="5" t="s">
        <v>251</v>
      </c>
      <c r="E742" s="1">
        <v>0.34722222222222227</v>
      </c>
      <c r="F742" s="1">
        <v>0.52708333333333335</v>
      </c>
      <c r="G742" s="9">
        <f t="shared" si="74"/>
        <v>44942</v>
      </c>
      <c r="H742" s="11">
        <f t="shared" si="75"/>
        <v>4.3</v>
      </c>
      <c r="I742" s="10">
        <f t="shared" si="71"/>
        <v>4.3</v>
      </c>
      <c r="J742" s="10">
        <f t="shared" si="72"/>
        <v>7.2</v>
      </c>
      <c r="K742" s="10">
        <f t="shared" si="73"/>
        <v>11</v>
      </c>
      <c r="L742" s="10">
        <f t="shared" si="82"/>
        <v>81.599999999999994</v>
      </c>
    </row>
    <row r="743" spans="1:12" x14ac:dyDescent="0.25">
      <c r="A743" s="7">
        <v>44943</v>
      </c>
      <c r="B743" t="s">
        <v>17</v>
      </c>
      <c r="C743" s="6">
        <v>2420</v>
      </c>
      <c r="D743" s="5" t="s">
        <v>171</v>
      </c>
      <c r="E743" s="1">
        <v>0.52708333333333335</v>
      </c>
      <c r="F743" s="1">
        <v>0.55069444444444449</v>
      </c>
      <c r="G743" s="9">
        <f t="shared" si="74"/>
        <v>44942</v>
      </c>
      <c r="H743" s="11">
        <f t="shared" si="75"/>
        <v>0.6</v>
      </c>
      <c r="I743" s="10">
        <f t="shared" si="71"/>
        <v>4.8999999999999995</v>
      </c>
      <c r="J743" s="10">
        <f t="shared" si="72"/>
        <v>7.2</v>
      </c>
      <c r="K743" s="10">
        <f t="shared" si="73"/>
        <v>11.6</v>
      </c>
      <c r="L743" s="10">
        <f t="shared" si="82"/>
        <v>82.199999999999989</v>
      </c>
    </row>
    <row r="744" spans="1:12" x14ac:dyDescent="0.25">
      <c r="A744" s="7">
        <v>44943</v>
      </c>
      <c r="B744" t="s">
        <v>250</v>
      </c>
      <c r="C744" s="6" t="s">
        <v>417</v>
      </c>
      <c r="D744" s="5" t="s">
        <v>251</v>
      </c>
      <c r="E744" s="1">
        <v>0.55069444444444449</v>
      </c>
      <c r="F744" s="1">
        <v>0.61597222222222225</v>
      </c>
      <c r="G744" s="9">
        <f t="shared" si="74"/>
        <v>44942</v>
      </c>
      <c r="H744" s="11">
        <f t="shared" si="75"/>
        <v>1.6</v>
      </c>
      <c r="I744" s="10">
        <f t="shared" si="71"/>
        <v>6.5</v>
      </c>
      <c r="J744" s="10">
        <f t="shared" si="72"/>
        <v>7.2</v>
      </c>
      <c r="K744" s="10">
        <f t="shared" si="73"/>
        <v>13.2</v>
      </c>
      <c r="L744" s="10">
        <f t="shared" si="82"/>
        <v>83.8</v>
      </c>
    </row>
    <row r="745" spans="1:12" x14ac:dyDescent="0.25">
      <c r="A745" s="7">
        <v>44944</v>
      </c>
      <c r="B745" t="s">
        <v>250</v>
      </c>
      <c r="C745" s="6" t="s">
        <v>417</v>
      </c>
      <c r="D745" s="5" t="s">
        <v>251</v>
      </c>
      <c r="E745" s="1">
        <v>0.32777777777777778</v>
      </c>
      <c r="F745" s="1">
        <v>0.45833333333333331</v>
      </c>
      <c r="G745" s="9">
        <f t="shared" si="74"/>
        <v>44942</v>
      </c>
      <c r="H745" s="11">
        <f t="shared" si="75"/>
        <v>3.1</v>
      </c>
      <c r="I745" s="10">
        <f t="shared" si="71"/>
        <v>3.1</v>
      </c>
      <c r="J745" s="10">
        <f t="shared" si="72"/>
        <v>7.2</v>
      </c>
      <c r="K745" s="10">
        <f t="shared" si="73"/>
        <v>16.3</v>
      </c>
      <c r="L745" s="10">
        <f t="shared" si="82"/>
        <v>86.899999999999991</v>
      </c>
    </row>
    <row r="746" spans="1:12" x14ac:dyDescent="0.25">
      <c r="A746" s="7">
        <v>44944</v>
      </c>
      <c r="B746" s="2" t="s">
        <v>464</v>
      </c>
      <c r="C746" s="6">
        <v>2431</v>
      </c>
      <c r="D746" s="5" t="s">
        <v>252</v>
      </c>
      <c r="E746" s="1">
        <v>0.45833333333333331</v>
      </c>
      <c r="F746" s="1">
        <v>0.50277777777777777</v>
      </c>
      <c r="G746" s="9">
        <f t="shared" si="74"/>
        <v>44942</v>
      </c>
      <c r="H746" s="11">
        <f t="shared" si="75"/>
        <v>1.1000000000000001</v>
      </c>
      <c r="I746" s="10">
        <f t="shared" si="71"/>
        <v>4.2</v>
      </c>
      <c r="J746" s="10">
        <f t="shared" si="72"/>
        <v>7.2</v>
      </c>
      <c r="K746" s="10">
        <f t="shared" si="73"/>
        <v>17.400000000000002</v>
      </c>
      <c r="L746" s="10">
        <f t="shared" si="82"/>
        <v>88</v>
      </c>
    </row>
    <row r="747" spans="1:12" x14ac:dyDescent="0.25">
      <c r="A747" s="7">
        <v>44944</v>
      </c>
      <c r="B747" t="s">
        <v>250</v>
      </c>
      <c r="C747" s="6" t="s">
        <v>417</v>
      </c>
      <c r="D747" s="5" t="s">
        <v>251</v>
      </c>
      <c r="E747" s="1">
        <v>0.50277777777777777</v>
      </c>
      <c r="F747" s="1">
        <v>0.52013888888888882</v>
      </c>
      <c r="G747" s="9">
        <f t="shared" si="74"/>
        <v>44942</v>
      </c>
      <c r="H747" s="11">
        <f t="shared" si="75"/>
        <v>0.4</v>
      </c>
      <c r="I747" s="10">
        <f t="shared" si="71"/>
        <v>4.6000000000000005</v>
      </c>
      <c r="J747" s="10">
        <f t="shared" si="72"/>
        <v>7.2</v>
      </c>
      <c r="K747" s="10">
        <f t="shared" si="73"/>
        <v>17.799999999999997</v>
      </c>
      <c r="L747" s="10">
        <f t="shared" si="82"/>
        <v>88.4</v>
      </c>
    </row>
    <row r="748" spans="1:12" x14ac:dyDescent="0.25">
      <c r="A748" s="7">
        <v>44944</v>
      </c>
      <c r="B748" t="s">
        <v>250</v>
      </c>
      <c r="C748" s="6" t="s">
        <v>417</v>
      </c>
      <c r="D748" s="5" t="s">
        <v>251</v>
      </c>
      <c r="E748" s="1">
        <v>0.5444444444444444</v>
      </c>
      <c r="F748" s="1">
        <v>0.58333333333333337</v>
      </c>
      <c r="G748" s="9">
        <f t="shared" si="74"/>
        <v>44942</v>
      </c>
      <c r="H748" s="11">
        <f t="shared" si="75"/>
        <v>0.9</v>
      </c>
      <c r="I748" s="10">
        <f t="shared" si="71"/>
        <v>5.5</v>
      </c>
      <c r="J748" s="10">
        <f t="shared" si="72"/>
        <v>7.2</v>
      </c>
      <c r="K748" s="10">
        <f t="shared" si="73"/>
        <v>18.7</v>
      </c>
      <c r="L748" s="10">
        <f t="shared" si="82"/>
        <v>89.300000000000011</v>
      </c>
    </row>
    <row r="749" spans="1:12" x14ac:dyDescent="0.25">
      <c r="A749" s="7">
        <v>44944</v>
      </c>
      <c r="B749" t="s">
        <v>19</v>
      </c>
      <c r="C749" s="6">
        <v>2675</v>
      </c>
      <c r="D749" s="5" t="s">
        <v>253</v>
      </c>
      <c r="E749" s="1">
        <v>0.58333333333333337</v>
      </c>
      <c r="F749" s="1">
        <v>0.625</v>
      </c>
      <c r="G749" s="9">
        <f t="shared" si="74"/>
        <v>44942</v>
      </c>
      <c r="H749" s="11">
        <f t="shared" si="75"/>
        <v>1</v>
      </c>
      <c r="I749" s="10">
        <f t="shared" si="71"/>
        <v>6.5</v>
      </c>
      <c r="J749" s="10">
        <f t="shared" si="72"/>
        <v>7.2</v>
      </c>
      <c r="K749" s="10">
        <f t="shared" si="73"/>
        <v>19.7</v>
      </c>
      <c r="L749" s="10">
        <f t="shared" si="82"/>
        <v>90.3</v>
      </c>
    </row>
    <row r="750" spans="1:12" x14ac:dyDescent="0.25">
      <c r="A750" s="7">
        <v>44944</v>
      </c>
      <c r="B750" t="s">
        <v>250</v>
      </c>
      <c r="C750" s="6" t="s">
        <v>417</v>
      </c>
      <c r="D750" s="5" t="s">
        <v>251</v>
      </c>
      <c r="E750" s="1">
        <v>0.625</v>
      </c>
      <c r="F750" s="1">
        <v>0.67152777777777783</v>
      </c>
      <c r="G750" s="9">
        <f t="shared" si="74"/>
        <v>44942</v>
      </c>
      <c r="H750" s="11">
        <f t="shared" si="75"/>
        <v>1.1000000000000001</v>
      </c>
      <c r="I750" s="10">
        <f t="shared" si="71"/>
        <v>7.6</v>
      </c>
      <c r="J750" s="10">
        <f t="shared" si="72"/>
        <v>7.2</v>
      </c>
      <c r="K750" s="10">
        <f t="shared" si="73"/>
        <v>20.8</v>
      </c>
      <c r="L750" s="10">
        <f t="shared" si="82"/>
        <v>91.399999999999991</v>
      </c>
    </row>
    <row r="751" spans="1:12" x14ac:dyDescent="0.25">
      <c r="A751" s="7">
        <v>44945</v>
      </c>
      <c r="B751" t="s">
        <v>250</v>
      </c>
      <c r="C751" s="6" t="s">
        <v>417</v>
      </c>
      <c r="D751" s="5" t="s">
        <v>251</v>
      </c>
      <c r="E751" s="1">
        <v>0.375</v>
      </c>
      <c r="F751" s="1">
        <v>0.58333333333333337</v>
      </c>
      <c r="G751" s="9">
        <f t="shared" si="74"/>
        <v>44942</v>
      </c>
      <c r="H751" s="11">
        <f t="shared" si="75"/>
        <v>5</v>
      </c>
      <c r="I751" s="10">
        <f t="shared" si="71"/>
        <v>5</v>
      </c>
      <c r="J751" s="10">
        <f t="shared" si="72"/>
        <v>7.2</v>
      </c>
      <c r="K751" s="10">
        <f t="shared" si="73"/>
        <v>25.8</v>
      </c>
      <c r="L751" s="10">
        <f t="shared" si="82"/>
        <v>96.4</v>
      </c>
    </row>
    <row r="752" spans="1:12" x14ac:dyDescent="0.25">
      <c r="A752" s="7">
        <v>44945</v>
      </c>
      <c r="B752" t="s">
        <v>19</v>
      </c>
      <c r="C752" s="6">
        <v>2675</v>
      </c>
      <c r="D752" s="5" t="s">
        <v>253</v>
      </c>
      <c r="E752" s="1">
        <v>0.58333333333333337</v>
      </c>
      <c r="F752" s="1">
        <v>0.62916666666666665</v>
      </c>
      <c r="G752" s="9">
        <f t="shared" si="74"/>
        <v>44942</v>
      </c>
      <c r="H752" s="11">
        <f t="shared" si="75"/>
        <v>1.1000000000000001</v>
      </c>
      <c r="I752" s="10">
        <f t="shared" si="71"/>
        <v>6.1</v>
      </c>
      <c r="J752" s="10">
        <f t="shared" si="72"/>
        <v>7.2</v>
      </c>
      <c r="K752" s="10">
        <f t="shared" si="73"/>
        <v>26.900000000000002</v>
      </c>
      <c r="L752" s="10">
        <f t="shared" si="82"/>
        <v>97.5</v>
      </c>
    </row>
    <row r="753" spans="1:12" x14ac:dyDescent="0.25">
      <c r="A753" s="7">
        <v>44945</v>
      </c>
      <c r="B753" t="s">
        <v>19</v>
      </c>
      <c r="C753" s="6">
        <v>2675</v>
      </c>
      <c r="D753" s="5" t="s">
        <v>136</v>
      </c>
      <c r="E753" s="1">
        <v>0.62916666666666665</v>
      </c>
      <c r="F753" s="1">
        <v>0.64166666666666672</v>
      </c>
      <c r="G753" s="9">
        <f t="shared" si="74"/>
        <v>44942</v>
      </c>
      <c r="H753" s="11">
        <f t="shared" si="75"/>
        <v>0.3</v>
      </c>
      <c r="I753" s="10">
        <f t="shared" si="71"/>
        <v>6.3999999999999995</v>
      </c>
      <c r="J753" s="10">
        <f t="shared" si="72"/>
        <v>7.2</v>
      </c>
      <c r="K753" s="10">
        <f t="shared" si="73"/>
        <v>27.2</v>
      </c>
      <c r="L753" s="10">
        <f t="shared" si="82"/>
        <v>97.8</v>
      </c>
    </row>
    <row r="754" spans="1:12" x14ac:dyDescent="0.25">
      <c r="A754" s="7">
        <v>44946</v>
      </c>
      <c r="B754" t="s">
        <v>250</v>
      </c>
      <c r="C754" s="6" t="s">
        <v>417</v>
      </c>
      <c r="D754" s="5" t="s">
        <v>254</v>
      </c>
      <c r="E754" s="1">
        <v>0.34375</v>
      </c>
      <c r="F754" s="1">
        <v>0.41666666666666669</v>
      </c>
      <c r="G754" s="9">
        <f t="shared" si="74"/>
        <v>44942</v>
      </c>
      <c r="H754" s="11">
        <f t="shared" si="75"/>
        <v>1.8</v>
      </c>
      <c r="I754" s="10">
        <f t="shared" si="71"/>
        <v>1.8</v>
      </c>
      <c r="J754" s="10">
        <f t="shared" si="72"/>
        <v>7.2</v>
      </c>
      <c r="K754" s="10">
        <f t="shared" si="73"/>
        <v>29</v>
      </c>
      <c r="L754" s="10">
        <f t="shared" si="82"/>
        <v>99.6</v>
      </c>
    </row>
    <row r="755" spans="1:12" x14ac:dyDescent="0.25">
      <c r="A755" s="7">
        <v>44946</v>
      </c>
      <c r="B755" t="s">
        <v>250</v>
      </c>
      <c r="C755" s="6" t="s">
        <v>417</v>
      </c>
      <c r="D755" s="5" t="s">
        <v>255</v>
      </c>
      <c r="E755" s="1">
        <v>0.41666666666666669</v>
      </c>
      <c r="F755" s="1">
        <v>0.44930555555555557</v>
      </c>
      <c r="G755" s="9">
        <f t="shared" si="74"/>
        <v>44942</v>
      </c>
      <c r="H755" s="11">
        <f t="shared" si="75"/>
        <v>0.8</v>
      </c>
      <c r="I755" s="10">
        <f t="shared" si="71"/>
        <v>2.6</v>
      </c>
      <c r="J755" s="10">
        <f t="shared" si="72"/>
        <v>7.2</v>
      </c>
      <c r="K755" s="10">
        <f t="shared" si="73"/>
        <v>29.8</v>
      </c>
      <c r="L755" s="10">
        <f t="shared" si="82"/>
        <v>100.39999999999999</v>
      </c>
    </row>
    <row r="756" spans="1:12" x14ac:dyDescent="0.25">
      <c r="A756" s="7">
        <v>44946</v>
      </c>
      <c r="B756" t="s">
        <v>250</v>
      </c>
      <c r="C756" s="6" t="s">
        <v>417</v>
      </c>
      <c r="D756" s="5" t="s">
        <v>254</v>
      </c>
      <c r="E756" s="1">
        <v>0.44930555555555557</v>
      </c>
      <c r="F756" s="1">
        <v>0.51111111111111118</v>
      </c>
      <c r="G756" s="9">
        <f t="shared" si="74"/>
        <v>44942</v>
      </c>
      <c r="H756" s="11">
        <f t="shared" si="75"/>
        <v>1.5</v>
      </c>
      <c r="I756" s="10">
        <f t="shared" si="71"/>
        <v>4.0999999999999996</v>
      </c>
      <c r="J756" s="10">
        <f t="shared" si="72"/>
        <v>7.2</v>
      </c>
      <c r="K756" s="10">
        <f t="shared" si="73"/>
        <v>31.3</v>
      </c>
      <c r="L756" s="10">
        <f t="shared" si="82"/>
        <v>101.9</v>
      </c>
    </row>
    <row r="757" spans="1:12" x14ac:dyDescent="0.25">
      <c r="A757" s="7">
        <v>44946</v>
      </c>
      <c r="B757" t="s">
        <v>250</v>
      </c>
      <c r="C757" s="6" t="s">
        <v>417</v>
      </c>
      <c r="D757" s="5" t="s">
        <v>255</v>
      </c>
      <c r="E757" s="1">
        <v>0.51111111111111118</v>
      </c>
      <c r="F757" s="1">
        <v>0.54305555555555551</v>
      </c>
      <c r="G757" s="9">
        <f t="shared" si="74"/>
        <v>44942</v>
      </c>
      <c r="H757" s="11">
        <f t="shared" si="75"/>
        <v>0.8</v>
      </c>
      <c r="I757" s="10">
        <f t="shared" si="71"/>
        <v>4.8999999999999995</v>
      </c>
      <c r="J757" s="10">
        <f t="shared" si="72"/>
        <v>7.2</v>
      </c>
      <c r="K757" s="10">
        <f t="shared" si="73"/>
        <v>32.1</v>
      </c>
      <c r="L757" s="10">
        <f t="shared" si="82"/>
        <v>102.7</v>
      </c>
    </row>
    <row r="758" spans="1:12" x14ac:dyDescent="0.25">
      <c r="A758" s="7">
        <v>44946</v>
      </c>
      <c r="B758" t="s">
        <v>250</v>
      </c>
      <c r="C758" s="6" t="s">
        <v>417</v>
      </c>
      <c r="D758" s="5" t="s">
        <v>254</v>
      </c>
      <c r="E758" s="1">
        <v>0.56111111111111112</v>
      </c>
      <c r="F758" s="1">
        <v>0.65208333333333335</v>
      </c>
      <c r="G758" s="9">
        <f t="shared" si="74"/>
        <v>44942</v>
      </c>
      <c r="H758" s="11">
        <f t="shared" si="75"/>
        <v>2.2000000000000002</v>
      </c>
      <c r="I758" s="10">
        <f t="shared" si="71"/>
        <v>7.1000000000000005</v>
      </c>
      <c r="J758" s="10">
        <f t="shared" si="72"/>
        <v>7.2</v>
      </c>
      <c r="K758" s="10">
        <f t="shared" si="73"/>
        <v>34.300000000000004</v>
      </c>
      <c r="L758" s="10">
        <f t="shared" si="82"/>
        <v>104.9</v>
      </c>
    </row>
    <row r="759" spans="1:12" x14ac:dyDescent="0.25">
      <c r="A759" s="7">
        <v>44949</v>
      </c>
      <c r="B759" t="s">
        <v>19</v>
      </c>
      <c r="C759" s="6">
        <v>2675</v>
      </c>
      <c r="D759" s="5" t="s">
        <v>256</v>
      </c>
      <c r="E759" s="1">
        <v>0.32361111111111113</v>
      </c>
      <c r="F759" s="1">
        <v>0.49374999999999997</v>
      </c>
      <c r="G759" s="9">
        <f t="shared" si="74"/>
        <v>44949</v>
      </c>
      <c r="H759" s="11">
        <f t="shared" si="75"/>
        <v>4.0999999999999996</v>
      </c>
      <c r="I759" s="10">
        <f t="shared" si="71"/>
        <v>4.0999999999999996</v>
      </c>
      <c r="J759" s="10">
        <f t="shared" si="72"/>
        <v>7.2</v>
      </c>
      <c r="K759" s="10">
        <f t="shared" si="73"/>
        <v>4.0999999999999996</v>
      </c>
      <c r="L759" s="10">
        <f t="shared" si="82"/>
        <v>109</v>
      </c>
    </row>
    <row r="760" spans="1:12" x14ac:dyDescent="0.25">
      <c r="A760" s="7">
        <v>44949</v>
      </c>
      <c r="B760" t="s">
        <v>19</v>
      </c>
      <c r="C760" s="6">
        <v>2675</v>
      </c>
      <c r="D760" s="5" t="s">
        <v>256</v>
      </c>
      <c r="E760" s="1">
        <v>0.50486111111111109</v>
      </c>
      <c r="F760" s="1">
        <v>0.63194444444444442</v>
      </c>
      <c r="G760" s="9">
        <f t="shared" si="74"/>
        <v>44949</v>
      </c>
      <c r="H760" s="11">
        <f t="shared" si="75"/>
        <v>3.1</v>
      </c>
      <c r="I760" s="10">
        <f t="shared" si="71"/>
        <v>7.1999999999999993</v>
      </c>
      <c r="J760" s="10">
        <f t="shared" si="72"/>
        <v>7.2</v>
      </c>
      <c r="K760" s="10">
        <f t="shared" si="73"/>
        <v>7.1999999999999993</v>
      </c>
      <c r="L760" s="10">
        <f t="shared" si="82"/>
        <v>112.1</v>
      </c>
    </row>
    <row r="761" spans="1:12" x14ac:dyDescent="0.25">
      <c r="A761" s="7">
        <v>44950</v>
      </c>
      <c r="B761" t="s">
        <v>17</v>
      </c>
      <c r="C761" s="6">
        <v>2420</v>
      </c>
      <c r="D761" s="5" t="s">
        <v>171</v>
      </c>
      <c r="E761" s="1">
        <v>0.31944444444444448</v>
      </c>
      <c r="F761" s="1">
        <v>0.41666666666666669</v>
      </c>
      <c r="G761" s="9">
        <f t="shared" si="74"/>
        <v>44949</v>
      </c>
      <c r="H761" s="11">
        <f t="shared" si="75"/>
        <v>2.2999999999999998</v>
      </c>
      <c r="I761" s="10">
        <f t="shared" si="71"/>
        <v>2.2999999999999998</v>
      </c>
      <c r="J761" s="10">
        <f t="shared" si="72"/>
        <v>7.2</v>
      </c>
      <c r="K761" s="10">
        <f t="shared" si="73"/>
        <v>9.5</v>
      </c>
      <c r="L761" s="10">
        <f t="shared" si="82"/>
        <v>114.39999999999999</v>
      </c>
    </row>
    <row r="762" spans="1:12" x14ac:dyDescent="0.25">
      <c r="A762" s="7">
        <v>44950</v>
      </c>
      <c r="B762" t="s">
        <v>250</v>
      </c>
      <c r="C762" s="6" t="s">
        <v>417</v>
      </c>
      <c r="D762" s="5" t="s">
        <v>112</v>
      </c>
      <c r="E762" s="1">
        <v>0.41666666666666669</v>
      </c>
      <c r="F762" s="1">
        <v>0.46249999999999997</v>
      </c>
      <c r="G762" s="9">
        <f t="shared" si="74"/>
        <v>44949</v>
      </c>
      <c r="H762" s="11">
        <f t="shared" si="75"/>
        <v>1.1000000000000001</v>
      </c>
      <c r="I762" s="10">
        <f t="shared" si="71"/>
        <v>3.4</v>
      </c>
      <c r="J762" s="10">
        <f t="shared" si="72"/>
        <v>7.2</v>
      </c>
      <c r="K762" s="10">
        <f t="shared" si="73"/>
        <v>10.6</v>
      </c>
      <c r="L762" s="10">
        <f t="shared" si="82"/>
        <v>115.5</v>
      </c>
    </row>
    <row r="763" spans="1:12" x14ac:dyDescent="0.25">
      <c r="A763" s="7">
        <v>44950</v>
      </c>
      <c r="B763" t="s">
        <v>19</v>
      </c>
      <c r="C763" s="6">
        <v>2675</v>
      </c>
      <c r="D763" s="5" t="s">
        <v>258</v>
      </c>
      <c r="E763" s="1">
        <v>0.46249999999999997</v>
      </c>
      <c r="F763" s="1">
        <v>0.49374999999999997</v>
      </c>
      <c r="G763" s="9">
        <f t="shared" si="74"/>
        <v>44949</v>
      </c>
      <c r="H763" s="11">
        <f t="shared" si="75"/>
        <v>0.8</v>
      </c>
      <c r="I763" s="10">
        <f t="shared" si="71"/>
        <v>4.2</v>
      </c>
      <c r="J763" s="10">
        <f t="shared" si="72"/>
        <v>7.2</v>
      </c>
      <c r="K763" s="10">
        <f t="shared" si="73"/>
        <v>11.4</v>
      </c>
      <c r="L763" s="10">
        <f t="shared" si="82"/>
        <v>116.3</v>
      </c>
    </row>
    <row r="764" spans="1:12" x14ac:dyDescent="0.25">
      <c r="A764" s="7">
        <v>44950</v>
      </c>
      <c r="B764" t="s">
        <v>19</v>
      </c>
      <c r="C764" s="6">
        <v>2675</v>
      </c>
      <c r="D764" s="5" t="s">
        <v>257</v>
      </c>
      <c r="E764" s="1">
        <v>0.52152777777777781</v>
      </c>
      <c r="F764" s="1">
        <v>0.64583333333333337</v>
      </c>
      <c r="G764" s="9">
        <f t="shared" si="74"/>
        <v>44949</v>
      </c>
      <c r="H764" s="11">
        <f t="shared" si="75"/>
        <v>3</v>
      </c>
      <c r="I764" s="10">
        <f t="shared" si="71"/>
        <v>7.2</v>
      </c>
      <c r="J764" s="10">
        <f t="shared" si="72"/>
        <v>7.2</v>
      </c>
      <c r="K764" s="10">
        <f t="shared" si="73"/>
        <v>14.4</v>
      </c>
      <c r="L764" s="10">
        <f t="shared" si="82"/>
        <v>119.3</v>
      </c>
    </row>
    <row r="765" spans="1:12" x14ac:dyDescent="0.25">
      <c r="A765" s="7">
        <v>44951</v>
      </c>
      <c r="B765" t="s">
        <v>17</v>
      </c>
      <c r="C765" s="6">
        <v>2420</v>
      </c>
      <c r="D765" s="5" t="s">
        <v>171</v>
      </c>
      <c r="E765" s="1">
        <v>0.32847222222222222</v>
      </c>
      <c r="F765" s="1">
        <v>0.375</v>
      </c>
      <c r="G765" s="9">
        <f t="shared" si="74"/>
        <v>44949</v>
      </c>
      <c r="H765" s="11">
        <f t="shared" si="75"/>
        <v>1.1000000000000001</v>
      </c>
      <c r="I765" s="10">
        <f t="shared" si="71"/>
        <v>1.1000000000000001</v>
      </c>
      <c r="J765" s="10">
        <f t="shared" si="72"/>
        <v>7.2</v>
      </c>
      <c r="K765" s="10">
        <f t="shared" si="73"/>
        <v>15.5</v>
      </c>
      <c r="L765" s="10">
        <f t="shared" si="82"/>
        <v>120.39999999999999</v>
      </c>
    </row>
    <row r="766" spans="1:12" x14ac:dyDescent="0.25">
      <c r="A766" s="7">
        <v>44951</v>
      </c>
      <c r="B766" t="s">
        <v>19</v>
      </c>
      <c r="C766" s="6">
        <v>2675</v>
      </c>
      <c r="D766" s="5" t="s">
        <v>259</v>
      </c>
      <c r="E766" s="1">
        <v>0.375</v>
      </c>
      <c r="F766" s="1">
        <v>0.42222222222222222</v>
      </c>
      <c r="G766" s="9">
        <f t="shared" si="74"/>
        <v>44949</v>
      </c>
      <c r="H766" s="11">
        <f t="shared" si="75"/>
        <v>1.1000000000000001</v>
      </c>
      <c r="I766" s="10">
        <f t="shared" si="71"/>
        <v>2.2000000000000002</v>
      </c>
      <c r="J766" s="10">
        <f t="shared" si="72"/>
        <v>7.2</v>
      </c>
      <c r="K766" s="10">
        <f t="shared" si="73"/>
        <v>16.600000000000001</v>
      </c>
      <c r="L766" s="10">
        <f t="shared" si="82"/>
        <v>121.5</v>
      </c>
    </row>
    <row r="767" spans="1:12" x14ac:dyDescent="0.25">
      <c r="A767" s="7">
        <v>44951</v>
      </c>
      <c r="B767" t="s">
        <v>19</v>
      </c>
      <c r="C767" s="6">
        <v>2675</v>
      </c>
      <c r="D767" s="5" t="s">
        <v>260</v>
      </c>
      <c r="E767" s="1">
        <v>0.42222222222222222</v>
      </c>
      <c r="F767" s="1">
        <v>0.47291666666666665</v>
      </c>
      <c r="G767" s="9">
        <f t="shared" si="74"/>
        <v>44949</v>
      </c>
      <c r="H767" s="11">
        <f t="shared" si="75"/>
        <v>1.2</v>
      </c>
      <c r="I767" s="10">
        <f t="shared" si="71"/>
        <v>3.4000000000000004</v>
      </c>
      <c r="J767" s="10">
        <f t="shared" si="72"/>
        <v>7.2</v>
      </c>
      <c r="K767" s="10">
        <f t="shared" si="73"/>
        <v>17.8</v>
      </c>
      <c r="L767" s="10">
        <f t="shared" si="82"/>
        <v>122.7</v>
      </c>
    </row>
    <row r="768" spans="1:12" x14ac:dyDescent="0.25">
      <c r="A768" s="7">
        <v>44951</v>
      </c>
      <c r="B768" t="s">
        <v>19</v>
      </c>
      <c r="C768" s="6">
        <v>2675</v>
      </c>
      <c r="D768" s="5" t="s">
        <v>260</v>
      </c>
      <c r="E768" s="1">
        <v>0.4826388888888889</v>
      </c>
      <c r="F768" s="1">
        <v>0.64513888888888882</v>
      </c>
      <c r="G768" s="9">
        <f t="shared" si="74"/>
        <v>44949</v>
      </c>
      <c r="H768" s="11">
        <f t="shared" si="75"/>
        <v>3.9</v>
      </c>
      <c r="I768" s="10">
        <f t="shared" si="71"/>
        <v>7.3</v>
      </c>
      <c r="J768" s="10">
        <f t="shared" si="72"/>
        <v>7.2</v>
      </c>
      <c r="K768" s="10">
        <f t="shared" si="73"/>
        <v>21.7</v>
      </c>
      <c r="L768" s="10">
        <f t="shared" si="82"/>
        <v>126.60000000000001</v>
      </c>
    </row>
    <row r="769" spans="1:12" x14ac:dyDescent="0.25">
      <c r="A769" s="7">
        <v>44952</v>
      </c>
      <c r="B769" t="s">
        <v>19</v>
      </c>
      <c r="C769" s="6">
        <v>2675</v>
      </c>
      <c r="D769" s="5" t="s">
        <v>261</v>
      </c>
      <c r="E769" s="1">
        <v>0.30277777777777776</v>
      </c>
      <c r="F769" s="1">
        <v>0.4375</v>
      </c>
      <c r="G769" s="9">
        <f t="shared" si="74"/>
        <v>44949</v>
      </c>
      <c r="H769" s="11">
        <f t="shared" si="75"/>
        <v>3.2</v>
      </c>
      <c r="I769" s="10">
        <f t="shared" si="71"/>
        <v>3.2</v>
      </c>
      <c r="J769" s="10">
        <f t="shared" si="72"/>
        <v>7.2</v>
      </c>
      <c r="K769" s="10">
        <f t="shared" si="73"/>
        <v>24.9</v>
      </c>
      <c r="L769" s="10">
        <f t="shared" si="82"/>
        <v>129.79999999999998</v>
      </c>
    </row>
    <row r="770" spans="1:12" x14ac:dyDescent="0.25">
      <c r="A770" s="7">
        <v>44952</v>
      </c>
      <c r="B770" t="s">
        <v>250</v>
      </c>
      <c r="C770" s="6" t="s">
        <v>417</v>
      </c>
      <c r="D770" s="5" t="s">
        <v>262</v>
      </c>
      <c r="E770" s="1">
        <v>0.4375</v>
      </c>
      <c r="F770" s="1">
        <v>0.45833333333333331</v>
      </c>
      <c r="G770" s="9">
        <f t="shared" si="74"/>
        <v>44949</v>
      </c>
      <c r="H770" s="11">
        <f t="shared" si="75"/>
        <v>0.5</v>
      </c>
      <c r="I770" s="10">
        <f t="shared" si="71"/>
        <v>3.7</v>
      </c>
      <c r="J770" s="10">
        <f t="shared" si="72"/>
        <v>7.2</v>
      </c>
      <c r="K770" s="10">
        <f t="shared" si="73"/>
        <v>25.4</v>
      </c>
      <c r="L770" s="10">
        <f t="shared" si="82"/>
        <v>130.30000000000001</v>
      </c>
    </row>
    <row r="771" spans="1:12" x14ac:dyDescent="0.25">
      <c r="A771" s="7">
        <v>44952</v>
      </c>
      <c r="B771" t="s">
        <v>19</v>
      </c>
      <c r="C771" s="6">
        <v>2675</v>
      </c>
      <c r="D771" s="5" t="s">
        <v>261</v>
      </c>
      <c r="E771" s="1">
        <v>0.45833333333333331</v>
      </c>
      <c r="F771" s="1">
        <v>0.62430555555555556</v>
      </c>
      <c r="G771" s="9">
        <f t="shared" si="74"/>
        <v>44949</v>
      </c>
      <c r="H771" s="11">
        <f t="shared" si="75"/>
        <v>4</v>
      </c>
      <c r="I771" s="10">
        <f t="shared" ref="I771:I834" si="83">IF(H771="",H771,H771+IF(A771=A770,_xlfn.NUMBERVALUE(I770),0))</f>
        <v>7.7</v>
      </c>
      <c r="J771" s="10">
        <f t="shared" ref="J771:J834" si="84">IF(H771="",H771,7.2)</f>
        <v>7.2</v>
      </c>
      <c r="K771" s="10">
        <f t="shared" ref="K771:K834" si="85">IF(H771="",H771,H771+IF(G771=G770,_xlfn.NUMBERVALUE(K770),0))</f>
        <v>29.4</v>
      </c>
      <c r="L771" s="10">
        <f t="shared" si="82"/>
        <v>134.30000000000001</v>
      </c>
    </row>
    <row r="772" spans="1:12" x14ac:dyDescent="0.25">
      <c r="A772" s="7">
        <v>44953</v>
      </c>
      <c r="B772" t="s">
        <v>19</v>
      </c>
      <c r="C772" s="6">
        <v>2675</v>
      </c>
      <c r="D772" s="5" t="s">
        <v>263</v>
      </c>
      <c r="E772" s="1">
        <v>0.35000000000000003</v>
      </c>
      <c r="F772" s="1">
        <v>0.52083333333333337</v>
      </c>
      <c r="G772" s="9">
        <f t="shared" ref="G772:G835" si="86">IF(E772&gt;0,INT((A772-2)/7)*7+2,"")</f>
        <v>44949</v>
      </c>
      <c r="H772" s="11">
        <f t="shared" ref="H772:H835" si="87">IF(E772&gt;0,ROUND(24*(IF(F772&gt;0,F772,NowTime)-E772),1),"")</f>
        <v>4.0999999999999996</v>
      </c>
      <c r="I772" s="10">
        <f t="shared" si="83"/>
        <v>4.0999999999999996</v>
      </c>
      <c r="J772" s="10">
        <f t="shared" si="84"/>
        <v>7.2</v>
      </c>
      <c r="K772" s="10">
        <f t="shared" si="85"/>
        <v>33.5</v>
      </c>
      <c r="L772" s="10">
        <f t="shared" si="82"/>
        <v>138.4</v>
      </c>
    </row>
    <row r="773" spans="1:12" x14ac:dyDescent="0.25">
      <c r="A773" s="7">
        <v>44953</v>
      </c>
      <c r="B773" t="s">
        <v>19</v>
      </c>
      <c r="C773" s="6">
        <v>2675</v>
      </c>
      <c r="D773" s="5" t="s">
        <v>259</v>
      </c>
      <c r="E773" s="1">
        <v>0.52083333333333337</v>
      </c>
      <c r="F773" s="1">
        <v>0.58819444444444446</v>
      </c>
      <c r="G773" s="9">
        <f t="shared" si="86"/>
        <v>44949</v>
      </c>
      <c r="H773" s="11">
        <f t="shared" si="87"/>
        <v>1.6</v>
      </c>
      <c r="I773" s="10">
        <f t="shared" si="83"/>
        <v>5.6999999999999993</v>
      </c>
      <c r="J773" s="10">
        <f t="shared" si="84"/>
        <v>7.2</v>
      </c>
      <c r="K773" s="10">
        <f t="shared" si="85"/>
        <v>35.1</v>
      </c>
      <c r="L773" s="10">
        <f t="shared" ref="L773:L836" si="88">IF(H773="",H773,H773+IF(MONTH(A773)=MONTH(A772),_xlfn.NUMBERVALUE(L772),0))</f>
        <v>140</v>
      </c>
    </row>
    <row r="774" spans="1:12" x14ac:dyDescent="0.25">
      <c r="A774" s="7">
        <v>44953</v>
      </c>
      <c r="B774" t="s">
        <v>19</v>
      </c>
      <c r="C774" s="6">
        <v>2675</v>
      </c>
      <c r="D774" s="5" t="s">
        <v>263</v>
      </c>
      <c r="E774" s="1">
        <v>0.58819444444444446</v>
      </c>
      <c r="F774" s="1">
        <v>0.625</v>
      </c>
      <c r="G774" s="9">
        <f t="shared" si="86"/>
        <v>44949</v>
      </c>
      <c r="H774" s="11">
        <f t="shared" si="87"/>
        <v>0.9</v>
      </c>
      <c r="I774" s="10">
        <f t="shared" si="83"/>
        <v>6.6000000000000005</v>
      </c>
      <c r="J774" s="10">
        <f t="shared" si="84"/>
        <v>7.2</v>
      </c>
      <c r="K774" s="10">
        <f t="shared" si="85"/>
        <v>36</v>
      </c>
      <c r="L774" s="10">
        <f t="shared" si="88"/>
        <v>140.9</v>
      </c>
    </row>
    <row r="775" spans="1:12" x14ac:dyDescent="0.25">
      <c r="A775" s="7">
        <v>44956</v>
      </c>
      <c r="B775" t="s">
        <v>7</v>
      </c>
      <c r="C775" s="6" t="s">
        <v>22</v>
      </c>
      <c r="D775" s="2" t="s">
        <v>264</v>
      </c>
      <c r="E775" s="1">
        <v>0.40972222222222227</v>
      </c>
      <c r="F775" s="1">
        <v>0.70833333333333337</v>
      </c>
      <c r="G775" s="9">
        <f t="shared" si="86"/>
        <v>44956</v>
      </c>
      <c r="H775" s="11">
        <f t="shared" si="87"/>
        <v>7.2</v>
      </c>
      <c r="I775" s="10">
        <f t="shared" si="83"/>
        <v>7.2</v>
      </c>
      <c r="J775" s="10">
        <f t="shared" si="84"/>
        <v>7.2</v>
      </c>
      <c r="K775" s="10">
        <f t="shared" si="85"/>
        <v>7.2</v>
      </c>
      <c r="L775" s="10">
        <f t="shared" si="88"/>
        <v>148.1</v>
      </c>
    </row>
    <row r="776" spans="1:12" x14ac:dyDescent="0.25">
      <c r="A776" s="7">
        <v>44957</v>
      </c>
      <c r="B776" t="s">
        <v>250</v>
      </c>
      <c r="C776" s="6" t="s">
        <v>417</v>
      </c>
      <c r="D776" s="5" t="s">
        <v>115</v>
      </c>
      <c r="E776" s="1">
        <v>0.31805555555555554</v>
      </c>
      <c r="F776" s="1">
        <v>0.37152777777777773</v>
      </c>
      <c r="G776" s="9">
        <f t="shared" si="86"/>
        <v>44956</v>
      </c>
      <c r="H776" s="11">
        <f t="shared" si="87"/>
        <v>1.3</v>
      </c>
      <c r="I776" s="10">
        <f t="shared" si="83"/>
        <v>1.3</v>
      </c>
      <c r="J776" s="10">
        <f t="shared" si="84"/>
        <v>7.2</v>
      </c>
      <c r="K776" s="10">
        <f t="shared" si="85"/>
        <v>8.5</v>
      </c>
      <c r="L776" s="10">
        <f t="shared" si="88"/>
        <v>149.4</v>
      </c>
    </row>
    <row r="777" spans="1:12" x14ac:dyDescent="0.25">
      <c r="A777" s="7">
        <v>44957</v>
      </c>
      <c r="B777" t="s">
        <v>19</v>
      </c>
      <c r="C777" s="6">
        <v>2675</v>
      </c>
      <c r="D777" s="5" t="s">
        <v>261</v>
      </c>
      <c r="E777" s="1">
        <v>0.37152777777777773</v>
      </c>
      <c r="F777" s="1">
        <v>0.41666666666666669</v>
      </c>
      <c r="G777" s="9">
        <f t="shared" si="86"/>
        <v>44956</v>
      </c>
      <c r="H777" s="11">
        <f t="shared" si="87"/>
        <v>1.1000000000000001</v>
      </c>
      <c r="I777" s="10">
        <f t="shared" si="83"/>
        <v>2.4000000000000004</v>
      </c>
      <c r="J777" s="10">
        <f t="shared" si="84"/>
        <v>7.2</v>
      </c>
      <c r="K777" s="10">
        <f t="shared" si="85"/>
        <v>9.6</v>
      </c>
      <c r="L777" s="10">
        <f t="shared" si="88"/>
        <v>150.5</v>
      </c>
    </row>
    <row r="778" spans="1:12" x14ac:dyDescent="0.25">
      <c r="A778" s="7">
        <v>44957</v>
      </c>
      <c r="B778" t="s">
        <v>250</v>
      </c>
      <c r="C778" s="6" t="s">
        <v>417</v>
      </c>
      <c r="D778" s="5" t="s">
        <v>112</v>
      </c>
      <c r="E778" s="1">
        <v>0.41666666666666669</v>
      </c>
      <c r="F778" s="1">
        <v>0.45902777777777781</v>
      </c>
      <c r="G778" s="9">
        <f t="shared" si="86"/>
        <v>44956</v>
      </c>
      <c r="H778" s="11">
        <f t="shared" si="87"/>
        <v>1</v>
      </c>
      <c r="I778" s="10">
        <f t="shared" si="83"/>
        <v>3.4</v>
      </c>
      <c r="J778" s="10">
        <f t="shared" si="84"/>
        <v>7.2</v>
      </c>
      <c r="K778" s="10">
        <f t="shared" si="85"/>
        <v>10.6</v>
      </c>
      <c r="L778" s="10">
        <f t="shared" si="88"/>
        <v>151.5</v>
      </c>
    </row>
    <row r="779" spans="1:12" x14ac:dyDescent="0.25">
      <c r="A779" s="7">
        <v>44957</v>
      </c>
      <c r="B779" t="s">
        <v>19</v>
      </c>
      <c r="C779" s="6">
        <v>2675</v>
      </c>
      <c r="D779" s="5" t="s">
        <v>261</v>
      </c>
      <c r="E779" s="1">
        <v>0.45902777777777781</v>
      </c>
      <c r="F779" s="1">
        <v>0.4777777777777778</v>
      </c>
      <c r="G779" s="9">
        <f t="shared" si="86"/>
        <v>44956</v>
      </c>
      <c r="H779" s="11">
        <f t="shared" si="87"/>
        <v>0.5</v>
      </c>
      <c r="I779" s="10">
        <f t="shared" si="83"/>
        <v>3.9</v>
      </c>
      <c r="J779" s="10">
        <f t="shared" si="84"/>
        <v>7.2</v>
      </c>
      <c r="K779" s="10">
        <f t="shared" si="85"/>
        <v>11.1</v>
      </c>
      <c r="L779" s="10">
        <f t="shared" si="88"/>
        <v>152</v>
      </c>
    </row>
    <row r="780" spans="1:12" x14ac:dyDescent="0.25">
      <c r="A780" s="7">
        <v>44957</v>
      </c>
      <c r="B780" t="s">
        <v>19</v>
      </c>
      <c r="C780" s="6">
        <v>2675</v>
      </c>
      <c r="D780" s="5" t="s">
        <v>265</v>
      </c>
      <c r="E780" s="1">
        <v>0.48819444444444443</v>
      </c>
      <c r="F780" s="5">
        <v>0.5229166666666667</v>
      </c>
      <c r="G780" s="9">
        <f t="shared" si="86"/>
        <v>44956</v>
      </c>
      <c r="H780" s="11">
        <f t="shared" si="87"/>
        <v>0.8</v>
      </c>
      <c r="I780" s="10">
        <f t="shared" si="83"/>
        <v>4.7</v>
      </c>
      <c r="J780" s="10">
        <f t="shared" si="84"/>
        <v>7.2</v>
      </c>
      <c r="K780" s="10">
        <f t="shared" si="85"/>
        <v>11.9</v>
      </c>
      <c r="L780" s="10">
        <f t="shared" si="88"/>
        <v>152.80000000000001</v>
      </c>
    </row>
    <row r="781" spans="1:12" x14ac:dyDescent="0.25">
      <c r="A781" s="7">
        <v>44957</v>
      </c>
      <c r="B781" t="s">
        <v>19</v>
      </c>
      <c r="C781" s="6">
        <v>2675</v>
      </c>
      <c r="D781" s="5" t="s">
        <v>266</v>
      </c>
      <c r="E781" s="1">
        <v>0.5229166666666667</v>
      </c>
      <c r="F781" s="1">
        <v>0.62569444444444444</v>
      </c>
      <c r="G781" s="9">
        <f t="shared" si="86"/>
        <v>44956</v>
      </c>
      <c r="H781" s="11">
        <f t="shared" si="87"/>
        <v>2.5</v>
      </c>
      <c r="I781" s="10">
        <f t="shared" si="83"/>
        <v>7.2</v>
      </c>
      <c r="J781" s="10">
        <f t="shared" si="84"/>
        <v>7.2</v>
      </c>
      <c r="K781" s="10">
        <f t="shared" si="85"/>
        <v>14.4</v>
      </c>
      <c r="L781" s="10">
        <f t="shared" si="88"/>
        <v>155.30000000000001</v>
      </c>
    </row>
    <row r="782" spans="1:12" x14ac:dyDescent="0.25">
      <c r="A782" s="7">
        <v>44958</v>
      </c>
      <c r="B782" t="s">
        <v>19</v>
      </c>
      <c r="C782" s="6">
        <v>2675</v>
      </c>
      <c r="D782" s="5" t="s">
        <v>267</v>
      </c>
      <c r="E782" s="1">
        <v>0.34166666666666662</v>
      </c>
      <c r="F782" s="1">
        <v>0.53263888888888888</v>
      </c>
      <c r="G782" s="9">
        <f t="shared" si="86"/>
        <v>44956</v>
      </c>
      <c r="H782" s="11">
        <f t="shared" si="87"/>
        <v>4.5999999999999996</v>
      </c>
      <c r="I782" s="10">
        <f t="shared" si="83"/>
        <v>4.5999999999999996</v>
      </c>
      <c r="J782" s="10">
        <f t="shared" si="84"/>
        <v>7.2</v>
      </c>
      <c r="K782" s="10">
        <f t="shared" si="85"/>
        <v>19</v>
      </c>
      <c r="L782" s="10">
        <f t="shared" si="88"/>
        <v>4.5999999999999996</v>
      </c>
    </row>
    <row r="783" spans="1:12" x14ac:dyDescent="0.25">
      <c r="A783" s="7">
        <v>44958</v>
      </c>
      <c r="B783" t="s">
        <v>19</v>
      </c>
      <c r="C783" s="6">
        <v>2675</v>
      </c>
      <c r="D783" s="5" t="s">
        <v>268</v>
      </c>
      <c r="E783" s="1">
        <v>0.53263888888888888</v>
      </c>
      <c r="F783" s="1">
        <v>0.57708333333333328</v>
      </c>
      <c r="G783" s="9">
        <f t="shared" si="86"/>
        <v>44956</v>
      </c>
      <c r="H783" s="11">
        <f t="shared" si="87"/>
        <v>1.1000000000000001</v>
      </c>
      <c r="I783" s="10">
        <f t="shared" si="83"/>
        <v>5.6999999999999993</v>
      </c>
      <c r="J783" s="10">
        <f t="shared" si="84"/>
        <v>7.2</v>
      </c>
      <c r="K783" s="10">
        <f t="shared" si="85"/>
        <v>20.100000000000001</v>
      </c>
      <c r="L783" s="10">
        <f t="shared" si="88"/>
        <v>5.6999999999999993</v>
      </c>
    </row>
    <row r="784" spans="1:12" x14ac:dyDescent="0.25">
      <c r="A784" s="7">
        <v>44958</v>
      </c>
      <c r="B784" t="s">
        <v>19</v>
      </c>
      <c r="C784" s="6">
        <v>2675</v>
      </c>
      <c r="D784" s="5" t="s">
        <v>270</v>
      </c>
      <c r="E784" s="1">
        <v>0.57708333333333328</v>
      </c>
      <c r="F784" s="1">
        <v>0.62777777777777777</v>
      </c>
      <c r="G784" s="9">
        <f t="shared" si="86"/>
        <v>44956</v>
      </c>
      <c r="H784" s="11">
        <f t="shared" si="87"/>
        <v>1.2</v>
      </c>
      <c r="I784" s="10">
        <f t="shared" si="83"/>
        <v>6.9</v>
      </c>
      <c r="J784" s="10">
        <f t="shared" si="84"/>
        <v>7.2</v>
      </c>
      <c r="K784" s="10">
        <f t="shared" si="85"/>
        <v>21.3</v>
      </c>
      <c r="L784" s="10">
        <f t="shared" si="88"/>
        <v>6.9</v>
      </c>
    </row>
    <row r="785" spans="1:21" x14ac:dyDescent="0.25">
      <c r="A785" s="7">
        <v>44958</v>
      </c>
      <c r="B785" t="s">
        <v>250</v>
      </c>
      <c r="C785" s="6" t="s">
        <v>417</v>
      </c>
      <c r="D785" s="5" t="s">
        <v>269</v>
      </c>
      <c r="E785" s="1">
        <v>0.62777777777777777</v>
      </c>
      <c r="F785" s="1">
        <v>0.68402777777777779</v>
      </c>
      <c r="G785" s="9">
        <f t="shared" si="86"/>
        <v>44956</v>
      </c>
      <c r="H785" s="11">
        <f t="shared" si="87"/>
        <v>1.4</v>
      </c>
      <c r="I785" s="10">
        <f t="shared" si="83"/>
        <v>8.3000000000000007</v>
      </c>
      <c r="J785" s="10">
        <f t="shared" si="84"/>
        <v>7.2</v>
      </c>
      <c r="K785" s="10">
        <f t="shared" si="85"/>
        <v>22.7</v>
      </c>
      <c r="L785" s="10">
        <f t="shared" si="88"/>
        <v>8.3000000000000007</v>
      </c>
    </row>
    <row r="786" spans="1:21" x14ac:dyDescent="0.25">
      <c r="A786" s="7">
        <v>44959</v>
      </c>
      <c r="B786" t="s">
        <v>19</v>
      </c>
      <c r="C786" s="6">
        <v>2675</v>
      </c>
      <c r="D786" s="5" t="s">
        <v>270</v>
      </c>
      <c r="E786" s="1">
        <v>0.33958333333333335</v>
      </c>
      <c r="F786" s="1">
        <v>0.375</v>
      </c>
      <c r="G786" s="9">
        <f t="shared" si="86"/>
        <v>44956</v>
      </c>
      <c r="H786" s="11">
        <f t="shared" si="87"/>
        <v>0.9</v>
      </c>
      <c r="I786" s="10">
        <f t="shared" si="83"/>
        <v>0.9</v>
      </c>
      <c r="J786" s="10">
        <f t="shared" si="84"/>
        <v>7.2</v>
      </c>
      <c r="K786" s="10">
        <f t="shared" si="85"/>
        <v>23.599999999999998</v>
      </c>
      <c r="L786" s="10">
        <f t="shared" si="88"/>
        <v>9.2000000000000011</v>
      </c>
    </row>
    <row r="787" spans="1:21" x14ac:dyDescent="0.25">
      <c r="A787" s="7">
        <v>44959</v>
      </c>
      <c r="B787" t="s">
        <v>19</v>
      </c>
      <c r="C787" s="6">
        <v>2675</v>
      </c>
      <c r="D787" s="5" t="s">
        <v>271</v>
      </c>
      <c r="E787" s="1">
        <v>0.375</v>
      </c>
      <c r="F787" s="1">
        <v>0.48055555555555557</v>
      </c>
      <c r="G787" s="9">
        <f t="shared" si="86"/>
        <v>44956</v>
      </c>
      <c r="H787" s="11">
        <f t="shared" si="87"/>
        <v>2.5</v>
      </c>
      <c r="I787" s="10">
        <f t="shared" si="83"/>
        <v>3.4</v>
      </c>
      <c r="J787" s="10">
        <f t="shared" si="84"/>
        <v>7.2</v>
      </c>
      <c r="K787" s="10">
        <f t="shared" si="85"/>
        <v>26.1</v>
      </c>
      <c r="L787" s="10">
        <f t="shared" si="88"/>
        <v>11.7</v>
      </c>
    </row>
    <row r="788" spans="1:21" x14ac:dyDescent="0.25">
      <c r="A788" s="7">
        <v>44959</v>
      </c>
      <c r="B788" t="s">
        <v>19</v>
      </c>
      <c r="C788" s="6">
        <v>2675</v>
      </c>
      <c r="D788" s="5" t="s">
        <v>263</v>
      </c>
      <c r="E788" s="1">
        <v>0.51111111111111118</v>
      </c>
      <c r="F788" s="1">
        <v>0.56944444444444442</v>
      </c>
      <c r="G788" s="9">
        <f t="shared" si="86"/>
        <v>44956</v>
      </c>
      <c r="H788" s="11">
        <f t="shared" si="87"/>
        <v>1.4</v>
      </c>
      <c r="I788" s="10">
        <f t="shared" si="83"/>
        <v>4.8</v>
      </c>
      <c r="J788" s="10">
        <f t="shared" si="84"/>
        <v>7.2</v>
      </c>
      <c r="K788" s="10">
        <f t="shared" si="85"/>
        <v>27.5</v>
      </c>
      <c r="L788" s="10">
        <f t="shared" si="88"/>
        <v>13.1</v>
      </c>
    </row>
    <row r="789" spans="1:21" x14ac:dyDescent="0.25">
      <c r="A789" s="7">
        <v>44959</v>
      </c>
      <c r="B789" s="2" t="s">
        <v>17</v>
      </c>
      <c r="C789" s="24">
        <v>2420</v>
      </c>
      <c r="D789" s="5" t="s">
        <v>50</v>
      </c>
      <c r="E789" s="1">
        <v>0.56944444444444442</v>
      </c>
      <c r="F789" s="1">
        <v>0.59097222222222223</v>
      </c>
      <c r="G789" s="9">
        <f t="shared" si="86"/>
        <v>44956</v>
      </c>
      <c r="H789" s="11">
        <f t="shared" si="87"/>
        <v>0.5</v>
      </c>
      <c r="I789" s="10">
        <f t="shared" si="83"/>
        <v>5.3</v>
      </c>
      <c r="J789" s="10">
        <f t="shared" si="84"/>
        <v>7.2</v>
      </c>
      <c r="K789" s="10">
        <f t="shared" si="85"/>
        <v>28</v>
      </c>
      <c r="L789" s="10">
        <f t="shared" si="88"/>
        <v>13.6</v>
      </c>
    </row>
    <row r="790" spans="1:21" x14ac:dyDescent="0.25">
      <c r="A790" s="7">
        <v>44959</v>
      </c>
      <c r="B790" t="s">
        <v>19</v>
      </c>
      <c r="C790" s="6">
        <v>2675</v>
      </c>
      <c r="D790" s="5" t="s">
        <v>263</v>
      </c>
      <c r="E790" s="1">
        <v>0.59097222222222223</v>
      </c>
      <c r="F790" s="1">
        <v>0.64583333333333337</v>
      </c>
      <c r="G790" s="9">
        <f t="shared" si="86"/>
        <v>44956</v>
      </c>
      <c r="H790" s="11">
        <f t="shared" si="87"/>
        <v>1.3</v>
      </c>
      <c r="I790" s="10">
        <f t="shared" si="83"/>
        <v>6.6</v>
      </c>
      <c r="J790" s="10">
        <f t="shared" si="84"/>
        <v>7.2</v>
      </c>
      <c r="K790" s="10">
        <f t="shared" si="85"/>
        <v>29.3</v>
      </c>
      <c r="L790" s="10">
        <f t="shared" si="88"/>
        <v>14.9</v>
      </c>
    </row>
    <row r="791" spans="1:21" x14ac:dyDescent="0.25">
      <c r="A791" s="7">
        <v>44960</v>
      </c>
      <c r="B791" t="s">
        <v>17</v>
      </c>
      <c r="C791" s="6">
        <v>2420</v>
      </c>
      <c r="D791" s="5" t="s">
        <v>272</v>
      </c>
      <c r="E791" s="1">
        <v>0.34930555555555554</v>
      </c>
      <c r="F791" s="1">
        <v>0.46111111111111108</v>
      </c>
      <c r="G791" s="9">
        <f t="shared" si="86"/>
        <v>44956</v>
      </c>
      <c r="H791" s="11">
        <f t="shared" si="87"/>
        <v>2.7</v>
      </c>
      <c r="I791" s="10">
        <f t="shared" si="83"/>
        <v>2.7</v>
      </c>
      <c r="J791" s="10">
        <f t="shared" si="84"/>
        <v>7.2</v>
      </c>
      <c r="K791" s="10">
        <f t="shared" si="85"/>
        <v>32</v>
      </c>
      <c r="L791" s="10">
        <f t="shared" si="88"/>
        <v>17.600000000000001</v>
      </c>
    </row>
    <row r="792" spans="1:21" x14ac:dyDescent="0.25">
      <c r="A792" s="7">
        <v>44960</v>
      </c>
      <c r="B792" t="s">
        <v>19</v>
      </c>
      <c r="C792" s="6">
        <v>2675</v>
      </c>
      <c r="D792" s="5" t="s">
        <v>263</v>
      </c>
      <c r="E792" s="1">
        <v>0.52152777777777781</v>
      </c>
      <c r="F792" s="1">
        <v>0.59791666666666665</v>
      </c>
      <c r="G792" s="9">
        <f t="shared" si="86"/>
        <v>44956</v>
      </c>
      <c r="H792" s="11">
        <f t="shared" si="87"/>
        <v>1.8</v>
      </c>
      <c r="I792" s="10">
        <f t="shared" si="83"/>
        <v>4.5</v>
      </c>
      <c r="J792" s="10">
        <f t="shared" si="84"/>
        <v>7.2</v>
      </c>
      <c r="K792" s="10">
        <f t="shared" si="85"/>
        <v>33.799999999999997</v>
      </c>
      <c r="L792" s="10">
        <f t="shared" si="88"/>
        <v>19.400000000000002</v>
      </c>
    </row>
    <row r="793" spans="1:21" x14ac:dyDescent="0.25">
      <c r="A793" s="7">
        <v>44963</v>
      </c>
      <c r="B793" t="s">
        <v>7</v>
      </c>
      <c r="C793" s="6" t="s">
        <v>22</v>
      </c>
      <c r="D793" s="2" t="s">
        <v>264</v>
      </c>
      <c r="E793" s="1">
        <v>0.40972222222222227</v>
      </c>
      <c r="F793" s="1">
        <v>0.70833333333333337</v>
      </c>
      <c r="G793" s="9">
        <f t="shared" si="86"/>
        <v>44963</v>
      </c>
      <c r="H793" s="11">
        <f t="shared" si="87"/>
        <v>7.2</v>
      </c>
      <c r="I793" s="10">
        <f t="shared" si="83"/>
        <v>7.2</v>
      </c>
      <c r="J793" s="10">
        <f t="shared" si="84"/>
        <v>7.2</v>
      </c>
      <c r="K793" s="10">
        <f t="shared" si="85"/>
        <v>7.2</v>
      </c>
      <c r="L793" s="10">
        <f t="shared" si="88"/>
        <v>26.599999999999998</v>
      </c>
    </row>
    <row r="794" spans="1:21" x14ac:dyDescent="0.25">
      <c r="A794" s="7">
        <v>44964</v>
      </c>
      <c r="B794" t="s">
        <v>19</v>
      </c>
      <c r="C794" s="6">
        <v>2675</v>
      </c>
      <c r="D794" s="5" t="s">
        <v>219</v>
      </c>
      <c r="E794" s="1">
        <v>0.33611111111111108</v>
      </c>
      <c r="F794" s="1">
        <v>0.52083333333333337</v>
      </c>
      <c r="G794" s="9">
        <f t="shared" si="86"/>
        <v>44963</v>
      </c>
      <c r="H794" s="11">
        <f t="shared" si="87"/>
        <v>4.4000000000000004</v>
      </c>
      <c r="I794" s="10">
        <f t="shared" si="83"/>
        <v>4.4000000000000004</v>
      </c>
      <c r="J794" s="10">
        <f t="shared" si="84"/>
        <v>7.2</v>
      </c>
      <c r="K794" s="10">
        <f t="shared" si="85"/>
        <v>11.600000000000001</v>
      </c>
      <c r="L794" s="10">
        <f t="shared" si="88"/>
        <v>31</v>
      </c>
    </row>
    <row r="795" spans="1:21" x14ac:dyDescent="0.25">
      <c r="A795" s="7">
        <v>44964</v>
      </c>
      <c r="B795" t="s">
        <v>19</v>
      </c>
      <c r="C795" s="6">
        <v>2675</v>
      </c>
      <c r="D795" s="5" t="s">
        <v>219</v>
      </c>
      <c r="E795" s="1">
        <v>0.53472222222222221</v>
      </c>
      <c r="F795" s="1">
        <v>0.6020833333333333</v>
      </c>
      <c r="G795" s="9">
        <f t="shared" si="86"/>
        <v>44963</v>
      </c>
      <c r="H795" s="11">
        <f t="shared" si="87"/>
        <v>1.6</v>
      </c>
      <c r="I795" s="10">
        <f t="shared" si="83"/>
        <v>6</v>
      </c>
      <c r="J795" s="10">
        <f t="shared" si="84"/>
        <v>7.2</v>
      </c>
      <c r="K795" s="10">
        <f t="shared" si="85"/>
        <v>13.2</v>
      </c>
      <c r="L795" s="10">
        <f t="shared" si="88"/>
        <v>32.6</v>
      </c>
    </row>
    <row r="796" spans="1:21" x14ac:dyDescent="0.25">
      <c r="A796" s="7">
        <v>44964</v>
      </c>
      <c r="B796" t="s">
        <v>19</v>
      </c>
      <c r="C796" s="6">
        <v>2675</v>
      </c>
      <c r="D796" s="5" t="s">
        <v>273</v>
      </c>
      <c r="E796" s="1">
        <v>0.6020833333333333</v>
      </c>
      <c r="F796" s="1">
        <v>0.67638888888888893</v>
      </c>
      <c r="G796" s="9">
        <f t="shared" si="86"/>
        <v>44963</v>
      </c>
      <c r="H796" s="11">
        <f t="shared" si="87"/>
        <v>1.8</v>
      </c>
      <c r="I796" s="10">
        <f t="shared" si="83"/>
        <v>7.8</v>
      </c>
      <c r="J796" s="10">
        <f t="shared" si="84"/>
        <v>7.2</v>
      </c>
      <c r="K796" s="10">
        <f t="shared" si="85"/>
        <v>15</v>
      </c>
      <c r="L796" s="10">
        <f t="shared" si="88"/>
        <v>34.4</v>
      </c>
    </row>
    <row r="797" spans="1:21" x14ac:dyDescent="0.25">
      <c r="A797" s="7">
        <v>44965</v>
      </c>
      <c r="B797" t="s">
        <v>19</v>
      </c>
      <c r="C797" s="6">
        <v>2675</v>
      </c>
      <c r="D797" s="5" t="s">
        <v>89</v>
      </c>
      <c r="E797" s="1">
        <v>0.32430555555555557</v>
      </c>
      <c r="F797" s="1">
        <v>0.35555555555555557</v>
      </c>
      <c r="G797" s="9">
        <f t="shared" si="86"/>
        <v>44963</v>
      </c>
      <c r="H797" s="11">
        <f t="shared" si="87"/>
        <v>0.8</v>
      </c>
      <c r="I797" s="10">
        <f t="shared" si="83"/>
        <v>0.8</v>
      </c>
      <c r="J797" s="10">
        <f t="shared" si="84"/>
        <v>7.2</v>
      </c>
      <c r="K797" s="10">
        <f t="shared" si="85"/>
        <v>15.8</v>
      </c>
      <c r="L797" s="10">
        <f t="shared" si="88"/>
        <v>35.199999999999996</v>
      </c>
    </row>
    <row r="798" spans="1:21" x14ac:dyDescent="0.25">
      <c r="A798" s="7">
        <v>44965</v>
      </c>
      <c r="B798" t="s">
        <v>19</v>
      </c>
      <c r="C798" s="6">
        <v>2675</v>
      </c>
      <c r="D798" s="5" t="s">
        <v>273</v>
      </c>
      <c r="E798" s="1">
        <v>0.35555555555555557</v>
      </c>
      <c r="F798" s="1">
        <v>0.4861111111111111</v>
      </c>
      <c r="G798" s="9">
        <f t="shared" si="86"/>
        <v>44963</v>
      </c>
      <c r="H798" s="11">
        <f t="shared" si="87"/>
        <v>3.1</v>
      </c>
      <c r="I798" s="10">
        <f t="shared" si="83"/>
        <v>3.9000000000000004</v>
      </c>
      <c r="J798" s="10">
        <f t="shared" si="84"/>
        <v>7.2</v>
      </c>
      <c r="K798" s="10">
        <f t="shared" si="85"/>
        <v>18.900000000000002</v>
      </c>
      <c r="L798" s="10">
        <f t="shared" si="88"/>
        <v>38.300000000000004</v>
      </c>
    </row>
    <row r="799" spans="1:21" x14ac:dyDescent="0.25">
      <c r="A799" s="7">
        <v>44965</v>
      </c>
      <c r="B799" t="s">
        <v>19</v>
      </c>
      <c r="C799" s="6">
        <v>2675</v>
      </c>
      <c r="D799" s="5" t="s">
        <v>273</v>
      </c>
      <c r="E799" s="1">
        <v>0.50347222222222221</v>
      </c>
      <c r="F799" s="1">
        <v>0.62083333333333335</v>
      </c>
      <c r="G799" s="9">
        <f t="shared" si="86"/>
        <v>44963</v>
      </c>
      <c r="H799" s="11">
        <f t="shared" si="87"/>
        <v>2.8</v>
      </c>
      <c r="I799" s="10">
        <f t="shared" si="83"/>
        <v>6.6999999999999993</v>
      </c>
      <c r="J799" s="10">
        <f t="shared" si="84"/>
        <v>7.2</v>
      </c>
      <c r="K799" s="10">
        <f t="shared" si="85"/>
        <v>21.7</v>
      </c>
      <c r="L799" s="10">
        <f t="shared" si="88"/>
        <v>41.099999999999994</v>
      </c>
      <c r="U799" s="4"/>
    </row>
    <row r="800" spans="1:21" x14ac:dyDescent="0.25">
      <c r="A800" s="7">
        <v>44966</v>
      </c>
      <c r="B800" t="s">
        <v>19</v>
      </c>
      <c r="C800" s="6">
        <v>2675</v>
      </c>
      <c r="D800" s="5" t="s">
        <v>274</v>
      </c>
      <c r="E800" s="1">
        <v>0.34027777777777773</v>
      </c>
      <c r="F800" s="1">
        <v>0.47222222222222227</v>
      </c>
      <c r="G800" s="9">
        <f t="shared" si="86"/>
        <v>44963</v>
      </c>
      <c r="H800" s="11">
        <f t="shared" si="87"/>
        <v>3.2</v>
      </c>
      <c r="I800" s="10">
        <f t="shared" si="83"/>
        <v>3.2</v>
      </c>
      <c r="J800" s="10">
        <f t="shared" si="84"/>
        <v>7.2</v>
      </c>
      <c r="K800" s="10">
        <f t="shared" si="85"/>
        <v>24.9</v>
      </c>
      <c r="L800" s="10">
        <f t="shared" si="88"/>
        <v>44.300000000000004</v>
      </c>
    </row>
    <row r="801" spans="1:12" x14ac:dyDescent="0.25">
      <c r="A801" s="7">
        <v>44966</v>
      </c>
      <c r="B801" t="s">
        <v>19</v>
      </c>
      <c r="C801" s="6">
        <v>2675</v>
      </c>
      <c r="D801" s="5" t="s">
        <v>274</v>
      </c>
      <c r="E801" s="1">
        <v>0.48680555555555555</v>
      </c>
      <c r="F801" s="1">
        <v>0.54999999999999993</v>
      </c>
      <c r="G801" s="9">
        <f t="shared" si="86"/>
        <v>44963</v>
      </c>
      <c r="H801" s="11">
        <f t="shared" si="87"/>
        <v>1.5</v>
      </c>
      <c r="I801" s="10">
        <f t="shared" si="83"/>
        <v>4.7</v>
      </c>
      <c r="J801" s="10">
        <f t="shared" si="84"/>
        <v>7.2</v>
      </c>
      <c r="K801" s="10">
        <f t="shared" si="85"/>
        <v>26.4</v>
      </c>
      <c r="L801" s="10">
        <f t="shared" si="88"/>
        <v>45.8</v>
      </c>
    </row>
    <row r="802" spans="1:12" x14ac:dyDescent="0.25">
      <c r="A802" s="7">
        <v>44966</v>
      </c>
      <c r="B802" t="s">
        <v>19</v>
      </c>
      <c r="C802" s="6">
        <v>2675</v>
      </c>
      <c r="D802" s="5" t="s">
        <v>219</v>
      </c>
      <c r="E802" s="1">
        <v>0.54999999999999993</v>
      </c>
      <c r="F802" s="1">
        <v>0.61111111111111105</v>
      </c>
      <c r="G802" s="9">
        <f t="shared" si="86"/>
        <v>44963</v>
      </c>
      <c r="H802" s="11">
        <f t="shared" si="87"/>
        <v>1.5</v>
      </c>
      <c r="I802" s="10">
        <f t="shared" si="83"/>
        <v>6.2</v>
      </c>
      <c r="J802" s="10">
        <f t="shared" si="84"/>
        <v>7.2</v>
      </c>
      <c r="K802" s="10">
        <f t="shared" si="85"/>
        <v>27.9</v>
      </c>
      <c r="L802" s="10">
        <f t="shared" si="88"/>
        <v>47.3</v>
      </c>
    </row>
    <row r="803" spans="1:12" x14ac:dyDescent="0.25">
      <c r="A803" s="7">
        <v>44967</v>
      </c>
      <c r="B803" t="s">
        <v>19</v>
      </c>
      <c r="C803" s="6">
        <v>2675</v>
      </c>
      <c r="D803" s="5" t="s">
        <v>275</v>
      </c>
      <c r="E803" s="1">
        <v>0.33680555555555558</v>
      </c>
      <c r="F803" s="1">
        <v>0.41666666666666669</v>
      </c>
      <c r="G803" s="9">
        <f t="shared" si="86"/>
        <v>44963</v>
      </c>
      <c r="H803" s="11">
        <f t="shared" si="87"/>
        <v>1.9</v>
      </c>
      <c r="I803" s="10">
        <f t="shared" si="83"/>
        <v>1.9</v>
      </c>
      <c r="J803" s="10">
        <f t="shared" si="84"/>
        <v>7.2</v>
      </c>
      <c r="K803" s="10">
        <f t="shared" si="85"/>
        <v>29.799999999999997</v>
      </c>
      <c r="L803" s="10">
        <f t="shared" si="88"/>
        <v>49.199999999999996</v>
      </c>
    </row>
    <row r="804" spans="1:12" ht="14.4" x14ac:dyDescent="0.25">
      <c r="A804" s="7">
        <v>44967</v>
      </c>
      <c r="B804" t="s">
        <v>6</v>
      </c>
      <c r="C804" s="6" t="s">
        <v>416</v>
      </c>
      <c r="D804" s="26" t="s">
        <v>241</v>
      </c>
      <c r="E804" s="1">
        <v>0.41666666666666669</v>
      </c>
      <c r="F804" s="1">
        <v>0.44513888888888892</v>
      </c>
      <c r="G804" s="9">
        <f t="shared" si="86"/>
        <v>44963</v>
      </c>
      <c r="H804" s="11">
        <f t="shared" si="87"/>
        <v>0.7</v>
      </c>
      <c r="I804" s="10">
        <f t="shared" si="83"/>
        <v>2.5999999999999996</v>
      </c>
      <c r="J804" s="10">
        <f t="shared" si="84"/>
        <v>7.2</v>
      </c>
      <c r="K804" s="10">
        <f t="shared" si="85"/>
        <v>30.5</v>
      </c>
      <c r="L804" s="10">
        <f t="shared" si="88"/>
        <v>49.900000000000006</v>
      </c>
    </row>
    <row r="805" spans="1:12" x14ac:dyDescent="0.25">
      <c r="A805" s="7">
        <v>44967</v>
      </c>
      <c r="B805" t="s">
        <v>19</v>
      </c>
      <c r="C805" s="6">
        <v>2675</v>
      </c>
      <c r="D805" s="5" t="s">
        <v>275</v>
      </c>
      <c r="E805" s="1">
        <v>0.44513888888888892</v>
      </c>
      <c r="F805" s="1">
        <v>0.66875000000000007</v>
      </c>
      <c r="G805" s="9">
        <f t="shared" si="86"/>
        <v>44963</v>
      </c>
      <c r="H805" s="11">
        <f t="shared" si="87"/>
        <v>5.4</v>
      </c>
      <c r="I805" s="10">
        <f t="shared" si="83"/>
        <v>8</v>
      </c>
      <c r="J805" s="10">
        <f t="shared" si="84"/>
        <v>7.2</v>
      </c>
      <c r="K805" s="10">
        <f t="shared" si="85"/>
        <v>35.9</v>
      </c>
      <c r="L805" s="10">
        <f t="shared" si="88"/>
        <v>55.3</v>
      </c>
    </row>
    <row r="806" spans="1:12" x14ac:dyDescent="0.25">
      <c r="A806" s="7">
        <v>44970</v>
      </c>
      <c r="B806" t="s">
        <v>7</v>
      </c>
      <c r="C806" s="6" t="s">
        <v>22</v>
      </c>
      <c r="D806" s="2" t="s">
        <v>277</v>
      </c>
      <c r="E806" s="1">
        <v>0.40972222222222227</v>
      </c>
      <c r="F806" s="1">
        <v>0.70833333333333337</v>
      </c>
      <c r="G806" s="9">
        <f t="shared" si="86"/>
        <v>44970</v>
      </c>
      <c r="H806" s="11">
        <f t="shared" si="87"/>
        <v>7.2</v>
      </c>
      <c r="I806" s="10">
        <f t="shared" si="83"/>
        <v>7.2</v>
      </c>
      <c r="J806" s="10">
        <f t="shared" si="84"/>
        <v>7.2</v>
      </c>
      <c r="K806" s="10">
        <f t="shared" si="85"/>
        <v>7.2</v>
      </c>
      <c r="L806" s="10">
        <f t="shared" si="88"/>
        <v>62.5</v>
      </c>
    </row>
    <row r="807" spans="1:12" x14ac:dyDescent="0.25">
      <c r="A807" s="7">
        <v>44971</v>
      </c>
      <c r="B807" t="s">
        <v>19</v>
      </c>
      <c r="C807" s="6">
        <v>2675</v>
      </c>
      <c r="D807" s="5" t="s">
        <v>276</v>
      </c>
      <c r="E807" s="1">
        <v>0.32361111111111113</v>
      </c>
      <c r="F807" s="1">
        <v>0.39999999999999997</v>
      </c>
      <c r="G807" s="9">
        <f t="shared" si="86"/>
        <v>44970</v>
      </c>
      <c r="H807" s="11">
        <f t="shared" si="87"/>
        <v>1.8</v>
      </c>
      <c r="I807" s="10">
        <f t="shared" si="83"/>
        <v>1.8</v>
      </c>
      <c r="J807" s="10">
        <f t="shared" si="84"/>
        <v>7.2</v>
      </c>
      <c r="K807" s="10">
        <f t="shared" si="85"/>
        <v>9</v>
      </c>
      <c r="L807" s="10">
        <f t="shared" si="88"/>
        <v>64.3</v>
      </c>
    </row>
    <row r="808" spans="1:12" x14ac:dyDescent="0.25">
      <c r="A808" s="7">
        <v>44971</v>
      </c>
      <c r="B808" t="s">
        <v>19</v>
      </c>
      <c r="C808" s="6">
        <v>2675</v>
      </c>
      <c r="D808" s="5" t="s">
        <v>276</v>
      </c>
      <c r="E808" s="1">
        <v>0.41111111111111115</v>
      </c>
      <c r="F808" s="1">
        <v>0.47500000000000003</v>
      </c>
      <c r="G808" s="9">
        <f t="shared" si="86"/>
        <v>44970</v>
      </c>
      <c r="H808" s="11">
        <f t="shared" si="87"/>
        <v>1.5</v>
      </c>
      <c r="I808" s="10">
        <f t="shared" si="83"/>
        <v>3.3</v>
      </c>
      <c r="J808" s="10">
        <f t="shared" si="84"/>
        <v>7.2</v>
      </c>
      <c r="K808" s="10">
        <f t="shared" si="85"/>
        <v>10.5</v>
      </c>
      <c r="L808" s="10">
        <f t="shared" si="88"/>
        <v>65.8</v>
      </c>
    </row>
    <row r="809" spans="1:12" x14ac:dyDescent="0.25">
      <c r="A809" s="7">
        <v>44971</v>
      </c>
      <c r="B809" t="s">
        <v>19</v>
      </c>
      <c r="C809" s="6">
        <v>2675</v>
      </c>
      <c r="D809" s="5" t="s">
        <v>276</v>
      </c>
      <c r="E809" s="1">
        <v>0.49236111111111108</v>
      </c>
      <c r="F809" s="1">
        <v>0.64930555555555558</v>
      </c>
      <c r="G809" s="9">
        <f t="shared" si="86"/>
        <v>44970</v>
      </c>
      <c r="H809" s="11">
        <f t="shared" si="87"/>
        <v>3.8</v>
      </c>
      <c r="I809" s="10">
        <f t="shared" si="83"/>
        <v>7.1</v>
      </c>
      <c r="J809" s="10">
        <f t="shared" si="84"/>
        <v>7.2</v>
      </c>
      <c r="K809" s="10">
        <f t="shared" si="85"/>
        <v>14.3</v>
      </c>
      <c r="L809" s="10">
        <f t="shared" si="88"/>
        <v>69.599999999999994</v>
      </c>
    </row>
    <row r="810" spans="1:12" x14ac:dyDescent="0.25">
      <c r="A810" s="7">
        <v>44972</v>
      </c>
      <c r="B810" t="s">
        <v>19</v>
      </c>
      <c r="C810" s="6">
        <v>2675</v>
      </c>
      <c r="D810" s="5" t="s">
        <v>278</v>
      </c>
      <c r="E810" s="1">
        <v>0.33124999999999999</v>
      </c>
      <c r="F810" s="1">
        <v>0.46180555555555558</v>
      </c>
      <c r="G810" s="9">
        <f t="shared" si="86"/>
        <v>44970</v>
      </c>
      <c r="H810" s="11">
        <f t="shared" si="87"/>
        <v>3.1</v>
      </c>
      <c r="I810" s="10">
        <f t="shared" si="83"/>
        <v>3.1</v>
      </c>
      <c r="J810" s="10">
        <f t="shared" si="84"/>
        <v>7.2</v>
      </c>
      <c r="K810" s="10">
        <f t="shared" si="85"/>
        <v>17.400000000000002</v>
      </c>
      <c r="L810" s="10">
        <f t="shared" si="88"/>
        <v>72.699999999999989</v>
      </c>
    </row>
    <row r="811" spans="1:12" x14ac:dyDescent="0.25">
      <c r="A811" s="7">
        <v>44972</v>
      </c>
      <c r="B811" t="s">
        <v>19</v>
      </c>
      <c r="C811" s="6">
        <v>2675</v>
      </c>
      <c r="D811" s="5" t="s">
        <v>278</v>
      </c>
      <c r="E811" s="1">
        <v>0.47916666666666669</v>
      </c>
      <c r="F811" s="1">
        <v>0.6645833333333333</v>
      </c>
      <c r="G811" s="9">
        <f t="shared" si="86"/>
        <v>44970</v>
      </c>
      <c r="H811" s="11">
        <f t="shared" si="87"/>
        <v>4.5</v>
      </c>
      <c r="I811" s="10">
        <f t="shared" si="83"/>
        <v>7.6</v>
      </c>
      <c r="J811" s="10">
        <f t="shared" si="84"/>
        <v>7.2</v>
      </c>
      <c r="K811" s="10">
        <f t="shared" si="85"/>
        <v>21.9</v>
      </c>
      <c r="L811" s="10">
        <f t="shared" si="88"/>
        <v>77.2</v>
      </c>
    </row>
    <row r="812" spans="1:12" x14ac:dyDescent="0.25">
      <c r="A812" s="7">
        <v>44973</v>
      </c>
      <c r="B812" t="s">
        <v>19</v>
      </c>
      <c r="C812" s="6">
        <v>2675</v>
      </c>
      <c r="D812" s="5" t="s">
        <v>278</v>
      </c>
      <c r="E812" s="1">
        <v>0.32430555555555557</v>
      </c>
      <c r="F812" s="1">
        <v>0.46527777777777773</v>
      </c>
      <c r="G812" s="9">
        <f t="shared" si="86"/>
        <v>44970</v>
      </c>
      <c r="H812" s="11">
        <f t="shared" si="87"/>
        <v>3.4</v>
      </c>
      <c r="I812" s="10">
        <f t="shared" si="83"/>
        <v>3.4</v>
      </c>
      <c r="J812" s="10">
        <f t="shared" si="84"/>
        <v>7.2</v>
      </c>
      <c r="K812" s="10">
        <f t="shared" si="85"/>
        <v>25.299999999999997</v>
      </c>
      <c r="L812" s="10">
        <f t="shared" si="88"/>
        <v>80.600000000000009</v>
      </c>
    </row>
    <row r="813" spans="1:12" x14ac:dyDescent="0.25">
      <c r="A813" s="7">
        <v>44973</v>
      </c>
      <c r="B813" t="s">
        <v>19</v>
      </c>
      <c r="C813" s="6">
        <v>2675</v>
      </c>
      <c r="D813" s="5" t="s">
        <v>278</v>
      </c>
      <c r="E813" s="1">
        <v>0.49374999999999997</v>
      </c>
      <c r="F813" s="1">
        <v>0.67291666666666661</v>
      </c>
      <c r="G813" s="9">
        <f t="shared" si="86"/>
        <v>44970</v>
      </c>
      <c r="H813" s="11">
        <f t="shared" si="87"/>
        <v>4.3</v>
      </c>
      <c r="I813" s="10">
        <f t="shared" si="83"/>
        <v>7.6999999999999993</v>
      </c>
      <c r="J813" s="10">
        <f t="shared" si="84"/>
        <v>7.2</v>
      </c>
      <c r="K813" s="10">
        <f t="shared" si="85"/>
        <v>29.6</v>
      </c>
      <c r="L813" s="10">
        <f t="shared" si="88"/>
        <v>84.899999999999991</v>
      </c>
    </row>
    <row r="814" spans="1:12" x14ac:dyDescent="0.25">
      <c r="A814" s="7">
        <v>44974</v>
      </c>
      <c r="B814" t="s">
        <v>7</v>
      </c>
      <c r="C814" s="6" t="s">
        <v>22</v>
      </c>
      <c r="D814" s="2" t="s">
        <v>279</v>
      </c>
      <c r="E814" s="1">
        <v>0.40972222222222227</v>
      </c>
      <c r="F814" s="1">
        <v>0.70833333333333337</v>
      </c>
      <c r="G814" s="9">
        <f t="shared" si="86"/>
        <v>44970</v>
      </c>
      <c r="H814" s="11">
        <f t="shared" si="87"/>
        <v>7.2</v>
      </c>
      <c r="I814" s="10">
        <f t="shared" si="83"/>
        <v>7.2</v>
      </c>
      <c r="J814" s="10">
        <f t="shared" si="84"/>
        <v>7.2</v>
      </c>
      <c r="K814" s="10">
        <f t="shared" si="85"/>
        <v>36.800000000000004</v>
      </c>
      <c r="L814" s="10">
        <f t="shared" si="88"/>
        <v>92.100000000000009</v>
      </c>
    </row>
    <row r="815" spans="1:12" x14ac:dyDescent="0.25">
      <c r="A815" s="7">
        <v>44977</v>
      </c>
      <c r="B815" t="s">
        <v>7</v>
      </c>
      <c r="C815" s="6" t="s">
        <v>22</v>
      </c>
      <c r="D815" s="2" t="s">
        <v>279</v>
      </c>
      <c r="E815" s="1">
        <v>0.40972222222222227</v>
      </c>
      <c r="F815" s="1">
        <v>0.70833333333333337</v>
      </c>
      <c r="G815" s="9">
        <f t="shared" si="86"/>
        <v>44977</v>
      </c>
      <c r="H815" s="11">
        <f t="shared" si="87"/>
        <v>7.2</v>
      </c>
      <c r="I815" s="10">
        <f t="shared" si="83"/>
        <v>7.2</v>
      </c>
      <c r="J815" s="10">
        <f t="shared" si="84"/>
        <v>7.2</v>
      </c>
      <c r="K815" s="10">
        <f t="shared" si="85"/>
        <v>7.2</v>
      </c>
      <c r="L815" s="10">
        <f t="shared" si="88"/>
        <v>99.3</v>
      </c>
    </row>
    <row r="816" spans="1:12" x14ac:dyDescent="0.25">
      <c r="A816" s="7">
        <v>44978</v>
      </c>
      <c r="B816" t="s">
        <v>7</v>
      </c>
      <c r="C816" s="6" t="s">
        <v>22</v>
      </c>
      <c r="D816" s="2" t="s">
        <v>279</v>
      </c>
      <c r="E816" s="1">
        <v>0.40972222222222227</v>
      </c>
      <c r="F816" s="1">
        <v>0.70833333333333337</v>
      </c>
      <c r="G816" s="9">
        <f t="shared" si="86"/>
        <v>44977</v>
      </c>
      <c r="H816" s="11">
        <f t="shared" si="87"/>
        <v>7.2</v>
      </c>
      <c r="I816" s="10">
        <f t="shared" si="83"/>
        <v>7.2</v>
      </c>
      <c r="J816" s="10">
        <f t="shared" si="84"/>
        <v>7.2</v>
      </c>
      <c r="K816" s="10">
        <f t="shared" si="85"/>
        <v>14.4</v>
      </c>
      <c r="L816" s="10">
        <f t="shared" si="88"/>
        <v>106.5</v>
      </c>
    </row>
    <row r="817" spans="1:12" x14ac:dyDescent="0.25">
      <c r="A817" s="7">
        <v>44979</v>
      </c>
      <c r="B817" t="s">
        <v>7</v>
      </c>
      <c r="C817" s="6" t="s">
        <v>22</v>
      </c>
      <c r="D817" s="2" t="s">
        <v>279</v>
      </c>
      <c r="E817" s="1">
        <v>0.40972222222222227</v>
      </c>
      <c r="F817" s="1">
        <v>0.70833333333333337</v>
      </c>
      <c r="G817" s="9">
        <f t="shared" si="86"/>
        <v>44977</v>
      </c>
      <c r="H817" s="11">
        <f t="shared" si="87"/>
        <v>7.2</v>
      </c>
      <c r="I817" s="10">
        <f t="shared" si="83"/>
        <v>7.2</v>
      </c>
      <c r="J817" s="10">
        <f t="shared" si="84"/>
        <v>7.2</v>
      </c>
      <c r="K817" s="10">
        <f t="shared" si="85"/>
        <v>21.6</v>
      </c>
      <c r="L817" s="10">
        <f t="shared" si="88"/>
        <v>113.7</v>
      </c>
    </row>
    <row r="818" spans="1:12" x14ac:dyDescent="0.25">
      <c r="A818" s="7">
        <v>44980</v>
      </c>
      <c r="B818" s="2" t="s">
        <v>6</v>
      </c>
      <c r="C818" s="24" t="s">
        <v>416</v>
      </c>
      <c r="D818" t="s">
        <v>8</v>
      </c>
      <c r="E818" s="1">
        <v>0.36319444444444443</v>
      </c>
      <c r="F818" s="1">
        <v>0.40625</v>
      </c>
      <c r="G818" s="9">
        <f t="shared" si="86"/>
        <v>44977</v>
      </c>
      <c r="H818" s="11">
        <f t="shared" si="87"/>
        <v>1</v>
      </c>
      <c r="I818" s="10">
        <f t="shared" si="83"/>
        <v>1</v>
      </c>
      <c r="J818" s="10">
        <f t="shared" si="84"/>
        <v>7.2</v>
      </c>
      <c r="K818" s="10">
        <f t="shared" si="85"/>
        <v>22.6</v>
      </c>
      <c r="L818" s="10">
        <f t="shared" si="88"/>
        <v>114.7</v>
      </c>
    </row>
    <row r="819" spans="1:12" x14ac:dyDescent="0.25">
      <c r="A819" s="7">
        <v>44980</v>
      </c>
      <c r="B819" s="2" t="s">
        <v>6</v>
      </c>
      <c r="C819" s="24" t="s">
        <v>416</v>
      </c>
      <c r="D819" s="2" t="s">
        <v>280</v>
      </c>
      <c r="E819" s="1">
        <v>0.40625</v>
      </c>
      <c r="F819" s="1">
        <v>0.41666666666666669</v>
      </c>
      <c r="G819" s="9">
        <f t="shared" si="86"/>
        <v>44977</v>
      </c>
      <c r="H819" s="11">
        <f t="shared" si="87"/>
        <v>0.3</v>
      </c>
      <c r="I819" s="10">
        <f t="shared" si="83"/>
        <v>1.3</v>
      </c>
      <c r="J819" s="10">
        <f t="shared" si="84"/>
        <v>7.2</v>
      </c>
      <c r="K819" s="10">
        <f t="shared" si="85"/>
        <v>22.900000000000002</v>
      </c>
      <c r="L819" s="10">
        <f t="shared" si="88"/>
        <v>115</v>
      </c>
    </row>
    <row r="820" spans="1:12" x14ac:dyDescent="0.25">
      <c r="A820" s="7">
        <v>44980</v>
      </c>
      <c r="B820" s="2" t="s">
        <v>6</v>
      </c>
      <c r="C820" s="24" t="s">
        <v>416</v>
      </c>
      <c r="D820" s="2" t="s">
        <v>281</v>
      </c>
      <c r="E820" s="1">
        <v>0.41666666666666669</v>
      </c>
      <c r="F820" s="1">
        <v>0.4375</v>
      </c>
      <c r="G820" s="9">
        <f t="shared" si="86"/>
        <v>44977</v>
      </c>
      <c r="H820" s="11">
        <f t="shared" si="87"/>
        <v>0.5</v>
      </c>
      <c r="I820" s="10">
        <f t="shared" si="83"/>
        <v>1.8</v>
      </c>
      <c r="J820" s="10">
        <f t="shared" si="84"/>
        <v>7.2</v>
      </c>
      <c r="K820" s="10">
        <f t="shared" si="85"/>
        <v>23.4</v>
      </c>
      <c r="L820" s="10">
        <f t="shared" si="88"/>
        <v>115.5</v>
      </c>
    </row>
    <row r="821" spans="1:12" x14ac:dyDescent="0.25">
      <c r="A821" s="7">
        <v>44980</v>
      </c>
      <c r="B821" s="2" t="s">
        <v>6</v>
      </c>
      <c r="C821" s="24" t="s">
        <v>416</v>
      </c>
      <c r="D821" s="5" t="s">
        <v>234</v>
      </c>
      <c r="E821" s="1">
        <v>0.4375</v>
      </c>
      <c r="F821" s="1">
        <v>0.5</v>
      </c>
      <c r="G821" s="9">
        <f t="shared" si="86"/>
        <v>44977</v>
      </c>
      <c r="H821" s="11">
        <f t="shared" si="87"/>
        <v>1.5</v>
      </c>
      <c r="I821" s="10">
        <f t="shared" si="83"/>
        <v>3.3</v>
      </c>
      <c r="J821" s="10">
        <f t="shared" si="84"/>
        <v>7.2</v>
      </c>
      <c r="K821" s="10">
        <f t="shared" si="85"/>
        <v>24.9</v>
      </c>
      <c r="L821" s="10">
        <f t="shared" si="88"/>
        <v>117</v>
      </c>
    </row>
    <row r="822" spans="1:12" x14ac:dyDescent="0.25">
      <c r="A822" s="7">
        <v>44980</v>
      </c>
      <c r="B822" s="2" t="s">
        <v>6</v>
      </c>
      <c r="C822" s="24" t="s">
        <v>416</v>
      </c>
      <c r="D822" s="5" t="s">
        <v>173</v>
      </c>
      <c r="E822" s="1">
        <v>0.5</v>
      </c>
      <c r="F822" s="1">
        <v>0.70208333333333339</v>
      </c>
      <c r="G822" s="9">
        <f t="shared" si="86"/>
        <v>44977</v>
      </c>
      <c r="H822" s="11">
        <f t="shared" si="87"/>
        <v>4.9000000000000004</v>
      </c>
      <c r="I822" s="10">
        <f t="shared" si="83"/>
        <v>8.1999999999999993</v>
      </c>
      <c r="J822" s="10">
        <f t="shared" si="84"/>
        <v>7.2</v>
      </c>
      <c r="K822" s="10">
        <f t="shared" si="85"/>
        <v>29.799999999999997</v>
      </c>
      <c r="L822" s="10">
        <f t="shared" si="88"/>
        <v>121.9</v>
      </c>
    </row>
    <row r="823" spans="1:12" x14ac:dyDescent="0.25">
      <c r="A823" s="7">
        <v>44981</v>
      </c>
      <c r="B823" t="s">
        <v>19</v>
      </c>
      <c r="C823" s="6">
        <v>2675</v>
      </c>
      <c r="D823" s="5" t="s">
        <v>263</v>
      </c>
      <c r="E823" s="1">
        <v>0.31388888888888888</v>
      </c>
      <c r="F823" s="1">
        <v>0.41666666666666669</v>
      </c>
      <c r="G823" s="9">
        <f t="shared" si="86"/>
        <v>44977</v>
      </c>
      <c r="H823" s="11">
        <f t="shared" si="87"/>
        <v>2.5</v>
      </c>
      <c r="I823" s="10">
        <f t="shared" si="83"/>
        <v>2.5</v>
      </c>
      <c r="J823" s="10">
        <f t="shared" si="84"/>
        <v>7.2</v>
      </c>
      <c r="K823" s="10">
        <f t="shared" si="85"/>
        <v>32.299999999999997</v>
      </c>
      <c r="L823" s="10">
        <f t="shared" si="88"/>
        <v>124.4</v>
      </c>
    </row>
    <row r="824" spans="1:12" x14ac:dyDescent="0.25">
      <c r="A824" s="7">
        <v>44981</v>
      </c>
      <c r="B824" s="2" t="s">
        <v>6</v>
      </c>
      <c r="C824" s="24" t="s">
        <v>416</v>
      </c>
      <c r="D824" s="5" t="s">
        <v>130</v>
      </c>
      <c r="E824" s="1">
        <v>0.41666666666666669</v>
      </c>
      <c r="F824" s="1">
        <v>0.45</v>
      </c>
      <c r="G824" s="9">
        <f t="shared" si="86"/>
        <v>44977</v>
      </c>
      <c r="H824" s="11">
        <f t="shared" si="87"/>
        <v>0.8</v>
      </c>
      <c r="I824" s="10">
        <f t="shared" si="83"/>
        <v>3.3</v>
      </c>
      <c r="J824" s="10">
        <f t="shared" si="84"/>
        <v>7.2</v>
      </c>
      <c r="K824" s="10">
        <f t="shared" si="85"/>
        <v>33.099999999999994</v>
      </c>
      <c r="L824" s="10">
        <f t="shared" si="88"/>
        <v>125.2</v>
      </c>
    </row>
    <row r="825" spans="1:12" x14ac:dyDescent="0.25">
      <c r="A825" s="7">
        <v>44981</v>
      </c>
      <c r="B825" t="s">
        <v>19</v>
      </c>
      <c r="C825" s="6">
        <v>2675</v>
      </c>
      <c r="D825" s="5" t="s">
        <v>263</v>
      </c>
      <c r="E825" s="1">
        <v>0.45</v>
      </c>
      <c r="F825" s="1">
        <v>0.4777777777777778</v>
      </c>
      <c r="G825" s="9">
        <f t="shared" si="86"/>
        <v>44977</v>
      </c>
      <c r="H825" s="11">
        <f t="shared" si="87"/>
        <v>0.7</v>
      </c>
      <c r="I825" s="10">
        <f t="shared" si="83"/>
        <v>4</v>
      </c>
      <c r="J825" s="10">
        <f t="shared" si="84"/>
        <v>7.2</v>
      </c>
      <c r="K825" s="10">
        <f t="shared" si="85"/>
        <v>33.800000000000004</v>
      </c>
      <c r="L825" s="10">
        <f t="shared" si="88"/>
        <v>125.9</v>
      </c>
    </row>
    <row r="826" spans="1:12" x14ac:dyDescent="0.25">
      <c r="A826" s="7">
        <v>44981</v>
      </c>
      <c r="B826" t="s">
        <v>19</v>
      </c>
      <c r="C826" s="6">
        <v>2675</v>
      </c>
      <c r="D826" s="5" t="s">
        <v>263</v>
      </c>
      <c r="E826" s="1">
        <v>0.48958333333333331</v>
      </c>
      <c r="F826" s="1">
        <v>0.5</v>
      </c>
      <c r="G826" s="9">
        <f t="shared" si="86"/>
        <v>44977</v>
      </c>
      <c r="H826" s="11">
        <f t="shared" si="87"/>
        <v>0.3</v>
      </c>
      <c r="I826" s="10">
        <f t="shared" si="83"/>
        <v>4.3</v>
      </c>
      <c r="J826" s="10">
        <f t="shared" si="84"/>
        <v>7.2</v>
      </c>
      <c r="K826" s="10">
        <f t="shared" si="85"/>
        <v>34.099999999999994</v>
      </c>
      <c r="L826" s="10">
        <f t="shared" si="88"/>
        <v>126.2</v>
      </c>
    </row>
    <row r="827" spans="1:12" x14ac:dyDescent="0.25">
      <c r="A827" s="7">
        <v>44981</v>
      </c>
      <c r="B827" t="s">
        <v>19</v>
      </c>
      <c r="C827" s="6">
        <v>2675</v>
      </c>
      <c r="D827" s="5" t="s">
        <v>282</v>
      </c>
      <c r="E827" s="1">
        <v>0.5</v>
      </c>
      <c r="F827" s="1">
        <v>0.5444444444444444</v>
      </c>
      <c r="G827" s="9">
        <f t="shared" si="86"/>
        <v>44977</v>
      </c>
      <c r="H827" s="11">
        <f t="shared" si="87"/>
        <v>1.1000000000000001</v>
      </c>
      <c r="I827" s="10">
        <f t="shared" si="83"/>
        <v>5.4</v>
      </c>
      <c r="J827" s="10">
        <f t="shared" si="84"/>
        <v>7.2</v>
      </c>
      <c r="K827" s="10">
        <f t="shared" si="85"/>
        <v>35.200000000000003</v>
      </c>
      <c r="L827" s="10">
        <f t="shared" si="88"/>
        <v>127.3</v>
      </c>
    </row>
    <row r="828" spans="1:12" x14ac:dyDescent="0.25">
      <c r="A828" s="7">
        <v>44981</v>
      </c>
      <c r="B828" t="s">
        <v>19</v>
      </c>
      <c r="C828" s="6">
        <v>2675</v>
      </c>
      <c r="D828" s="5" t="s">
        <v>263</v>
      </c>
      <c r="E828" s="1">
        <v>0.5444444444444444</v>
      </c>
      <c r="F828" s="1">
        <v>0.61111111111111105</v>
      </c>
      <c r="G828" s="9">
        <f t="shared" si="86"/>
        <v>44977</v>
      </c>
      <c r="H828" s="11">
        <f t="shared" si="87"/>
        <v>1.6</v>
      </c>
      <c r="I828" s="10">
        <f t="shared" si="83"/>
        <v>7</v>
      </c>
      <c r="J828" s="10">
        <f t="shared" si="84"/>
        <v>7.2</v>
      </c>
      <c r="K828" s="10">
        <f t="shared" si="85"/>
        <v>36.800000000000004</v>
      </c>
      <c r="L828" s="10">
        <f t="shared" si="88"/>
        <v>128.9</v>
      </c>
    </row>
    <row r="829" spans="1:12" x14ac:dyDescent="0.25">
      <c r="A829" s="7">
        <v>44984</v>
      </c>
      <c r="B829" t="s">
        <v>19</v>
      </c>
      <c r="C829" s="6">
        <v>2675</v>
      </c>
      <c r="D829" s="5" t="s">
        <v>283</v>
      </c>
      <c r="E829" s="1">
        <v>0.33124999999999999</v>
      </c>
      <c r="F829" s="1">
        <v>0.41666666666666669</v>
      </c>
      <c r="G829" s="9">
        <f t="shared" si="86"/>
        <v>44984</v>
      </c>
      <c r="H829" s="11">
        <f t="shared" si="87"/>
        <v>2.1</v>
      </c>
      <c r="I829" s="10">
        <f t="shared" si="83"/>
        <v>2.1</v>
      </c>
      <c r="J829" s="10">
        <f t="shared" si="84"/>
        <v>7.2</v>
      </c>
      <c r="K829" s="10">
        <f t="shared" si="85"/>
        <v>2.1</v>
      </c>
      <c r="L829" s="10">
        <f t="shared" si="88"/>
        <v>131</v>
      </c>
    </row>
    <row r="830" spans="1:12" x14ac:dyDescent="0.25">
      <c r="A830" s="7">
        <v>44984</v>
      </c>
      <c r="B830" s="2" t="s">
        <v>6</v>
      </c>
      <c r="C830" s="24" t="s">
        <v>416</v>
      </c>
      <c r="D830" s="5" t="s">
        <v>112</v>
      </c>
      <c r="E830" s="1">
        <v>0.41666666666666669</v>
      </c>
      <c r="F830" s="1">
        <v>0.45833333333333331</v>
      </c>
      <c r="G830" s="9">
        <f t="shared" si="86"/>
        <v>44984</v>
      </c>
      <c r="H830" s="11">
        <f t="shared" si="87"/>
        <v>1</v>
      </c>
      <c r="I830" s="10">
        <f t="shared" si="83"/>
        <v>3.1</v>
      </c>
      <c r="J830" s="10">
        <f t="shared" si="84"/>
        <v>7.2</v>
      </c>
      <c r="K830" s="10">
        <f t="shared" si="85"/>
        <v>3.1</v>
      </c>
      <c r="L830" s="10">
        <f t="shared" si="88"/>
        <v>132</v>
      </c>
    </row>
    <row r="831" spans="1:12" x14ac:dyDescent="0.25">
      <c r="A831" s="7">
        <v>44984</v>
      </c>
      <c r="B831" t="s">
        <v>19</v>
      </c>
      <c r="C831" s="6">
        <v>2675</v>
      </c>
      <c r="D831" s="5" t="s">
        <v>284</v>
      </c>
      <c r="E831" s="1">
        <v>0.45833333333333331</v>
      </c>
      <c r="F831" s="1">
        <v>0.50624999999999998</v>
      </c>
      <c r="G831" s="9">
        <f t="shared" si="86"/>
        <v>44984</v>
      </c>
      <c r="H831" s="11">
        <f t="shared" si="87"/>
        <v>1.2</v>
      </c>
      <c r="I831" s="10">
        <f t="shared" si="83"/>
        <v>4.3</v>
      </c>
      <c r="J831" s="10">
        <f t="shared" si="84"/>
        <v>7.2</v>
      </c>
      <c r="K831" s="10">
        <f t="shared" si="85"/>
        <v>4.3</v>
      </c>
      <c r="L831" s="10">
        <f t="shared" si="88"/>
        <v>133.19999999999999</v>
      </c>
    </row>
    <row r="832" spans="1:12" x14ac:dyDescent="0.25">
      <c r="A832" s="7">
        <v>44984</v>
      </c>
      <c r="B832" t="s">
        <v>19</v>
      </c>
      <c r="C832" s="6">
        <v>2675</v>
      </c>
      <c r="D832" s="5" t="s">
        <v>284</v>
      </c>
      <c r="E832" s="1">
        <v>0.51944444444444449</v>
      </c>
      <c r="F832" s="1">
        <v>0.58333333333333337</v>
      </c>
      <c r="G832" s="9">
        <f t="shared" si="86"/>
        <v>44984</v>
      </c>
      <c r="H832" s="11">
        <f t="shared" si="87"/>
        <v>1.5</v>
      </c>
      <c r="I832" s="10">
        <f t="shared" si="83"/>
        <v>5.8</v>
      </c>
      <c r="J832" s="10">
        <f t="shared" si="84"/>
        <v>7.2</v>
      </c>
      <c r="K832" s="10">
        <f t="shared" si="85"/>
        <v>5.8</v>
      </c>
      <c r="L832" s="10">
        <f t="shared" si="88"/>
        <v>134.69999999999999</v>
      </c>
    </row>
    <row r="833" spans="1:12" x14ac:dyDescent="0.25">
      <c r="A833" s="7">
        <v>44984</v>
      </c>
      <c r="B833" t="s">
        <v>19</v>
      </c>
      <c r="C833" s="6">
        <v>2675</v>
      </c>
      <c r="D833" s="5" t="s">
        <v>285</v>
      </c>
      <c r="E833" s="1">
        <v>0.58333333333333337</v>
      </c>
      <c r="F833" s="1">
        <v>0.6381944444444444</v>
      </c>
      <c r="G833" s="9">
        <f t="shared" si="86"/>
        <v>44984</v>
      </c>
      <c r="H833" s="11">
        <f t="shared" si="87"/>
        <v>1.3</v>
      </c>
      <c r="I833" s="10">
        <f t="shared" si="83"/>
        <v>7.1</v>
      </c>
      <c r="J833" s="10">
        <f t="shared" si="84"/>
        <v>7.2</v>
      </c>
      <c r="K833" s="10">
        <f t="shared" si="85"/>
        <v>7.1</v>
      </c>
      <c r="L833" s="10">
        <f t="shared" si="88"/>
        <v>136</v>
      </c>
    </row>
    <row r="834" spans="1:12" x14ac:dyDescent="0.25">
      <c r="A834" s="7">
        <v>44985</v>
      </c>
      <c r="B834" t="s">
        <v>19</v>
      </c>
      <c r="C834" s="6">
        <v>2675</v>
      </c>
      <c r="D834" s="5" t="s">
        <v>285</v>
      </c>
      <c r="E834" s="1">
        <v>0.34375</v>
      </c>
      <c r="F834" s="1">
        <v>0.375</v>
      </c>
      <c r="G834" s="9">
        <f t="shared" si="86"/>
        <v>44984</v>
      </c>
      <c r="H834" s="11">
        <f t="shared" si="87"/>
        <v>0.8</v>
      </c>
      <c r="I834" s="10">
        <f t="shared" si="83"/>
        <v>0.8</v>
      </c>
      <c r="J834" s="10">
        <f t="shared" si="84"/>
        <v>7.2</v>
      </c>
      <c r="K834" s="10">
        <f t="shared" si="85"/>
        <v>7.8999999999999995</v>
      </c>
      <c r="L834" s="10">
        <f t="shared" si="88"/>
        <v>136.80000000000001</v>
      </c>
    </row>
    <row r="835" spans="1:12" x14ac:dyDescent="0.25">
      <c r="A835" s="7">
        <v>44985</v>
      </c>
      <c r="B835" s="2" t="s">
        <v>6</v>
      </c>
      <c r="C835" s="24" t="s">
        <v>416</v>
      </c>
      <c r="D835" s="5" t="s">
        <v>286</v>
      </c>
      <c r="E835" s="1">
        <v>0.375</v>
      </c>
      <c r="F835" s="1">
        <v>0.40486111111111112</v>
      </c>
      <c r="G835" s="9">
        <f t="shared" si="86"/>
        <v>44984</v>
      </c>
      <c r="H835" s="11">
        <f t="shared" si="87"/>
        <v>0.7</v>
      </c>
      <c r="I835" s="10">
        <f t="shared" ref="I835:I898" si="89">IF(H835="",H835,H835+IF(A835=A834,_xlfn.NUMBERVALUE(I834),0))</f>
        <v>1.5</v>
      </c>
      <c r="J835" s="10">
        <f t="shared" ref="J835:J898" si="90">IF(H835="",H835,7.2)</f>
        <v>7.2</v>
      </c>
      <c r="K835" s="10">
        <f t="shared" ref="K835:K898" si="91">IF(H835="",H835,H835+IF(G835=G834,_xlfn.NUMBERVALUE(K834),0))</f>
        <v>8.6</v>
      </c>
      <c r="L835" s="10">
        <f t="shared" si="88"/>
        <v>137.5</v>
      </c>
    </row>
    <row r="836" spans="1:12" x14ac:dyDescent="0.25">
      <c r="A836" s="7">
        <v>44985</v>
      </c>
      <c r="B836" t="s">
        <v>19</v>
      </c>
      <c r="C836" s="6">
        <v>2675</v>
      </c>
      <c r="D836" s="5" t="s">
        <v>285</v>
      </c>
      <c r="E836" s="1">
        <v>0.40486111111111112</v>
      </c>
      <c r="F836" s="1">
        <v>0.46180555555555558</v>
      </c>
      <c r="G836" s="9">
        <f t="shared" ref="G836:G899" si="92">IF(E836&gt;0,INT((A836-2)/7)*7+2,"")</f>
        <v>44984</v>
      </c>
      <c r="H836" s="11">
        <f t="shared" ref="H836:H899" si="93">IF(E836&gt;0,ROUND(24*(IF(F836&gt;0,F836,NowTime)-E836),1),"")</f>
        <v>1.4</v>
      </c>
      <c r="I836" s="10">
        <f t="shared" si="89"/>
        <v>2.9</v>
      </c>
      <c r="J836" s="10">
        <f t="shared" si="90"/>
        <v>7.2</v>
      </c>
      <c r="K836" s="10">
        <f t="shared" si="91"/>
        <v>10</v>
      </c>
      <c r="L836" s="10">
        <f t="shared" si="88"/>
        <v>138.9</v>
      </c>
    </row>
    <row r="837" spans="1:12" x14ac:dyDescent="0.25">
      <c r="A837" s="7">
        <v>44985</v>
      </c>
      <c r="B837" t="s">
        <v>19</v>
      </c>
      <c r="C837" s="6">
        <v>2675</v>
      </c>
      <c r="D837" s="5" t="s">
        <v>287</v>
      </c>
      <c r="E837" s="1">
        <v>0.46180555555555558</v>
      </c>
      <c r="F837" s="1">
        <v>0.63124999999999998</v>
      </c>
      <c r="G837" s="9">
        <f t="shared" si="92"/>
        <v>44984</v>
      </c>
      <c r="H837" s="11">
        <f t="shared" si="93"/>
        <v>4.0999999999999996</v>
      </c>
      <c r="I837" s="10">
        <f t="shared" si="89"/>
        <v>7</v>
      </c>
      <c r="J837" s="10">
        <f t="shared" si="90"/>
        <v>7.2</v>
      </c>
      <c r="K837" s="10">
        <f t="shared" si="91"/>
        <v>14.1</v>
      </c>
      <c r="L837" s="10">
        <f t="shared" ref="L837:L900" si="94">IF(H837="",H837,H837+IF(MONTH(A837)=MONTH(A836),_xlfn.NUMBERVALUE(L836),0))</f>
        <v>143</v>
      </c>
    </row>
    <row r="838" spans="1:12" x14ac:dyDescent="0.25">
      <c r="A838" s="7">
        <v>44986</v>
      </c>
      <c r="B838" t="s">
        <v>19</v>
      </c>
      <c r="C838" s="6">
        <v>2675</v>
      </c>
      <c r="D838" s="5" t="s">
        <v>287</v>
      </c>
      <c r="E838" s="1">
        <v>0.3263888888888889</v>
      </c>
      <c r="F838" s="1">
        <v>0.48680555555555555</v>
      </c>
      <c r="G838" s="9">
        <f t="shared" si="92"/>
        <v>44984</v>
      </c>
      <c r="H838" s="11">
        <f t="shared" si="93"/>
        <v>3.9</v>
      </c>
      <c r="I838" s="10">
        <f t="shared" si="89"/>
        <v>3.9</v>
      </c>
      <c r="J838" s="10">
        <f t="shared" si="90"/>
        <v>7.2</v>
      </c>
      <c r="K838" s="10">
        <f t="shared" si="91"/>
        <v>18</v>
      </c>
      <c r="L838" s="10">
        <f t="shared" si="94"/>
        <v>3.9</v>
      </c>
    </row>
    <row r="839" spans="1:12" x14ac:dyDescent="0.25">
      <c r="A839" s="7">
        <v>44986</v>
      </c>
      <c r="B839" t="s">
        <v>19</v>
      </c>
      <c r="C839" s="6">
        <v>2675</v>
      </c>
      <c r="D839" s="5" t="s">
        <v>287</v>
      </c>
      <c r="E839" s="1">
        <v>0.50624999999999998</v>
      </c>
      <c r="F839" s="1">
        <v>0.5625</v>
      </c>
      <c r="G839" s="9">
        <f t="shared" si="92"/>
        <v>44984</v>
      </c>
      <c r="H839" s="11">
        <f t="shared" si="93"/>
        <v>1.4</v>
      </c>
      <c r="I839" s="10">
        <f t="shared" si="89"/>
        <v>5.3</v>
      </c>
      <c r="J839" s="10">
        <f t="shared" si="90"/>
        <v>7.2</v>
      </c>
      <c r="K839" s="10">
        <f t="shared" si="91"/>
        <v>19.399999999999999</v>
      </c>
      <c r="L839" s="10">
        <f t="shared" si="94"/>
        <v>5.3</v>
      </c>
    </row>
    <row r="840" spans="1:12" x14ac:dyDescent="0.25">
      <c r="A840" s="7">
        <v>44986</v>
      </c>
      <c r="B840" s="2" t="s">
        <v>6</v>
      </c>
      <c r="C840" s="24" t="s">
        <v>416</v>
      </c>
      <c r="D840" s="5" t="s">
        <v>288</v>
      </c>
      <c r="E840" s="1">
        <v>0.5625</v>
      </c>
      <c r="F840" s="1">
        <v>0.6020833333333333</v>
      </c>
      <c r="G840" s="9">
        <f t="shared" si="92"/>
        <v>44984</v>
      </c>
      <c r="H840" s="11">
        <f t="shared" si="93"/>
        <v>0.9</v>
      </c>
      <c r="I840" s="10">
        <f t="shared" si="89"/>
        <v>6.2</v>
      </c>
      <c r="J840" s="10">
        <f t="shared" si="90"/>
        <v>7.2</v>
      </c>
      <c r="K840" s="10">
        <f t="shared" si="91"/>
        <v>20.299999999999997</v>
      </c>
      <c r="L840" s="10">
        <f t="shared" si="94"/>
        <v>6.2</v>
      </c>
    </row>
    <row r="841" spans="1:12" x14ac:dyDescent="0.25">
      <c r="A841" s="7">
        <v>44986</v>
      </c>
      <c r="B841" t="s">
        <v>19</v>
      </c>
      <c r="C841" s="6">
        <v>2675</v>
      </c>
      <c r="D841" s="5" t="s">
        <v>90</v>
      </c>
      <c r="E841" s="1">
        <v>0.6020833333333333</v>
      </c>
      <c r="F841" s="1">
        <v>0.65625</v>
      </c>
      <c r="G841" s="9">
        <f t="shared" si="92"/>
        <v>44984</v>
      </c>
      <c r="H841" s="11">
        <f t="shared" si="93"/>
        <v>1.3</v>
      </c>
      <c r="I841" s="10">
        <f t="shared" si="89"/>
        <v>7.5</v>
      </c>
      <c r="J841" s="10">
        <f t="shared" si="90"/>
        <v>7.2</v>
      </c>
      <c r="K841" s="10">
        <f t="shared" si="91"/>
        <v>21.6</v>
      </c>
      <c r="L841" s="10">
        <f t="shared" si="94"/>
        <v>7.5</v>
      </c>
    </row>
    <row r="842" spans="1:12" x14ac:dyDescent="0.25">
      <c r="A842" s="7">
        <v>44987</v>
      </c>
      <c r="B842" t="s">
        <v>19</v>
      </c>
      <c r="C842" s="6">
        <v>2675</v>
      </c>
      <c r="D842" s="5" t="s">
        <v>289</v>
      </c>
      <c r="E842" s="1">
        <v>0.3527777777777778</v>
      </c>
      <c r="F842" s="1">
        <v>0.48958333333333331</v>
      </c>
      <c r="G842" s="9">
        <f t="shared" si="92"/>
        <v>44984</v>
      </c>
      <c r="H842" s="11">
        <f t="shared" si="93"/>
        <v>3.3</v>
      </c>
      <c r="I842" s="10">
        <f t="shared" si="89"/>
        <v>3.3</v>
      </c>
      <c r="J842" s="10">
        <f t="shared" si="90"/>
        <v>7.2</v>
      </c>
      <c r="K842" s="10">
        <f t="shared" si="91"/>
        <v>24.900000000000002</v>
      </c>
      <c r="L842" s="10">
        <f t="shared" si="94"/>
        <v>10.8</v>
      </c>
    </row>
    <row r="843" spans="1:12" x14ac:dyDescent="0.25">
      <c r="A843" s="7">
        <v>44987</v>
      </c>
      <c r="B843" t="s">
        <v>19</v>
      </c>
      <c r="C843" s="6">
        <v>2675</v>
      </c>
      <c r="D843" s="5" t="s">
        <v>289</v>
      </c>
      <c r="E843" s="1">
        <v>0.56388888888888888</v>
      </c>
      <c r="F843" s="1">
        <v>0.625</v>
      </c>
      <c r="G843" s="9">
        <f t="shared" si="92"/>
        <v>44984</v>
      </c>
      <c r="H843" s="11">
        <f t="shared" si="93"/>
        <v>1.5</v>
      </c>
      <c r="I843" s="10">
        <f t="shared" si="89"/>
        <v>4.8</v>
      </c>
      <c r="J843" s="10">
        <f t="shared" si="90"/>
        <v>7.2</v>
      </c>
      <c r="K843" s="10">
        <f t="shared" si="91"/>
        <v>26.4</v>
      </c>
      <c r="L843" s="10">
        <f t="shared" si="94"/>
        <v>12.3</v>
      </c>
    </row>
    <row r="844" spans="1:12" x14ac:dyDescent="0.25">
      <c r="A844" s="7">
        <v>44987</v>
      </c>
      <c r="B844" t="s">
        <v>19</v>
      </c>
      <c r="C844" s="6">
        <v>2675</v>
      </c>
      <c r="D844" s="5" t="s">
        <v>259</v>
      </c>
      <c r="E844" s="1">
        <v>0.625</v>
      </c>
      <c r="F844" s="1">
        <v>0.66180555555555554</v>
      </c>
      <c r="G844" s="9">
        <f t="shared" si="92"/>
        <v>44984</v>
      </c>
      <c r="H844" s="11">
        <f t="shared" si="93"/>
        <v>0.9</v>
      </c>
      <c r="I844" s="10">
        <f t="shared" si="89"/>
        <v>5.7</v>
      </c>
      <c r="J844" s="10">
        <f t="shared" si="90"/>
        <v>7.2</v>
      </c>
      <c r="K844" s="10">
        <f t="shared" si="91"/>
        <v>27.299999999999997</v>
      </c>
      <c r="L844" s="10">
        <f t="shared" si="94"/>
        <v>13.200000000000001</v>
      </c>
    </row>
    <row r="845" spans="1:12" x14ac:dyDescent="0.25">
      <c r="A845" s="7">
        <v>44987</v>
      </c>
      <c r="B845" t="s">
        <v>19</v>
      </c>
      <c r="C845" s="6">
        <v>2675</v>
      </c>
      <c r="D845" s="5" t="s">
        <v>289</v>
      </c>
      <c r="E845" s="1">
        <v>0.66180555555555554</v>
      </c>
      <c r="F845" s="1">
        <v>0.69027777777777777</v>
      </c>
      <c r="G845" s="9">
        <f t="shared" si="92"/>
        <v>44984</v>
      </c>
      <c r="H845" s="11">
        <f t="shared" si="93"/>
        <v>0.7</v>
      </c>
      <c r="I845" s="10">
        <f t="shared" si="89"/>
        <v>6.4</v>
      </c>
      <c r="J845" s="10">
        <f t="shared" si="90"/>
        <v>7.2</v>
      </c>
      <c r="K845" s="10">
        <f t="shared" si="91"/>
        <v>28</v>
      </c>
      <c r="L845" s="10">
        <f t="shared" si="94"/>
        <v>13.899999999999999</v>
      </c>
    </row>
    <row r="846" spans="1:12" x14ac:dyDescent="0.25">
      <c r="A846" s="7">
        <v>44988</v>
      </c>
      <c r="B846" t="s">
        <v>19</v>
      </c>
      <c r="C846" s="6">
        <v>2675</v>
      </c>
      <c r="D846" s="5" t="s">
        <v>289</v>
      </c>
      <c r="E846" s="1">
        <v>0.32222222222222224</v>
      </c>
      <c r="F846" s="1">
        <v>0.375</v>
      </c>
      <c r="G846" s="9">
        <f t="shared" si="92"/>
        <v>44984</v>
      </c>
      <c r="H846" s="11">
        <f t="shared" si="93"/>
        <v>1.3</v>
      </c>
      <c r="I846" s="10">
        <f t="shared" si="89"/>
        <v>1.3</v>
      </c>
      <c r="J846" s="10">
        <f t="shared" si="90"/>
        <v>7.2</v>
      </c>
      <c r="K846" s="10">
        <f t="shared" si="91"/>
        <v>29.3</v>
      </c>
      <c r="L846" s="10">
        <f t="shared" si="94"/>
        <v>15.200000000000001</v>
      </c>
    </row>
    <row r="847" spans="1:12" x14ac:dyDescent="0.25">
      <c r="A847" s="7">
        <v>44988</v>
      </c>
      <c r="B847" t="s">
        <v>19</v>
      </c>
      <c r="C847" s="6">
        <v>2675</v>
      </c>
      <c r="D847" s="5" t="s">
        <v>290</v>
      </c>
      <c r="E847" s="1">
        <v>0.375</v>
      </c>
      <c r="F847" s="1">
        <v>0.4375</v>
      </c>
      <c r="G847" s="9">
        <f t="shared" si="92"/>
        <v>44984</v>
      </c>
      <c r="H847" s="11">
        <f t="shared" si="93"/>
        <v>1.5</v>
      </c>
      <c r="I847" s="10">
        <f t="shared" si="89"/>
        <v>2.8</v>
      </c>
      <c r="J847" s="10">
        <f t="shared" si="90"/>
        <v>7.2</v>
      </c>
      <c r="K847" s="10">
        <f t="shared" si="91"/>
        <v>30.8</v>
      </c>
      <c r="L847" s="10">
        <f t="shared" si="94"/>
        <v>16.7</v>
      </c>
    </row>
    <row r="848" spans="1:12" x14ac:dyDescent="0.25">
      <c r="A848" s="7">
        <v>44988</v>
      </c>
      <c r="B848" t="s">
        <v>19</v>
      </c>
      <c r="C848" s="6">
        <v>2675</v>
      </c>
      <c r="D848" s="5" t="s">
        <v>291</v>
      </c>
      <c r="E848" s="1">
        <v>0.4375</v>
      </c>
      <c r="F848" s="1">
        <v>0.48055555555555557</v>
      </c>
      <c r="G848" s="9">
        <f t="shared" si="92"/>
        <v>44984</v>
      </c>
      <c r="H848" s="11">
        <f t="shared" si="93"/>
        <v>1</v>
      </c>
      <c r="I848" s="10">
        <f t="shared" si="89"/>
        <v>3.8</v>
      </c>
      <c r="J848" s="10">
        <f t="shared" si="90"/>
        <v>7.2</v>
      </c>
      <c r="K848" s="10">
        <f t="shared" si="91"/>
        <v>31.8</v>
      </c>
      <c r="L848" s="10">
        <f t="shared" si="94"/>
        <v>17.7</v>
      </c>
    </row>
    <row r="849" spans="1:12" x14ac:dyDescent="0.25">
      <c r="A849" s="7">
        <v>44988</v>
      </c>
      <c r="B849" t="s">
        <v>19</v>
      </c>
      <c r="C849" s="6">
        <v>2675</v>
      </c>
      <c r="D849" s="5" t="s">
        <v>291</v>
      </c>
      <c r="E849" s="1">
        <v>0.5</v>
      </c>
      <c r="F849" s="1">
        <v>0.65902777777777777</v>
      </c>
      <c r="G849" s="9">
        <f t="shared" si="92"/>
        <v>44984</v>
      </c>
      <c r="H849" s="11">
        <f t="shared" si="93"/>
        <v>3.8</v>
      </c>
      <c r="I849" s="10">
        <f t="shared" si="89"/>
        <v>7.6</v>
      </c>
      <c r="J849" s="10">
        <f t="shared" si="90"/>
        <v>7.2</v>
      </c>
      <c r="K849" s="10">
        <f t="shared" si="91"/>
        <v>35.6</v>
      </c>
      <c r="L849" s="10">
        <f t="shared" si="94"/>
        <v>21.5</v>
      </c>
    </row>
    <row r="850" spans="1:12" x14ac:dyDescent="0.25">
      <c r="A850" s="7">
        <v>44991</v>
      </c>
      <c r="B850" t="s">
        <v>19</v>
      </c>
      <c r="C850" s="6">
        <v>2675</v>
      </c>
      <c r="D850" s="5" t="s">
        <v>291</v>
      </c>
      <c r="E850" s="1">
        <v>0.36180555555555555</v>
      </c>
      <c r="F850" s="1">
        <v>0.41666666666666669</v>
      </c>
      <c r="G850" s="9">
        <f t="shared" si="92"/>
        <v>44991</v>
      </c>
      <c r="H850" s="11">
        <f t="shared" si="93"/>
        <v>1.3</v>
      </c>
      <c r="I850" s="10">
        <f t="shared" si="89"/>
        <v>1.3</v>
      </c>
      <c r="J850" s="10">
        <f t="shared" si="90"/>
        <v>7.2</v>
      </c>
      <c r="K850" s="10">
        <f t="shared" si="91"/>
        <v>1.3</v>
      </c>
      <c r="L850" s="10">
        <f t="shared" si="94"/>
        <v>22.8</v>
      </c>
    </row>
    <row r="851" spans="1:12" x14ac:dyDescent="0.25">
      <c r="A851" s="7">
        <v>44991</v>
      </c>
      <c r="B851" s="2" t="s">
        <v>6</v>
      </c>
      <c r="C851" s="24" t="s">
        <v>416</v>
      </c>
      <c r="D851" s="5" t="s">
        <v>112</v>
      </c>
      <c r="E851" s="1">
        <v>0.41666666666666669</v>
      </c>
      <c r="F851" s="1">
        <v>0.45833333333333331</v>
      </c>
      <c r="G851" s="9">
        <f t="shared" si="92"/>
        <v>44991</v>
      </c>
      <c r="H851" s="11">
        <f t="shared" si="93"/>
        <v>1</v>
      </c>
      <c r="I851" s="10">
        <f t="shared" si="89"/>
        <v>2.2999999999999998</v>
      </c>
      <c r="J851" s="10">
        <f t="shared" si="90"/>
        <v>7.2</v>
      </c>
      <c r="K851" s="10">
        <f t="shared" si="91"/>
        <v>2.2999999999999998</v>
      </c>
      <c r="L851" s="10">
        <f t="shared" si="94"/>
        <v>23.8</v>
      </c>
    </row>
    <row r="852" spans="1:12" x14ac:dyDescent="0.25">
      <c r="A852" s="7">
        <v>44991</v>
      </c>
      <c r="B852" s="2" t="s">
        <v>292</v>
      </c>
      <c r="C852" s="24">
        <v>8075</v>
      </c>
      <c r="D852" s="5" t="s">
        <v>288</v>
      </c>
      <c r="E852" s="1">
        <v>0.45833333333333331</v>
      </c>
      <c r="F852" s="1">
        <v>0.45833333333333331</v>
      </c>
      <c r="G852" s="9">
        <f t="shared" si="92"/>
        <v>44991</v>
      </c>
      <c r="H852" s="11">
        <f t="shared" si="93"/>
        <v>0</v>
      </c>
      <c r="I852" s="10">
        <f t="shared" si="89"/>
        <v>2.2999999999999998</v>
      </c>
      <c r="J852" s="10">
        <f t="shared" si="90"/>
        <v>7.2</v>
      </c>
      <c r="K852" s="10">
        <f t="shared" si="91"/>
        <v>2.2999999999999998</v>
      </c>
      <c r="L852" s="10">
        <f t="shared" si="94"/>
        <v>23.8</v>
      </c>
    </row>
    <row r="853" spans="1:12" x14ac:dyDescent="0.25">
      <c r="A853" s="7">
        <v>44991</v>
      </c>
      <c r="B853" t="s">
        <v>19</v>
      </c>
      <c r="C853" s="6">
        <v>2675</v>
      </c>
      <c r="D853" s="5" t="s">
        <v>293</v>
      </c>
      <c r="E853" s="1">
        <v>0.5</v>
      </c>
      <c r="F853" s="1">
        <v>0.54166666666666663</v>
      </c>
      <c r="G853" s="9">
        <f t="shared" si="92"/>
        <v>44991</v>
      </c>
      <c r="H853" s="11">
        <f t="shared" si="93"/>
        <v>1</v>
      </c>
      <c r="I853" s="10">
        <f t="shared" si="89"/>
        <v>3.3</v>
      </c>
      <c r="J853" s="10">
        <f t="shared" si="90"/>
        <v>7.2</v>
      </c>
      <c r="K853" s="10">
        <f t="shared" si="91"/>
        <v>3.3</v>
      </c>
      <c r="L853" s="10">
        <f t="shared" si="94"/>
        <v>24.8</v>
      </c>
    </row>
    <row r="854" spans="1:12" x14ac:dyDescent="0.25">
      <c r="A854" s="7">
        <v>44991</v>
      </c>
      <c r="B854" t="s">
        <v>19</v>
      </c>
      <c r="C854" s="6">
        <v>2675</v>
      </c>
      <c r="D854" s="5" t="s">
        <v>89</v>
      </c>
      <c r="E854" s="1">
        <v>0.54166666666666663</v>
      </c>
      <c r="F854" s="1">
        <v>0.61805555555555558</v>
      </c>
      <c r="G854" s="9">
        <f t="shared" si="92"/>
        <v>44991</v>
      </c>
      <c r="H854" s="11">
        <f t="shared" si="93"/>
        <v>1.8</v>
      </c>
      <c r="I854" s="10">
        <f t="shared" si="89"/>
        <v>5.0999999999999996</v>
      </c>
      <c r="J854" s="10">
        <f t="shared" si="90"/>
        <v>7.2</v>
      </c>
      <c r="K854" s="10">
        <f t="shared" si="91"/>
        <v>5.0999999999999996</v>
      </c>
      <c r="L854" s="10">
        <f t="shared" si="94"/>
        <v>26.6</v>
      </c>
    </row>
    <row r="855" spans="1:12" x14ac:dyDescent="0.25">
      <c r="A855" s="7">
        <v>44991</v>
      </c>
      <c r="B855" t="s">
        <v>19</v>
      </c>
      <c r="C855" s="6">
        <v>2675</v>
      </c>
      <c r="D855" s="5" t="s">
        <v>293</v>
      </c>
      <c r="E855" s="1">
        <v>0.61805555555555558</v>
      </c>
      <c r="F855" s="1">
        <v>0.65</v>
      </c>
      <c r="G855" s="9">
        <f t="shared" si="92"/>
        <v>44991</v>
      </c>
      <c r="H855" s="11">
        <f t="shared" si="93"/>
        <v>0.8</v>
      </c>
      <c r="I855" s="10">
        <f t="shared" si="89"/>
        <v>5.8999999999999995</v>
      </c>
      <c r="J855" s="10">
        <f t="shared" si="90"/>
        <v>7.2</v>
      </c>
      <c r="K855" s="10">
        <f t="shared" si="91"/>
        <v>5.8999999999999995</v>
      </c>
      <c r="L855" s="10">
        <f t="shared" si="94"/>
        <v>27.400000000000002</v>
      </c>
    </row>
    <row r="856" spans="1:12" x14ac:dyDescent="0.25">
      <c r="A856" s="7">
        <v>44992</v>
      </c>
      <c r="B856" t="s">
        <v>19</v>
      </c>
      <c r="C856" s="6">
        <v>2675</v>
      </c>
      <c r="D856" s="5" t="s">
        <v>293</v>
      </c>
      <c r="E856" s="1">
        <v>0.3215277777777778</v>
      </c>
      <c r="F856" s="1">
        <v>0.41319444444444442</v>
      </c>
      <c r="G856" s="9">
        <f t="shared" si="92"/>
        <v>44991</v>
      </c>
      <c r="H856" s="11">
        <f t="shared" si="93"/>
        <v>2.2000000000000002</v>
      </c>
      <c r="I856" s="10">
        <f t="shared" si="89"/>
        <v>2.2000000000000002</v>
      </c>
      <c r="J856" s="10">
        <f t="shared" si="90"/>
        <v>7.2</v>
      </c>
      <c r="K856" s="10">
        <f t="shared" si="91"/>
        <v>8.1000000000000014</v>
      </c>
      <c r="L856" s="10">
        <f t="shared" si="94"/>
        <v>29.599999999999998</v>
      </c>
    </row>
    <row r="857" spans="1:12" x14ac:dyDescent="0.25">
      <c r="A857" s="7">
        <v>44992</v>
      </c>
      <c r="B857" s="2" t="s">
        <v>6</v>
      </c>
      <c r="C857" s="24" t="s">
        <v>416</v>
      </c>
      <c r="D857" s="5" t="s">
        <v>241</v>
      </c>
      <c r="E857" s="1">
        <v>0.41319444444444442</v>
      </c>
      <c r="F857" s="1">
        <v>0.4458333333333333</v>
      </c>
      <c r="G857" s="9">
        <f t="shared" si="92"/>
        <v>44991</v>
      </c>
      <c r="H857" s="11">
        <f t="shared" si="93"/>
        <v>0.8</v>
      </c>
      <c r="I857" s="10">
        <f t="shared" si="89"/>
        <v>3</v>
      </c>
      <c r="J857" s="10">
        <f t="shared" si="90"/>
        <v>7.2</v>
      </c>
      <c r="K857" s="10">
        <f t="shared" si="91"/>
        <v>8.9</v>
      </c>
      <c r="L857" s="10">
        <f t="shared" si="94"/>
        <v>30.400000000000002</v>
      </c>
    </row>
    <row r="858" spans="1:12" x14ac:dyDescent="0.25">
      <c r="A858" s="7">
        <v>44992</v>
      </c>
      <c r="B858" t="s">
        <v>19</v>
      </c>
      <c r="C858" s="6">
        <v>2675</v>
      </c>
      <c r="D858" s="5" t="s">
        <v>293</v>
      </c>
      <c r="E858" s="1">
        <v>0.4458333333333333</v>
      </c>
      <c r="F858" s="1">
        <v>0.48194444444444445</v>
      </c>
      <c r="G858" s="9">
        <f t="shared" si="92"/>
        <v>44991</v>
      </c>
      <c r="H858" s="11">
        <f t="shared" si="93"/>
        <v>0.9</v>
      </c>
      <c r="I858" s="10">
        <f t="shared" si="89"/>
        <v>3.9</v>
      </c>
      <c r="J858" s="10">
        <f t="shared" si="90"/>
        <v>7.2</v>
      </c>
      <c r="K858" s="10">
        <f t="shared" si="91"/>
        <v>9.8000000000000007</v>
      </c>
      <c r="L858" s="10">
        <f t="shared" si="94"/>
        <v>31.299999999999997</v>
      </c>
    </row>
    <row r="859" spans="1:12" x14ac:dyDescent="0.25">
      <c r="A859" s="7">
        <v>44992</v>
      </c>
      <c r="B859" t="s">
        <v>19</v>
      </c>
      <c r="C859" s="6">
        <v>2675</v>
      </c>
      <c r="D859" s="5" t="s">
        <v>293</v>
      </c>
      <c r="E859" s="1">
        <v>0.48888888888888887</v>
      </c>
      <c r="F859" s="1">
        <v>0.64583333333333337</v>
      </c>
      <c r="G859" s="9">
        <f t="shared" si="92"/>
        <v>44991</v>
      </c>
      <c r="H859" s="11">
        <f t="shared" si="93"/>
        <v>3.8</v>
      </c>
      <c r="I859" s="10">
        <f t="shared" si="89"/>
        <v>7.6999999999999993</v>
      </c>
      <c r="J859" s="10">
        <f t="shared" si="90"/>
        <v>7.2</v>
      </c>
      <c r="K859" s="10">
        <f t="shared" si="91"/>
        <v>13.600000000000001</v>
      </c>
      <c r="L859" s="10">
        <f t="shared" si="94"/>
        <v>35.1</v>
      </c>
    </row>
    <row r="860" spans="1:12" x14ac:dyDescent="0.25">
      <c r="A860" s="7">
        <v>44993</v>
      </c>
      <c r="B860" t="s">
        <v>19</v>
      </c>
      <c r="C860" s="6">
        <v>2675</v>
      </c>
      <c r="D860" s="5" t="s">
        <v>293</v>
      </c>
      <c r="E860" s="1">
        <v>0.31388888888888888</v>
      </c>
      <c r="F860" s="1">
        <v>0.4680555555555555</v>
      </c>
      <c r="G860" s="9">
        <f t="shared" si="92"/>
        <v>44991</v>
      </c>
      <c r="H860" s="11">
        <f t="shared" si="93"/>
        <v>3.7</v>
      </c>
      <c r="I860" s="10">
        <f t="shared" si="89"/>
        <v>3.7</v>
      </c>
      <c r="J860" s="10">
        <f t="shared" si="90"/>
        <v>7.2</v>
      </c>
      <c r="K860" s="10">
        <f t="shared" si="91"/>
        <v>17.3</v>
      </c>
      <c r="L860" s="10">
        <f t="shared" si="94"/>
        <v>38.800000000000004</v>
      </c>
    </row>
    <row r="861" spans="1:12" x14ac:dyDescent="0.25">
      <c r="A861" s="7">
        <v>44993</v>
      </c>
      <c r="B861" t="s">
        <v>19</v>
      </c>
      <c r="C861" s="6">
        <v>2675</v>
      </c>
      <c r="D861" s="5" t="s">
        <v>293</v>
      </c>
      <c r="E861" s="1">
        <v>0.5</v>
      </c>
      <c r="F861" s="1">
        <v>0.58333333333333337</v>
      </c>
      <c r="G861" s="9">
        <f t="shared" si="92"/>
        <v>44991</v>
      </c>
      <c r="H861" s="11">
        <f t="shared" si="93"/>
        <v>2</v>
      </c>
      <c r="I861" s="10">
        <f t="shared" si="89"/>
        <v>5.7</v>
      </c>
      <c r="J861" s="10">
        <f t="shared" si="90"/>
        <v>7.2</v>
      </c>
      <c r="K861" s="10">
        <f t="shared" si="91"/>
        <v>19.3</v>
      </c>
      <c r="L861" s="10">
        <f t="shared" si="94"/>
        <v>40.799999999999997</v>
      </c>
    </row>
    <row r="862" spans="1:12" x14ac:dyDescent="0.25">
      <c r="A862" s="7">
        <v>44993</v>
      </c>
      <c r="B862" t="s">
        <v>19</v>
      </c>
      <c r="C862" s="6">
        <v>2675</v>
      </c>
      <c r="D862" s="5" t="s">
        <v>89</v>
      </c>
      <c r="E862" s="1">
        <v>0.58333333333333337</v>
      </c>
      <c r="F862" s="1">
        <v>0.625</v>
      </c>
      <c r="G862" s="9">
        <f t="shared" si="92"/>
        <v>44991</v>
      </c>
      <c r="H862" s="11">
        <f t="shared" si="93"/>
        <v>1</v>
      </c>
      <c r="I862" s="10">
        <f t="shared" si="89"/>
        <v>6.7</v>
      </c>
      <c r="J862" s="10">
        <f t="shared" si="90"/>
        <v>7.2</v>
      </c>
      <c r="K862" s="10">
        <f t="shared" si="91"/>
        <v>20.3</v>
      </c>
      <c r="L862" s="10">
        <f t="shared" si="94"/>
        <v>41.8</v>
      </c>
    </row>
    <row r="863" spans="1:12" x14ac:dyDescent="0.25">
      <c r="A863" s="7">
        <v>44993</v>
      </c>
      <c r="B863" t="s">
        <v>19</v>
      </c>
      <c r="C863" s="6">
        <v>2675</v>
      </c>
      <c r="D863" s="5" t="s">
        <v>293</v>
      </c>
      <c r="E863" s="1">
        <v>0.625</v>
      </c>
      <c r="F863" s="1">
        <v>0.65277777777777779</v>
      </c>
      <c r="G863" s="9">
        <f t="shared" si="92"/>
        <v>44991</v>
      </c>
      <c r="H863" s="11">
        <f t="shared" si="93"/>
        <v>0.7</v>
      </c>
      <c r="I863" s="10">
        <f t="shared" si="89"/>
        <v>7.4</v>
      </c>
      <c r="J863" s="10">
        <f t="shared" si="90"/>
        <v>7.2</v>
      </c>
      <c r="K863" s="10">
        <f t="shared" si="91"/>
        <v>21</v>
      </c>
      <c r="L863" s="10">
        <f t="shared" si="94"/>
        <v>42.5</v>
      </c>
    </row>
    <row r="864" spans="1:12" x14ac:dyDescent="0.25">
      <c r="A864" s="7">
        <v>44994</v>
      </c>
      <c r="B864" t="s">
        <v>19</v>
      </c>
      <c r="C864" s="6">
        <v>2675</v>
      </c>
      <c r="D864" s="5" t="s">
        <v>293</v>
      </c>
      <c r="E864" s="1">
        <v>0.32013888888888892</v>
      </c>
      <c r="F864" s="1">
        <v>0.4680555555555555</v>
      </c>
      <c r="G864" s="9">
        <f t="shared" si="92"/>
        <v>44991</v>
      </c>
      <c r="H864" s="11">
        <f t="shared" si="93"/>
        <v>3.6</v>
      </c>
      <c r="I864" s="10">
        <f t="shared" si="89"/>
        <v>3.6</v>
      </c>
      <c r="J864" s="10">
        <f t="shared" si="90"/>
        <v>7.2</v>
      </c>
      <c r="K864" s="10">
        <f t="shared" si="91"/>
        <v>24.6</v>
      </c>
      <c r="L864" s="10">
        <f t="shared" si="94"/>
        <v>46.1</v>
      </c>
    </row>
    <row r="865" spans="1:12" x14ac:dyDescent="0.25">
      <c r="A865" s="7">
        <v>44994</v>
      </c>
      <c r="B865" t="s">
        <v>19</v>
      </c>
      <c r="C865" s="6">
        <v>2675</v>
      </c>
      <c r="D865" s="5" t="s">
        <v>293</v>
      </c>
      <c r="E865" s="1">
        <v>0.4826388888888889</v>
      </c>
      <c r="F865" s="1">
        <v>0.56874999999999998</v>
      </c>
      <c r="G865" s="9">
        <f t="shared" si="92"/>
        <v>44991</v>
      </c>
      <c r="H865" s="11">
        <f t="shared" si="93"/>
        <v>2.1</v>
      </c>
      <c r="I865" s="10">
        <f t="shared" si="89"/>
        <v>5.7</v>
      </c>
      <c r="J865" s="10">
        <f t="shared" si="90"/>
        <v>7.2</v>
      </c>
      <c r="K865" s="10">
        <f t="shared" si="91"/>
        <v>26.700000000000003</v>
      </c>
      <c r="L865" s="10">
        <f t="shared" si="94"/>
        <v>48.2</v>
      </c>
    </row>
    <row r="866" spans="1:12" x14ac:dyDescent="0.25">
      <c r="A866" s="7">
        <v>44995</v>
      </c>
      <c r="B866" t="s">
        <v>19</v>
      </c>
      <c r="C866" s="6">
        <v>2675</v>
      </c>
      <c r="D866" s="5" t="s">
        <v>90</v>
      </c>
      <c r="E866" s="1">
        <v>0.32013888888888892</v>
      </c>
      <c r="F866" s="1">
        <v>0.45763888888888887</v>
      </c>
      <c r="G866" s="9">
        <f t="shared" si="92"/>
        <v>44991</v>
      </c>
      <c r="H866" s="11">
        <f t="shared" si="93"/>
        <v>3.3</v>
      </c>
      <c r="I866" s="10">
        <f t="shared" si="89"/>
        <v>3.3</v>
      </c>
      <c r="J866" s="10">
        <f t="shared" si="90"/>
        <v>7.2</v>
      </c>
      <c r="K866" s="10">
        <f t="shared" si="91"/>
        <v>30</v>
      </c>
      <c r="L866" s="10">
        <f t="shared" si="94"/>
        <v>51.5</v>
      </c>
    </row>
    <row r="867" spans="1:12" x14ac:dyDescent="0.25">
      <c r="A867" s="7">
        <v>44995</v>
      </c>
      <c r="B867" s="2" t="s">
        <v>292</v>
      </c>
      <c r="C867" s="24">
        <v>8075</v>
      </c>
      <c r="D867" s="5" t="s">
        <v>288</v>
      </c>
      <c r="E867" s="1">
        <v>0.45763888888888887</v>
      </c>
      <c r="F867" s="1">
        <v>0.45763888888888887</v>
      </c>
      <c r="G867" s="9">
        <f t="shared" si="92"/>
        <v>44991</v>
      </c>
      <c r="H867" s="11">
        <f t="shared" si="93"/>
        <v>0</v>
      </c>
      <c r="I867" s="10">
        <f t="shared" si="89"/>
        <v>3.3</v>
      </c>
      <c r="J867" s="10">
        <f t="shared" si="90"/>
        <v>7.2</v>
      </c>
      <c r="K867" s="10">
        <f t="shared" si="91"/>
        <v>30</v>
      </c>
      <c r="L867" s="10">
        <f t="shared" si="94"/>
        <v>51.5</v>
      </c>
    </row>
    <row r="868" spans="1:12" x14ac:dyDescent="0.25">
      <c r="A868" s="7">
        <v>44995</v>
      </c>
      <c r="B868" t="s">
        <v>19</v>
      </c>
      <c r="C868" s="6">
        <v>2675</v>
      </c>
      <c r="D868" s="5" t="s">
        <v>90</v>
      </c>
      <c r="E868" s="1">
        <v>0.51944444444444449</v>
      </c>
      <c r="F868" s="1">
        <v>0.65069444444444446</v>
      </c>
      <c r="G868" s="9">
        <f t="shared" si="92"/>
        <v>44991</v>
      </c>
      <c r="H868" s="11">
        <f t="shared" si="93"/>
        <v>3.2</v>
      </c>
      <c r="I868" s="10">
        <f t="shared" si="89"/>
        <v>6.5</v>
      </c>
      <c r="J868" s="10">
        <f t="shared" si="90"/>
        <v>7.2</v>
      </c>
      <c r="K868" s="10">
        <f t="shared" si="91"/>
        <v>33.200000000000003</v>
      </c>
      <c r="L868" s="10">
        <f t="shared" si="94"/>
        <v>54.7</v>
      </c>
    </row>
    <row r="869" spans="1:12" x14ac:dyDescent="0.25">
      <c r="A869" s="7">
        <v>44998</v>
      </c>
      <c r="B869" s="2" t="s">
        <v>6</v>
      </c>
      <c r="C869" s="24" t="s">
        <v>416</v>
      </c>
      <c r="D869" s="5" t="s">
        <v>294</v>
      </c>
      <c r="E869" s="1">
        <v>0.31736111111111115</v>
      </c>
      <c r="F869" s="1">
        <v>0.41666666666666669</v>
      </c>
      <c r="G869" s="9">
        <f t="shared" si="92"/>
        <v>44998</v>
      </c>
      <c r="H869" s="11">
        <f t="shared" si="93"/>
        <v>2.4</v>
      </c>
      <c r="I869" s="10">
        <f t="shared" si="89"/>
        <v>2.4</v>
      </c>
      <c r="J869" s="10">
        <f t="shared" si="90"/>
        <v>7.2</v>
      </c>
      <c r="K869" s="10">
        <f t="shared" si="91"/>
        <v>2.4</v>
      </c>
      <c r="L869" s="10">
        <f t="shared" si="94"/>
        <v>57.1</v>
      </c>
    </row>
    <row r="870" spans="1:12" x14ac:dyDescent="0.25">
      <c r="A870" s="7">
        <v>44998</v>
      </c>
      <c r="B870" s="2" t="s">
        <v>6</v>
      </c>
      <c r="C870" s="24" t="s">
        <v>416</v>
      </c>
      <c r="D870" s="5" t="s">
        <v>112</v>
      </c>
      <c r="E870" s="1">
        <v>0.41666666666666669</v>
      </c>
      <c r="F870" s="1">
        <v>0.46249999999999997</v>
      </c>
      <c r="G870" s="9">
        <f t="shared" si="92"/>
        <v>44998</v>
      </c>
      <c r="H870" s="11">
        <f t="shared" si="93"/>
        <v>1.1000000000000001</v>
      </c>
      <c r="I870" s="10">
        <f t="shared" si="89"/>
        <v>3.5</v>
      </c>
      <c r="J870" s="10">
        <f t="shared" si="90"/>
        <v>7.2</v>
      </c>
      <c r="K870" s="10">
        <f t="shared" si="91"/>
        <v>3.5</v>
      </c>
      <c r="L870" s="10">
        <f t="shared" si="94"/>
        <v>58.2</v>
      </c>
    </row>
    <row r="871" spans="1:12" x14ac:dyDescent="0.25">
      <c r="A871" s="7">
        <v>44998</v>
      </c>
      <c r="B871" s="2" t="s">
        <v>6</v>
      </c>
      <c r="C871" s="24" t="s">
        <v>416</v>
      </c>
      <c r="D871" s="5" t="s">
        <v>295</v>
      </c>
      <c r="E871" s="1">
        <v>0.46249999999999997</v>
      </c>
      <c r="F871" s="1">
        <v>0.4770833333333333</v>
      </c>
      <c r="G871" s="9">
        <f t="shared" si="92"/>
        <v>44998</v>
      </c>
      <c r="H871" s="11">
        <f t="shared" si="93"/>
        <v>0.4</v>
      </c>
      <c r="I871" s="10">
        <f t="shared" si="89"/>
        <v>3.9</v>
      </c>
      <c r="J871" s="10">
        <f t="shared" si="90"/>
        <v>7.2</v>
      </c>
      <c r="K871" s="10">
        <f t="shared" si="91"/>
        <v>3.9</v>
      </c>
      <c r="L871" s="10">
        <f t="shared" si="94"/>
        <v>58.6</v>
      </c>
    </row>
    <row r="872" spans="1:12" x14ac:dyDescent="0.25">
      <c r="A872" s="7">
        <v>44998</v>
      </c>
      <c r="B872" s="2" t="s">
        <v>6</v>
      </c>
      <c r="C872" s="24" t="s">
        <v>416</v>
      </c>
      <c r="D872" s="5" t="s">
        <v>295</v>
      </c>
      <c r="E872" s="1">
        <v>0.4916666666666667</v>
      </c>
      <c r="F872" s="1">
        <v>0.52430555555555558</v>
      </c>
      <c r="G872" s="9">
        <f t="shared" si="92"/>
        <v>44998</v>
      </c>
      <c r="H872" s="11">
        <f t="shared" si="93"/>
        <v>0.8</v>
      </c>
      <c r="I872" s="10">
        <f t="shared" si="89"/>
        <v>4.7</v>
      </c>
      <c r="J872" s="10">
        <f t="shared" si="90"/>
        <v>7.2</v>
      </c>
      <c r="K872" s="10">
        <f t="shared" si="91"/>
        <v>4.7</v>
      </c>
      <c r="L872" s="10">
        <f t="shared" si="94"/>
        <v>59.4</v>
      </c>
    </row>
    <row r="873" spans="1:12" x14ac:dyDescent="0.25">
      <c r="A873" s="7">
        <v>44998</v>
      </c>
      <c r="B873" s="2" t="s">
        <v>6</v>
      </c>
      <c r="C873" s="24" t="s">
        <v>416</v>
      </c>
      <c r="D873" s="5" t="s">
        <v>294</v>
      </c>
      <c r="E873" s="1">
        <v>0.52430555555555558</v>
      </c>
      <c r="F873" s="1">
        <v>0.59722222222222221</v>
      </c>
      <c r="G873" s="9">
        <f t="shared" si="92"/>
        <v>44998</v>
      </c>
      <c r="H873" s="11">
        <f t="shared" si="93"/>
        <v>1.8</v>
      </c>
      <c r="I873" s="10">
        <f t="shared" si="89"/>
        <v>6.5</v>
      </c>
      <c r="J873" s="10">
        <f t="shared" si="90"/>
        <v>7.2</v>
      </c>
      <c r="K873" s="10">
        <f t="shared" si="91"/>
        <v>6.5</v>
      </c>
      <c r="L873" s="10">
        <f t="shared" si="94"/>
        <v>61.199999999999996</v>
      </c>
    </row>
    <row r="874" spans="1:12" x14ac:dyDescent="0.25">
      <c r="A874" s="7">
        <v>44998</v>
      </c>
      <c r="B874" s="2" t="s">
        <v>6</v>
      </c>
      <c r="C874" s="24" t="s">
        <v>416</v>
      </c>
      <c r="D874" s="5" t="s">
        <v>294</v>
      </c>
      <c r="E874" s="1">
        <v>0.61111111111111105</v>
      </c>
      <c r="F874" s="1">
        <v>0.64583333333333337</v>
      </c>
      <c r="G874" s="9">
        <f t="shared" si="92"/>
        <v>44998</v>
      </c>
      <c r="H874" s="11">
        <f t="shared" si="93"/>
        <v>0.8</v>
      </c>
      <c r="I874" s="10">
        <f t="shared" si="89"/>
        <v>7.3</v>
      </c>
      <c r="J874" s="10">
        <f t="shared" si="90"/>
        <v>7.2</v>
      </c>
      <c r="K874" s="10">
        <f t="shared" si="91"/>
        <v>7.3</v>
      </c>
      <c r="L874" s="10">
        <f t="shared" si="94"/>
        <v>62</v>
      </c>
    </row>
    <row r="875" spans="1:12" x14ac:dyDescent="0.25">
      <c r="A875" s="7">
        <v>44998</v>
      </c>
      <c r="B875" s="2" t="s">
        <v>6</v>
      </c>
      <c r="C875" s="24" t="s">
        <v>416</v>
      </c>
      <c r="D875" s="5" t="s">
        <v>296</v>
      </c>
      <c r="E875" s="1">
        <v>0.64583333333333337</v>
      </c>
      <c r="F875" s="1">
        <v>0.6791666666666667</v>
      </c>
      <c r="G875" s="9">
        <f t="shared" si="92"/>
        <v>44998</v>
      </c>
      <c r="H875" s="11">
        <f t="shared" si="93"/>
        <v>0.8</v>
      </c>
      <c r="I875" s="10">
        <f t="shared" si="89"/>
        <v>8.1</v>
      </c>
      <c r="J875" s="10">
        <f t="shared" si="90"/>
        <v>7.2</v>
      </c>
      <c r="K875" s="10">
        <f t="shared" si="91"/>
        <v>8.1</v>
      </c>
      <c r="L875" s="10">
        <f t="shared" si="94"/>
        <v>62.8</v>
      </c>
    </row>
    <row r="876" spans="1:12" x14ac:dyDescent="0.25">
      <c r="A876" s="7">
        <v>44999</v>
      </c>
      <c r="B876" s="2" t="s">
        <v>297</v>
      </c>
      <c r="C876" s="24">
        <v>2664</v>
      </c>
      <c r="D876" s="5" t="s">
        <v>298</v>
      </c>
      <c r="E876" s="1">
        <v>0.33055555555555555</v>
      </c>
      <c r="F876" s="1">
        <v>0.48125000000000001</v>
      </c>
      <c r="G876" s="9">
        <f t="shared" si="92"/>
        <v>44998</v>
      </c>
      <c r="H876" s="11">
        <f t="shared" si="93"/>
        <v>3.6</v>
      </c>
      <c r="I876" s="10">
        <f t="shared" si="89"/>
        <v>3.6</v>
      </c>
      <c r="J876" s="10">
        <f t="shared" si="90"/>
        <v>7.2</v>
      </c>
      <c r="K876" s="10">
        <f t="shared" si="91"/>
        <v>11.7</v>
      </c>
      <c r="L876" s="10">
        <f t="shared" si="94"/>
        <v>66.399999999999991</v>
      </c>
    </row>
    <row r="877" spans="1:12" x14ac:dyDescent="0.25">
      <c r="A877" s="7">
        <v>44999</v>
      </c>
      <c r="B877" s="2" t="s">
        <v>297</v>
      </c>
      <c r="C877" s="24">
        <v>2664</v>
      </c>
      <c r="D877" s="5" t="s">
        <v>298</v>
      </c>
      <c r="E877" s="1">
        <v>0.49722222222222223</v>
      </c>
      <c r="F877" s="1">
        <v>0.54166666666666663</v>
      </c>
      <c r="G877" s="9">
        <f t="shared" si="92"/>
        <v>44998</v>
      </c>
      <c r="H877" s="11">
        <f t="shared" si="93"/>
        <v>1.1000000000000001</v>
      </c>
      <c r="I877" s="10">
        <f t="shared" si="89"/>
        <v>4.7</v>
      </c>
      <c r="J877" s="10">
        <f t="shared" si="90"/>
        <v>7.2</v>
      </c>
      <c r="K877" s="10">
        <f t="shared" si="91"/>
        <v>12.799999999999999</v>
      </c>
      <c r="L877" s="10">
        <f t="shared" si="94"/>
        <v>67.5</v>
      </c>
    </row>
    <row r="878" spans="1:12" x14ac:dyDescent="0.25">
      <c r="A878" s="7">
        <v>44999</v>
      </c>
      <c r="B878" s="2" t="s">
        <v>297</v>
      </c>
      <c r="C878" s="24">
        <v>2664</v>
      </c>
      <c r="D878" s="5" t="s">
        <v>300</v>
      </c>
      <c r="E878" s="1">
        <v>0.54166666666666663</v>
      </c>
      <c r="F878" s="1">
        <v>0.56527777777777777</v>
      </c>
      <c r="G878" s="9">
        <f t="shared" si="92"/>
        <v>44998</v>
      </c>
      <c r="H878" s="11">
        <f t="shared" si="93"/>
        <v>0.6</v>
      </c>
      <c r="I878" s="10">
        <f t="shared" si="89"/>
        <v>5.3</v>
      </c>
      <c r="J878" s="10">
        <f t="shared" si="90"/>
        <v>7.2</v>
      </c>
      <c r="K878" s="10">
        <f t="shared" si="91"/>
        <v>13.4</v>
      </c>
      <c r="L878" s="10">
        <f t="shared" si="94"/>
        <v>68.099999999999994</v>
      </c>
    </row>
    <row r="879" spans="1:12" x14ac:dyDescent="0.25">
      <c r="A879" s="7">
        <v>44999</v>
      </c>
      <c r="B879" s="2" t="s">
        <v>297</v>
      </c>
      <c r="C879" s="24">
        <v>2664</v>
      </c>
      <c r="D879" s="5" t="s">
        <v>298</v>
      </c>
      <c r="E879" s="1">
        <v>0.56527777777777777</v>
      </c>
      <c r="F879" s="1">
        <v>0.62708333333333333</v>
      </c>
      <c r="G879" s="9">
        <f t="shared" si="92"/>
        <v>44998</v>
      </c>
      <c r="H879" s="11">
        <f t="shared" si="93"/>
        <v>1.5</v>
      </c>
      <c r="I879" s="10">
        <f t="shared" si="89"/>
        <v>6.8</v>
      </c>
      <c r="J879" s="10">
        <f t="shared" si="90"/>
        <v>7.2</v>
      </c>
      <c r="K879" s="10">
        <f t="shared" si="91"/>
        <v>14.9</v>
      </c>
      <c r="L879" s="10">
        <f t="shared" si="94"/>
        <v>69.599999999999994</v>
      </c>
    </row>
    <row r="880" spans="1:12" x14ac:dyDescent="0.25">
      <c r="A880" s="7">
        <v>45000</v>
      </c>
      <c r="B880" s="2" t="s">
        <v>297</v>
      </c>
      <c r="C880" s="24">
        <v>2664</v>
      </c>
      <c r="D880" s="5" t="s">
        <v>298</v>
      </c>
      <c r="E880" s="1">
        <v>0.3298611111111111</v>
      </c>
      <c r="F880" s="1">
        <v>0.45833333333333331</v>
      </c>
      <c r="G880" s="9">
        <f t="shared" si="92"/>
        <v>44998</v>
      </c>
      <c r="H880" s="11">
        <f t="shared" si="93"/>
        <v>3.1</v>
      </c>
      <c r="I880" s="10">
        <f t="shared" si="89"/>
        <v>3.1</v>
      </c>
      <c r="J880" s="10">
        <f t="shared" si="90"/>
        <v>7.2</v>
      </c>
      <c r="K880" s="10">
        <f t="shared" si="91"/>
        <v>18</v>
      </c>
      <c r="L880" s="10">
        <f t="shared" si="94"/>
        <v>72.699999999999989</v>
      </c>
    </row>
    <row r="881" spans="1:12" x14ac:dyDescent="0.25">
      <c r="A881" s="7">
        <v>45000</v>
      </c>
      <c r="B881" s="2" t="s">
        <v>297</v>
      </c>
      <c r="C881" s="24">
        <v>2664</v>
      </c>
      <c r="D881" s="5" t="s">
        <v>299</v>
      </c>
      <c r="E881" s="1">
        <v>0.45833333333333331</v>
      </c>
      <c r="F881" s="1">
        <v>0.49791666666666662</v>
      </c>
      <c r="G881" s="9">
        <f t="shared" si="92"/>
        <v>44998</v>
      </c>
      <c r="H881" s="11">
        <f t="shared" si="93"/>
        <v>0.9</v>
      </c>
      <c r="I881" s="10">
        <f t="shared" si="89"/>
        <v>4</v>
      </c>
      <c r="J881" s="10">
        <f t="shared" si="90"/>
        <v>7.2</v>
      </c>
      <c r="K881" s="10">
        <f t="shared" si="91"/>
        <v>18.899999999999999</v>
      </c>
      <c r="L881" s="10">
        <f t="shared" si="94"/>
        <v>73.600000000000009</v>
      </c>
    </row>
    <row r="882" spans="1:12" x14ac:dyDescent="0.25">
      <c r="A882" s="7">
        <v>45000</v>
      </c>
      <c r="B882" s="2" t="s">
        <v>297</v>
      </c>
      <c r="C882" s="24">
        <v>2664</v>
      </c>
      <c r="D882" s="5" t="s">
        <v>298</v>
      </c>
      <c r="E882" s="1">
        <v>0.5229166666666667</v>
      </c>
      <c r="F882" s="1">
        <v>0.65416666666666667</v>
      </c>
      <c r="G882" s="9">
        <f t="shared" si="92"/>
        <v>44998</v>
      </c>
      <c r="H882" s="11">
        <f t="shared" si="93"/>
        <v>3.2</v>
      </c>
      <c r="I882" s="10">
        <f t="shared" si="89"/>
        <v>7.2</v>
      </c>
      <c r="J882" s="10">
        <f t="shared" si="90"/>
        <v>7.2</v>
      </c>
      <c r="K882" s="10">
        <f t="shared" si="91"/>
        <v>22.099999999999998</v>
      </c>
      <c r="L882" s="10">
        <f t="shared" si="94"/>
        <v>76.8</v>
      </c>
    </row>
    <row r="883" spans="1:12" x14ac:dyDescent="0.25">
      <c r="A883" s="7">
        <v>45001</v>
      </c>
      <c r="B883" s="2" t="s">
        <v>297</v>
      </c>
      <c r="C883" s="24">
        <v>2664</v>
      </c>
      <c r="D883" s="5" t="s">
        <v>298</v>
      </c>
      <c r="E883" s="1">
        <v>0.33263888888888887</v>
      </c>
      <c r="F883" s="1">
        <v>0.41666666666666669</v>
      </c>
      <c r="G883" s="9">
        <f t="shared" si="92"/>
        <v>44998</v>
      </c>
      <c r="H883" s="11">
        <f t="shared" si="93"/>
        <v>2</v>
      </c>
      <c r="I883" s="10">
        <f t="shared" si="89"/>
        <v>2</v>
      </c>
      <c r="J883" s="10">
        <f t="shared" si="90"/>
        <v>7.2</v>
      </c>
      <c r="K883" s="10">
        <f t="shared" si="91"/>
        <v>24.1</v>
      </c>
      <c r="L883" s="10">
        <f t="shared" si="94"/>
        <v>78.8</v>
      </c>
    </row>
    <row r="884" spans="1:12" x14ac:dyDescent="0.25">
      <c r="A884" s="7">
        <v>45001</v>
      </c>
      <c r="B884" s="2" t="s">
        <v>6</v>
      </c>
      <c r="C884" s="24" t="s">
        <v>416</v>
      </c>
      <c r="D884" s="5" t="s">
        <v>112</v>
      </c>
      <c r="E884" s="1">
        <v>0.41666666666666669</v>
      </c>
      <c r="F884" s="1">
        <v>0.5083333333333333</v>
      </c>
      <c r="G884" s="9">
        <f t="shared" si="92"/>
        <v>44998</v>
      </c>
      <c r="H884" s="11">
        <f t="shared" si="93"/>
        <v>2.2000000000000002</v>
      </c>
      <c r="I884" s="10">
        <f t="shared" si="89"/>
        <v>4.2</v>
      </c>
      <c r="J884" s="10">
        <f t="shared" si="90"/>
        <v>7.2</v>
      </c>
      <c r="K884" s="10">
        <f t="shared" si="91"/>
        <v>26.3</v>
      </c>
      <c r="L884" s="10">
        <f t="shared" si="94"/>
        <v>81</v>
      </c>
    </row>
    <row r="885" spans="1:12" x14ac:dyDescent="0.25">
      <c r="A885" s="7">
        <v>45001</v>
      </c>
      <c r="B885" s="2" t="s">
        <v>297</v>
      </c>
      <c r="C885" s="24">
        <v>2664</v>
      </c>
      <c r="D885" s="5" t="s">
        <v>298</v>
      </c>
      <c r="E885" s="1">
        <v>0.5395833333333333</v>
      </c>
      <c r="F885" s="1">
        <v>0.62986111111111109</v>
      </c>
      <c r="G885" s="9">
        <f t="shared" si="92"/>
        <v>44998</v>
      </c>
      <c r="H885" s="11">
        <f t="shared" si="93"/>
        <v>2.2000000000000002</v>
      </c>
      <c r="I885" s="10">
        <f t="shared" si="89"/>
        <v>6.4</v>
      </c>
      <c r="J885" s="10">
        <f t="shared" si="90"/>
        <v>7.2</v>
      </c>
      <c r="K885" s="10">
        <f t="shared" si="91"/>
        <v>28.5</v>
      </c>
      <c r="L885" s="10">
        <f t="shared" si="94"/>
        <v>83.2</v>
      </c>
    </row>
    <row r="886" spans="1:12" x14ac:dyDescent="0.25">
      <c r="A886" s="7">
        <v>45002</v>
      </c>
      <c r="B886" s="2" t="s">
        <v>297</v>
      </c>
      <c r="C886" s="24">
        <v>2664</v>
      </c>
      <c r="D886" s="5" t="s">
        <v>298</v>
      </c>
      <c r="E886" s="1">
        <v>0.33611111111111108</v>
      </c>
      <c r="F886" s="1">
        <v>0.51458333333333328</v>
      </c>
      <c r="G886" s="9">
        <f t="shared" si="92"/>
        <v>44998</v>
      </c>
      <c r="H886" s="11">
        <f t="shared" si="93"/>
        <v>4.3</v>
      </c>
      <c r="I886" s="10">
        <f t="shared" si="89"/>
        <v>4.3</v>
      </c>
      <c r="J886" s="10">
        <f t="shared" si="90"/>
        <v>7.2</v>
      </c>
      <c r="K886" s="10">
        <f t="shared" si="91"/>
        <v>32.799999999999997</v>
      </c>
      <c r="L886" s="10">
        <f t="shared" si="94"/>
        <v>87.5</v>
      </c>
    </row>
    <row r="887" spans="1:12" x14ac:dyDescent="0.25">
      <c r="A887" s="7">
        <v>45002</v>
      </c>
      <c r="B887" s="2" t="s">
        <v>297</v>
      </c>
      <c r="C887" s="24">
        <v>2664</v>
      </c>
      <c r="D887" s="5" t="s">
        <v>298</v>
      </c>
      <c r="E887" s="1">
        <v>0.53680555555555554</v>
      </c>
      <c r="F887" s="1">
        <v>0.62152777777777779</v>
      </c>
      <c r="G887" s="9">
        <f t="shared" si="92"/>
        <v>44998</v>
      </c>
      <c r="H887" s="11">
        <f t="shared" si="93"/>
        <v>2</v>
      </c>
      <c r="I887" s="10">
        <f t="shared" si="89"/>
        <v>6.3</v>
      </c>
      <c r="J887" s="10">
        <f t="shared" si="90"/>
        <v>7.2</v>
      </c>
      <c r="K887" s="10">
        <f t="shared" si="91"/>
        <v>34.799999999999997</v>
      </c>
      <c r="L887" s="10">
        <f t="shared" si="94"/>
        <v>89.5</v>
      </c>
    </row>
    <row r="888" spans="1:12" x14ac:dyDescent="0.25">
      <c r="A888" s="7">
        <v>45005</v>
      </c>
      <c r="B888" s="2" t="s">
        <v>6</v>
      </c>
      <c r="C888" s="24" t="s">
        <v>416</v>
      </c>
      <c r="D888" s="5" t="s">
        <v>138</v>
      </c>
      <c r="E888" s="1">
        <v>0.33680555555555558</v>
      </c>
      <c r="F888" s="1">
        <v>0.41666666666666669</v>
      </c>
      <c r="G888" s="9">
        <f t="shared" si="92"/>
        <v>45005</v>
      </c>
      <c r="H888" s="11">
        <f t="shared" si="93"/>
        <v>1.9</v>
      </c>
      <c r="I888" s="10">
        <f t="shared" si="89"/>
        <v>1.9</v>
      </c>
      <c r="J888" s="10">
        <f t="shared" si="90"/>
        <v>7.2</v>
      </c>
      <c r="K888" s="10">
        <f t="shared" si="91"/>
        <v>1.9</v>
      </c>
      <c r="L888" s="10">
        <f t="shared" si="94"/>
        <v>91.4</v>
      </c>
    </row>
    <row r="889" spans="1:12" x14ac:dyDescent="0.25">
      <c r="A889" s="7">
        <v>45005</v>
      </c>
      <c r="B889" s="2" t="s">
        <v>6</v>
      </c>
      <c r="C889" s="24" t="s">
        <v>416</v>
      </c>
      <c r="D889" s="5" t="s">
        <v>112</v>
      </c>
      <c r="E889" s="1">
        <v>0.41666666666666669</v>
      </c>
      <c r="F889" s="1">
        <v>0.45833333333333331</v>
      </c>
      <c r="G889" s="9">
        <f t="shared" si="92"/>
        <v>45005</v>
      </c>
      <c r="H889" s="11">
        <f t="shared" si="93"/>
        <v>1</v>
      </c>
      <c r="I889" s="10">
        <f t="shared" si="89"/>
        <v>2.9</v>
      </c>
      <c r="J889" s="10">
        <f t="shared" si="90"/>
        <v>7.2</v>
      </c>
      <c r="K889" s="10">
        <f t="shared" si="91"/>
        <v>2.9</v>
      </c>
      <c r="L889" s="10">
        <f t="shared" si="94"/>
        <v>92.4</v>
      </c>
    </row>
    <row r="890" spans="1:12" x14ac:dyDescent="0.25">
      <c r="A890" s="7">
        <v>45005</v>
      </c>
      <c r="B890" s="2" t="s">
        <v>6</v>
      </c>
      <c r="C890" s="24" t="s">
        <v>416</v>
      </c>
      <c r="D890" s="5" t="s">
        <v>294</v>
      </c>
      <c r="E890" s="1">
        <v>0.45833333333333331</v>
      </c>
      <c r="F890" s="1">
        <v>0.49791666666666662</v>
      </c>
      <c r="G890" s="9">
        <f t="shared" si="92"/>
        <v>45005</v>
      </c>
      <c r="H890" s="11">
        <f t="shared" si="93"/>
        <v>0.9</v>
      </c>
      <c r="I890" s="10">
        <f t="shared" si="89"/>
        <v>3.8</v>
      </c>
      <c r="J890" s="10">
        <f t="shared" si="90"/>
        <v>7.2</v>
      </c>
      <c r="K890" s="10">
        <f t="shared" si="91"/>
        <v>3.8</v>
      </c>
      <c r="L890" s="10">
        <f t="shared" si="94"/>
        <v>93.300000000000011</v>
      </c>
    </row>
    <row r="891" spans="1:12" x14ac:dyDescent="0.25">
      <c r="A891" s="7">
        <v>45005</v>
      </c>
      <c r="B891" s="2" t="s">
        <v>6</v>
      </c>
      <c r="C891" s="24" t="s">
        <v>416</v>
      </c>
      <c r="D891" s="5" t="s">
        <v>294</v>
      </c>
      <c r="E891" s="1">
        <v>0.52013888888888882</v>
      </c>
      <c r="F891" s="1">
        <v>0.56319444444444444</v>
      </c>
      <c r="G891" s="9">
        <f t="shared" si="92"/>
        <v>45005</v>
      </c>
      <c r="H891" s="11">
        <f t="shared" si="93"/>
        <v>1</v>
      </c>
      <c r="I891" s="10">
        <f t="shared" si="89"/>
        <v>4.8</v>
      </c>
      <c r="J891" s="10">
        <f t="shared" si="90"/>
        <v>7.2</v>
      </c>
      <c r="K891" s="10">
        <f t="shared" si="91"/>
        <v>4.8</v>
      </c>
      <c r="L891" s="10">
        <f t="shared" si="94"/>
        <v>94.3</v>
      </c>
    </row>
    <row r="892" spans="1:12" x14ac:dyDescent="0.25">
      <c r="A892" s="7">
        <v>45005</v>
      </c>
      <c r="B892" t="s">
        <v>19</v>
      </c>
      <c r="C892" s="6">
        <v>2675</v>
      </c>
      <c r="D892" s="5" t="s">
        <v>301</v>
      </c>
      <c r="E892" s="1">
        <v>0.56319444444444444</v>
      </c>
      <c r="F892" s="1">
        <v>0.58333333333333337</v>
      </c>
      <c r="G892" s="9">
        <f t="shared" si="92"/>
        <v>45005</v>
      </c>
      <c r="H892" s="11">
        <f t="shared" si="93"/>
        <v>0.5</v>
      </c>
      <c r="I892" s="10">
        <f t="shared" si="89"/>
        <v>5.3</v>
      </c>
      <c r="J892" s="10">
        <f t="shared" si="90"/>
        <v>7.2</v>
      </c>
      <c r="K892" s="10">
        <f t="shared" si="91"/>
        <v>5.3</v>
      </c>
      <c r="L892" s="10">
        <f t="shared" si="94"/>
        <v>94.8</v>
      </c>
    </row>
    <row r="893" spans="1:12" x14ac:dyDescent="0.25">
      <c r="A893" s="7">
        <v>45005</v>
      </c>
      <c r="B893" s="2" t="s">
        <v>6</v>
      </c>
      <c r="C893" s="24" t="s">
        <v>416</v>
      </c>
      <c r="D893" s="5" t="s">
        <v>302</v>
      </c>
      <c r="E893" s="1">
        <v>0.58333333333333337</v>
      </c>
      <c r="F893" s="1">
        <v>0.61527777777777781</v>
      </c>
      <c r="G893" s="9">
        <f t="shared" si="92"/>
        <v>45005</v>
      </c>
      <c r="H893" s="11">
        <f t="shared" si="93"/>
        <v>0.8</v>
      </c>
      <c r="I893" s="10">
        <f t="shared" si="89"/>
        <v>6.1</v>
      </c>
      <c r="J893" s="10">
        <f t="shared" si="90"/>
        <v>7.2</v>
      </c>
      <c r="K893" s="10">
        <f t="shared" si="91"/>
        <v>6.1</v>
      </c>
      <c r="L893" s="10">
        <f t="shared" si="94"/>
        <v>95.6</v>
      </c>
    </row>
    <row r="894" spans="1:12" x14ac:dyDescent="0.25">
      <c r="A894" s="7">
        <v>45005</v>
      </c>
      <c r="B894" t="s">
        <v>19</v>
      </c>
      <c r="C894" s="6">
        <v>2675</v>
      </c>
      <c r="D894" s="5" t="s">
        <v>303</v>
      </c>
      <c r="E894" s="1">
        <v>0.61527777777777781</v>
      </c>
      <c r="F894" s="1">
        <v>0.65555555555555556</v>
      </c>
      <c r="G894" s="9">
        <f t="shared" si="92"/>
        <v>45005</v>
      </c>
      <c r="H894" s="11">
        <f t="shared" si="93"/>
        <v>1</v>
      </c>
      <c r="I894" s="10">
        <f t="shared" si="89"/>
        <v>7.1</v>
      </c>
      <c r="J894" s="10">
        <f t="shared" si="90"/>
        <v>7.2</v>
      </c>
      <c r="K894" s="10">
        <f t="shared" si="91"/>
        <v>7.1</v>
      </c>
      <c r="L894" s="10">
        <f t="shared" si="94"/>
        <v>96.6</v>
      </c>
    </row>
    <row r="895" spans="1:12" x14ac:dyDescent="0.25">
      <c r="A895" s="7">
        <v>45006</v>
      </c>
      <c r="B895" t="s">
        <v>19</v>
      </c>
      <c r="C895" s="6">
        <v>2675</v>
      </c>
      <c r="D895" s="5" t="s">
        <v>303</v>
      </c>
      <c r="E895" s="1">
        <v>0.33124999999999999</v>
      </c>
      <c r="F895" s="1">
        <v>0.38541666666666669</v>
      </c>
      <c r="G895" s="9">
        <f t="shared" si="92"/>
        <v>45005</v>
      </c>
      <c r="H895" s="11">
        <f t="shared" si="93"/>
        <v>1.3</v>
      </c>
      <c r="I895" s="10">
        <f t="shared" si="89"/>
        <v>1.3</v>
      </c>
      <c r="J895" s="10">
        <f t="shared" si="90"/>
        <v>7.2</v>
      </c>
      <c r="K895" s="10">
        <f t="shared" si="91"/>
        <v>8.4</v>
      </c>
      <c r="L895" s="10">
        <f t="shared" si="94"/>
        <v>97.899999999999991</v>
      </c>
    </row>
    <row r="896" spans="1:12" x14ac:dyDescent="0.25">
      <c r="A896" s="7">
        <v>45006</v>
      </c>
      <c r="B896" t="s">
        <v>6</v>
      </c>
      <c r="C896" s="6" t="s">
        <v>416</v>
      </c>
      <c r="D896" s="5" t="s">
        <v>304</v>
      </c>
      <c r="E896" s="1">
        <v>0.38541666666666669</v>
      </c>
      <c r="F896" s="1">
        <v>0.39583333333333331</v>
      </c>
      <c r="G896" s="9">
        <f t="shared" si="92"/>
        <v>45005</v>
      </c>
      <c r="H896" s="11">
        <f t="shared" si="93"/>
        <v>0.2</v>
      </c>
      <c r="I896" s="10">
        <f t="shared" si="89"/>
        <v>1.5</v>
      </c>
      <c r="J896" s="10">
        <f t="shared" si="90"/>
        <v>7.2</v>
      </c>
      <c r="K896" s="10">
        <f t="shared" si="91"/>
        <v>8.6</v>
      </c>
      <c r="L896" s="10">
        <f t="shared" si="94"/>
        <v>98.100000000000009</v>
      </c>
    </row>
    <row r="897" spans="1:12" x14ac:dyDescent="0.25">
      <c r="A897" s="7">
        <v>45006</v>
      </c>
      <c r="B897" t="s">
        <v>19</v>
      </c>
      <c r="C897" s="6">
        <v>2675</v>
      </c>
      <c r="D897" s="5" t="s">
        <v>303</v>
      </c>
      <c r="E897" s="1">
        <v>0.39583333333333331</v>
      </c>
      <c r="F897" s="1">
        <v>0.41666666666666669</v>
      </c>
      <c r="G897" s="9">
        <f t="shared" si="92"/>
        <v>45005</v>
      </c>
      <c r="H897" s="11">
        <f t="shared" si="93"/>
        <v>0.5</v>
      </c>
      <c r="I897" s="10">
        <f t="shared" si="89"/>
        <v>2</v>
      </c>
      <c r="J897" s="10">
        <f t="shared" si="90"/>
        <v>7.2</v>
      </c>
      <c r="K897" s="10">
        <f t="shared" si="91"/>
        <v>9.1</v>
      </c>
      <c r="L897" s="10">
        <f t="shared" si="94"/>
        <v>98.6</v>
      </c>
    </row>
    <row r="898" spans="1:12" x14ac:dyDescent="0.25">
      <c r="A898" s="7">
        <v>45006</v>
      </c>
      <c r="B898" t="s">
        <v>6</v>
      </c>
      <c r="C898" s="6" t="s">
        <v>416</v>
      </c>
      <c r="D898" s="5" t="s">
        <v>173</v>
      </c>
      <c r="E898" s="1">
        <v>0.41666666666666669</v>
      </c>
      <c r="F898" s="1">
        <v>0.5</v>
      </c>
      <c r="G898" s="9">
        <f t="shared" si="92"/>
        <v>45005</v>
      </c>
      <c r="H898" s="11">
        <f t="shared" si="93"/>
        <v>2</v>
      </c>
      <c r="I898" s="10">
        <f t="shared" si="89"/>
        <v>4</v>
      </c>
      <c r="J898" s="10">
        <f t="shared" si="90"/>
        <v>7.2</v>
      </c>
      <c r="K898" s="10">
        <f t="shared" si="91"/>
        <v>11.1</v>
      </c>
      <c r="L898" s="10">
        <f t="shared" si="94"/>
        <v>100.6</v>
      </c>
    </row>
    <row r="899" spans="1:12" x14ac:dyDescent="0.25">
      <c r="A899" s="7">
        <v>45006</v>
      </c>
      <c r="B899" t="s">
        <v>19</v>
      </c>
      <c r="C899" s="6">
        <v>2675</v>
      </c>
      <c r="D899" s="5" t="s">
        <v>303</v>
      </c>
      <c r="E899" s="1">
        <v>0.52916666666666667</v>
      </c>
      <c r="F899" s="1">
        <v>0.58194444444444449</v>
      </c>
      <c r="G899" s="9">
        <f t="shared" si="92"/>
        <v>45005</v>
      </c>
      <c r="H899" s="11">
        <f t="shared" si="93"/>
        <v>1.3</v>
      </c>
      <c r="I899" s="10">
        <f t="shared" ref="I899:I919" si="95">IF(H899="",H899,H899+IF(A899=A898,_xlfn.NUMBERVALUE(I898),0))</f>
        <v>5.3</v>
      </c>
      <c r="J899" s="10">
        <f t="shared" ref="J899:J919" si="96">IF(H899="",H899,7.2)</f>
        <v>7.2</v>
      </c>
      <c r="K899" s="10">
        <f t="shared" ref="K899:K962" si="97">IF(H899="",H899,H899+IF(G899=G898,_xlfn.NUMBERVALUE(K898),0))</f>
        <v>12.4</v>
      </c>
      <c r="L899" s="10">
        <f t="shared" si="94"/>
        <v>101.89999999999999</v>
      </c>
    </row>
    <row r="900" spans="1:12" x14ac:dyDescent="0.25">
      <c r="A900" s="7">
        <v>45006</v>
      </c>
      <c r="B900" t="s">
        <v>6</v>
      </c>
      <c r="C900" s="6" t="s">
        <v>416</v>
      </c>
      <c r="D900" s="5" t="s">
        <v>305</v>
      </c>
      <c r="E900" s="1">
        <v>0.58194444444444449</v>
      </c>
      <c r="F900" s="1">
        <v>0.60833333333333328</v>
      </c>
      <c r="G900" s="9">
        <f t="shared" ref="G900:G919" si="98">IF(E900&gt;0,INT((A900-2)/7)*7+2,"")</f>
        <v>45005</v>
      </c>
      <c r="H900" s="11">
        <f t="shared" ref="H900:H919" si="99">IF(E900&gt;0,ROUND(24*(IF(F900&gt;0,F900,NowTime)-E900),1),"")</f>
        <v>0.6</v>
      </c>
      <c r="I900" s="10">
        <f t="shared" si="95"/>
        <v>5.8999999999999995</v>
      </c>
      <c r="J900" s="10">
        <f t="shared" si="96"/>
        <v>7.2</v>
      </c>
      <c r="K900" s="10">
        <f t="shared" si="97"/>
        <v>13</v>
      </c>
      <c r="L900" s="10">
        <f t="shared" si="94"/>
        <v>102.5</v>
      </c>
    </row>
    <row r="901" spans="1:12" x14ac:dyDescent="0.25">
      <c r="A901" s="7">
        <v>45006</v>
      </c>
      <c r="B901" t="s">
        <v>19</v>
      </c>
      <c r="C901" s="6">
        <v>2675</v>
      </c>
      <c r="D901" s="5" t="s">
        <v>303</v>
      </c>
      <c r="E901" s="1">
        <v>0.60833333333333328</v>
      </c>
      <c r="F901" s="1">
        <v>0.64583333333333337</v>
      </c>
      <c r="G901" s="9">
        <f t="shared" si="98"/>
        <v>45005</v>
      </c>
      <c r="H901" s="11">
        <f t="shared" si="99"/>
        <v>0.9</v>
      </c>
      <c r="I901" s="10">
        <f t="shared" si="95"/>
        <v>6.8000000000000007</v>
      </c>
      <c r="J901" s="10">
        <f t="shared" si="96"/>
        <v>7.2</v>
      </c>
      <c r="K901" s="10">
        <f t="shared" si="97"/>
        <v>13.9</v>
      </c>
      <c r="L901" s="10">
        <f t="shared" ref="L901:L919" si="100">IF(H901="",H901,H901+IF(MONTH(A901)=MONTH(A900),_xlfn.NUMBERVALUE(L900),0))</f>
        <v>103.4</v>
      </c>
    </row>
    <row r="902" spans="1:12" x14ac:dyDescent="0.25">
      <c r="A902" s="7">
        <v>45006</v>
      </c>
      <c r="B902" t="s">
        <v>6</v>
      </c>
      <c r="C902" s="6" t="s">
        <v>416</v>
      </c>
      <c r="D902" s="5" t="s">
        <v>241</v>
      </c>
      <c r="E902" s="1">
        <v>0.64583333333333337</v>
      </c>
      <c r="F902" s="1">
        <v>0.66666666666666663</v>
      </c>
      <c r="G902" s="9">
        <f t="shared" si="98"/>
        <v>45005</v>
      </c>
      <c r="H902" s="11">
        <f t="shared" si="99"/>
        <v>0.5</v>
      </c>
      <c r="I902" s="10">
        <f t="shared" si="95"/>
        <v>7.3</v>
      </c>
      <c r="J902" s="10">
        <f t="shared" si="96"/>
        <v>7.2</v>
      </c>
      <c r="K902" s="10">
        <f t="shared" si="97"/>
        <v>14.4</v>
      </c>
      <c r="L902" s="10">
        <f t="shared" si="100"/>
        <v>103.9</v>
      </c>
    </row>
    <row r="903" spans="1:12" x14ac:dyDescent="0.25">
      <c r="A903" s="7">
        <v>45007</v>
      </c>
      <c r="B903" t="s">
        <v>6</v>
      </c>
      <c r="C903" s="6" t="s">
        <v>416</v>
      </c>
      <c r="D903" s="5" t="s">
        <v>103</v>
      </c>
      <c r="E903" s="1">
        <v>0.3666666666666667</v>
      </c>
      <c r="F903" s="1">
        <v>0.45069444444444445</v>
      </c>
      <c r="G903" s="9">
        <f t="shared" si="98"/>
        <v>45005</v>
      </c>
      <c r="H903" s="11">
        <f t="shared" si="99"/>
        <v>2</v>
      </c>
      <c r="I903" s="10">
        <f t="shared" si="95"/>
        <v>2</v>
      </c>
      <c r="J903" s="10">
        <f t="shared" si="96"/>
        <v>7.2</v>
      </c>
      <c r="K903" s="10">
        <f t="shared" si="97"/>
        <v>16.399999999999999</v>
      </c>
      <c r="L903" s="10">
        <f t="shared" si="100"/>
        <v>105.9</v>
      </c>
    </row>
    <row r="904" spans="1:12" x14ac:dyDescent="0.25">
      <c r="A904" s="7">
        <v>45007</v>
      </c>
      <c r="B904" t="s">
        <v>19</v>
      </c>
      <c r="C904" s="6">
        <v>2675</v>
      </c>
      <c r="D904" s="5" t="s">
        <v>303</v>
      </c>
      <c r="E904" s="1">
        <v>0.45069444444444445</v>
      </c>
      <c r="F904" s="1">
        <v>0.51041666666666663</v>
      </c>
      <c r="G904" s="9">
        <f t="shared" si="98"/>
        <v>45005</v>
      </c>
      <c r="H904" s="11">
        <f t="shared" si="99"/>
        <v>1.4</v>
      </c>
      <c r="I904" s="10">
        <f t="shared" si="95"/>
        <v>3.4</v>
      </c>
      <c r="J904" s="10">
        <f t="shared" si="96"/>
        <v>7.2</v>
      </c>
      <c r="K904" s="10">
        <f t="shared" si="97"/>
        <v>17.799999999999997</v>
      </c>
      <c r="L904" s="10">
        <f t="shared" si="100"/>
        <v>107.30000000000001</v>
      </c>
    </row>
    <row r="905" spans="1:12" x14ac:dyDescent="0.25">
      <c r="A905" s="7">
        <v>45007</v>
      </c>
      <c r="B905" t="s">
        <v>19</v>
      </c>
      <c r="C905" s="6">
        <v>2675</v>
      </c>
      <c r="D905" s="5" t="s">
        <v>303</v>
      </c>
      <c r="E905" s="1">
        <v>0.52777777777777779</v>
      </c>
      <c r="F905" s="1">
        <v>0.5625</v>
      </c>
      <c r="G905" s="9">
        <f t="shared" si="98"/>
        <v>45005</v>
      </c>
      <c r="H905" s="11">
        <f t="shared" si="99"/>
        <v>0.8</v>
      </c>
      <c r="I905" s="10">
        <f t="shared" si="95"/>
        <v>4.2</v>
      </c>
      <c r="J905" s="10">
        <f t="shared" si="96"/>
        <v>7.2</v>
      </c>
      <c r="K905" s="10">
        <f t="shared" si="97"/>
        <v>18.600000000000001</v>
      </c>
      <c r="L905" s="10">
        <f t="shared" si="100"/>
        <v>108.1</v>
      </c>
    </row>
    <row r="906" spans="1:12" x14ac:dyDescent="0.25">
      <c r="A906" s="7">
        <v>45007</v>
      </c>
      <c r="B906" t="s">
        <v>297</v>
      </c>
      <c r="C906" s="6">
        <v>2664</v>
      </c>
      <c r="D906" s="5" t="s">
        <v>306</v>
      </c>
      <c r="E906" s="1">
        <v>0.5625</v>
      </c>
      <c r="F906" s="1">
        <v>0.60138888888888886</v>
      </c>
      <c r="G906" s="9">
        <f t="shared" si="98"/>
        <v>45005</v>
      </c>
      <c r="H906" s="11">
        <f t="shared" si="99"/>
        <v>0.9</v>
      </c>
      <c r="I906" s="10">
        <f t="shared" si="95"/>
        <v>5.1000000000000005</v>
      </c>
      <c r="J906" s="10">
        <f t="shared" si="96"/>
        <v>7.2</v>
      </c>
      <c r="K906" s="10">
        <f t="shared" si="97"/>
        <v>19.5</v>
      </c>
      <c r="L906" s="10">
        <f t="shared" si="100"/>
        <v>109</v>
      </c>
    </row>
    <row r="907" spans="1:12" x14ac:dyDescent="0.25">
      <c r="A907" s="7">
        <v>45007</v>
      </c>
      <c r="B907" t="s">
        <v>297</v>
      </c>
      <c r="C907" s="6">
        <v>2664</v>
      </c>
      <c r="D907" s="5" t="s">
        <v>307</v>
      </c>
      <c r="E907" s="1">
        <v>0.60138888888888886</v>
      </c>
      <c r="F907" s="1">
        <v>0.65833333333333333</v>
      </c>
      <c r="G907" s="9">
        <f t="shared" si="98"/>
        <v>45005</v>
      </c>
      <c r="H907" s="11">
        <f t="shared" si="99"/>
        <v>1.4</v>
      </c>
      <c r="I907" s="10">
        <f t="shared" si="95"/>
        <v>6.5</v>
      </c>
      <c r="J907" s="10">
        <f t="shared" si="96"/>
        <v>7.2</v>
      </c>
      <c r="K907" s="10">
        <f t="shared" si="97"/>
        <v>20.9</v>
      </c>
      <c r="L907" s="10">
        <f t="shared" si="100"/>
        <v>110.4</v>
      </c>
    </row>
    <row r="908" spans="1:12" x14ac:dyDescent="0.25">
      <c r="A908" s="7">
        <v>45008</v>
      </c>
      <c r="B908" t="s">
        <v>297</v>
      </c>
      <c r="C908" s="6">
        <v>2664</v>
      </c>
      <c r="D908" s="5" t="s">
        <v>308</v>
      </c>
      <c r="E908" s="1">
        <v>0.34583333333333338</v>
      </c>
      <c r="F908" s="1">
        <v>0.44375000000000003</v>
      </c>
      <c r="G908" s="9">
        <f t="shared" si="98"/>
        <v>45005</v>
      </c>
      <c r="H908" s="11">
        <f t="shared" si="99"/>
        <v>2.4</v>
      </c>
      <c r="I908" s="10">
        <f t="shared" si="95"/>
        <v>2.4</v>
      </c>
      <c r="J908" s="10">
        <f t="shared" si="96"/>
        <v>7.2</v>
      </c>
      <c r="K908" s="10">
        <f t="shared" si="97"/>
        <v>23.299999999999997</v>
      </c>
      <c r="L908" s="10">
        <f t="shared" si="100"/>
        <v>112.80000000000001</v>
      </c>
    </row>
    <row r="909" spans="1:12" x14ac:dyDescent="0.25">
      <c r="A909" s="7">
        <v>45008</v>
      </c>
      <c r="B909" t="s">
        <v>309</v>
      </c>
      <c r="C909" s="6">
        <v>2805</v>
      </c>
      <c r="D909" s="5" t="s">
        <v>44</v>
      </c>
      <c r="E909" s="1">
        <v>0.53263888888888888</v>
      </c>
      <c r="F909" s="1">
        <v>0.6020833333333333</v>
      </c>
      <c r="G909" s="9">
        <f t="shared" si="98"/>
        <v>45005</v>
      </c>
      <c r="H909" s="11">
        <f t="shared" si="99"/>
        <v>1.7</v>
      </c>
      <c r="I909" s="10">
        <f t="shared" si="95"/>
        <v>4.0999999999999996</v>
      </c>
      <c r="J909" s="10">
        <f t="shared" si="96"/>
        <v>7.2</v>
      </c>
      <c r="K909" s="10">
        <f t="shared" si="97"/>
        <v>25</v>
      </c>
      <c r="L909" s="10">
        <f t="shared" si="100"/>
        <v>114.5</v>
      </c>
    </row>
    <row r="910" spans="1:12" x14ac:dyDescent="0.25">
      <c r="A910" s="7">
        <v>45008</v>
      </c>
      <c r="B910" t="s">
        <v>297</v>
      </c>
      <c r="C910" s="6">
        <v>2664</v>
      </c>
      <c r="D910" s="5" t="s">
        <v>308</v>
      </c>
      <c r="E910" s="1">
        <v>0.59652777777777777</v>
      </c>
      <c r="F910" s="1">
        <v>0.69513888888888886</v>
      </c>
      <c r="G910" s="9">
        <f t="shared" si="98"/>
        <v>45005</v>
      </c>
      <c r="H910" s="11">
        <f t="shared" si="99"/>
        <v>2.4</v>
      </c>
      <c r="I910" s="10">
        <f t="shared" si="95"/>
        <v>6.5</v>
      </c>
      <c r="J910" s="10">
        <f t="shared" si="96"/>
        <v>7.2</v>
      </c>
      <c r="K910" s="10">
        <f t="shared" si="97"/>
        <v>27.4</v>
      </c>
      <c r="L910" s="10">
        <f t="shared" si="100"/>
        <v>116.9</v>
      </c>
    </row>
    <row r="911" spans="1:12" x14ac:dyDescent="0.25">
      <c r="A911" s="7">
        <v>45009</v>
      </c>
      <c r="B911" t="s">
        <v>297</v>
      </c>
      <c r="C911" s="6">
        <v>2664</v>
      </c>
      <c r="D911" s="5" t="s">
        <v>310</v>
      </c>
      <c r="E911" s="1">
        <v>0.29305555555555557</v>
      </c>
      <c r="F911" s="1">
        <v>0.39583333333333331</v>
      </c>
      <c r="G911" s="9">
        <f t="shared" si="98"/>
        <v>45005</v>
      </c>
      <c r="H911" s="11">
        <f t="shared" si="99"/>
        <v>2.5</v>
      </c>
      <c r="I911" s="10">
        <f t="shared" si="95"/>
        <v>2.5</v>
      </c>
      <c r="J911" s="10">
        <f t="shared" si="96"/>
        <v>7.2</v>
      </c>
      <c r="K911" s="10">
        <f t="shared" si="97"/>
        <v>29.9</v>
      </c>
      <c r="L911" s="10">
        <f t="shared" si="100"/>
        <v>119.4</v>
      </c>
    </row>
    <row r="912" spans="1:12" x14ac:dyDescent="0.25">
      <c r="A912" s="7">
        <v>45009</v>
      </c>
      <c r="B912" t="s">
        <v>311</v>
      </c>
      <c r="C912" s="6">
        <v>2008</v>
      </c>
      <c r="D912" s="5" t="s">
        <v>44</v>
      </c>
      <c r="E912" s="1">
        <v>0.39583333333333331</v>
      </c>
      <c r="F912" s="1">
        <v>0.4375</v>
      </c>
      <c r="G912" s="9">
        <f t="shared" si="98"/>
        <v>45005</v>
      </c>
      <c r="H912" s="11">
        <f t="shared" si="99"/>
        <v>1</v>
      </c>
      <c r="I912" s="10">
        <f t="shared" si="95"/>
        <v>3.5</v>
      </c>
      <c r="J912" s="10">
        <f t="shared" si="96"/>
        <v>7.2</v>
      </c>
      <c r="K912" s="10">
        <f t="shared" si="97"/>
        <v>30.9</v>
      </c>
      <c r="L912" s="10">
        <f t="shared" si="100"/>
        <v>120.4</v>
      </c>
    </row>
    <row r="913" spans="1:12" x14ac:dyDescent="0.25">
      <c r="A913" s="7">
        <v>45009</v>
      </c>
      <c r="B913" t="s">
        <v>297</v>
      </c>
      <c r="C913" s="6">
        <v>2664</v>
      </c>
      <c r="D913" s="5" t="s">
        <v>310</v>
      </c>
      <c r="E913" s="1">
        <v>0.4375</v>
      </c>
      <c r="F913" s="1">
        <v>0.4861111111111111</v>
      </c>
      <c r="G913" s="9">
        <f t="shared" si="98"/>
        <v>45005</v>
      </c>
      <c r="H913" s="11">
        <f t="shared" si="99"/>
        <v>1.2</v>
      </c>
      <c r="I913" s="10">
        <f t="shared" si="95"/>
        <v>4.7</v>
      </c>
      <c r="J913" s="10">
        <f t="shared" si="96"/>
        <v>7.2</v>
      </c>
      <c r="K913" s="10">
        <f t="shared" si="97"/>
        <v>32.1</v>
      </c>
      <c r="L913" s="10">
        <f t="shared" si="100"/>
        <v>121.60000000000001</v>
      </c>
    </row>
    <row r="914" spans="1:12" x14ac:dyDescent="0.25">
      <c r="A914" s="7">
        <v>45009</v>
      </c>
      <c r="B914" t="s">
        <v>297</v>
      </c>
      <c r="C914" s="6">
        <v>2664</v>
      </c>
      <c r="D914" s="5" t="s">
        <v>275</v>
      </c>
      <c r="E914" s="1">
        <v>0.49513888888888885</v>
      </c>
      <c r="F914" s="1">
        <v>0.66249999999999998</v>
      </c>
      <c r="G914" s="9">
        <f t="shared" si="98"/>
        <v>45005</v>
      </c>
      <c r="H914" s="11">
        <f t="shared" si="99"/>
        <v>4</v>
      </c>
      <c r="I914" s="10">
        <f t="shared" si="95"/>
        <v>8.6999999999999993</v>
      </c>
      <c r="J914" s="10">
        <f t="shared" si="96"/>
        <v>7.2</v>
      </c>
      <c r="K914" s="10">
        <f t="shared" si="97"/>
        <v>36.1</v>
      </c>
      <c r="L914" s="10">
        <f t="shared" si="100"/>
        <v>125.6</v>
      </c>
    </row>
    <row r="915" spans="1:12" x14ac:dyDescent="0.25">
      <c r="A915" s="7">
        <v>45012</v>
      </c>
      <c r="B915" t="s">
        <v>6</v>
      </c>
      <c r="C915" s="6" t="s">
        <v>416</v>
      </c>
      <c r="D915" s="5" t="s">
        <v>104</v>
      </c>
      <c r="E915" s="1">
        <v>0.30277777777777776</v>
      </c>
      <c r="F915" s="1">
        <v>0.32777777777777778</v>
      </c>
      <c r="G915" s="9">
        <f t="shared" si="98"/>
        <v>45012</v>
      </c>
      <c r="H915" s="11">
        <f t="shared" si="99"/>
        <v>0.6</v>
      </c>
      <c r="I915" s="10">
        <f t="shared" si="95"/>
        <v>0.6</v>
      </c>
      <c r="J915" s="10">
        <f t="shared" si="96"/>
        <v>7.2</v>
      </c>
      <c r="K915" s="10">
        <f t="shared" si="97"/>
        <v>0.6</v>
      </c>
      <c r="L915" s="10">
        <f t="shared" si="100"/>
        <v>126.19999999999999</v>
      </c>
    </row>
    <row r="916" spans="1:12" x14ac:dyDescent="0.25">
      <c r="A916" s="7">
        <v>45012</v>
      </c>
      <c r="B916" t="s">
        <v>297</v>
      </c>
      <c r="C916" s="6">
        <v>2664</v>
      </c>
      <c r="D916" s="5" t="s">
        <v>275</v>
      </c>
      <c r="E916" s="1">
        <v>0.32777777777777778</v>
      </c>
      <c r="F916" s="1">
        <v>0.34861111111111115</v>
      </c>
      <c r="G916" s="9">
        <f t="shared" si="98"/>
        <v>45012</v>
      </c>
      <c r="H916" s="11">
        <f t="shared" si="99"/>
        <v>0.5</v>
      </c>
      <c r="I916" s="10">
        <f t="shared" si="95"/>
        <v>1.1000000000000001</v>
      </c>
      <c r="J916" s="10">
        <f t="shared" si="96"/>
        <v>7.2</v>
      </c>
      <c r="K916" s="10">
        <f t="shared" si="97"/>
        <v>1.1000000000000001</v>
      </c>
      <c r="L916" s="10">
        <f t="shared" si="100"/>
        <v>126.7</v>
      </c>
    </row>
    <row r="917" spans="1:12" x14ac:dyDescent="0.25">
      <c r="A917" s="7">
        <v>45012</v>
      </c>
      <c r="B917" t="s">
        <v>6</v>
      </c>
      <c r="C917" s="6" t="s">
        <v>416</v>
      </c>
      <c r="D917" s="5" t="s">
        <v>112</v>
      </c>
      <c r="E917" s="1">
        <v>0.41666666666666669</v>
      </c>
      <c r="F917" s="1">
        <v>0.45833333333333331</v>
      </c>
      <c r="G917" s="9">
        <f t="shared" si="98"/>
        <v>45012</v>
      </c>
      <c r="H917" s="11">
        <f t="shared" si="99"/>
        <v>1</v>
      </c>
      <c r="I917" s="10">
        <f t="shared" si="95"/>
        <v>2.1</v>
      </c>
      <c r="J917" s="10">
        <f t="shared" si="96"/>
        <v>7.2</v>
      </c>
      <c r="K917" s="10">
        <f t="shared" si="97"/>
        <v>2.1</v>
      </c>
      <c r="L917" s="10">
        <f t="shared" si="100"/>
        <v>127.7</v>
      </c>
    </row>
    <row r="918" spans="1:12" x14ac:dyDescent="0.25">
      <c r="A918" s="7">
        <v>45012</v>
      </c>
      <c r="B918" t="s">
        <v>309</v>
      </c>
      <c r="C918" s="6">
        <v>2805</v>
      </c>
      <c r="D918" s="5" t="s">
        <v>312</v>
      </c>
      <c r="E918" s="1">
        <v>0.45833333333333331</v>
      </c>
      <c r="F918" s="1">
        <v>0.48125000000000001</v>
      </c>
      <c r="G918" s="9">
        <f t="shared" si="98"/>
        <v>45012</v>
      </c>
      <c r="H918" s="11">
        <f t="shared" si="99"/>
        <v>0.6</v>
      </c>
      <c r="I918" s="10">
        <f t="shared" si="95"/>
        <v>2.7</v>
      </c>
      <c r="J918" s="10">
        <f t="shared" si="96"/>
        <v>7.2</v>
      </c>
      <c r="K918" s="10">
        <f t="shared" si="97"/>
        <v>2.7</v>
      </c>
      <c r="L918" s="10">
        <f t="shared" si="100"/>
        <v>128.30000000000001</v>
      </c>
    </row>
    <row r="919" spans="1:12" x14ac:dyDescent="0.25">
      <c r="A919" s="7">
        <v>45012</v>
      </c>
      <c r="B919" t="s">
        <v>6</v>
      </c>
      <c r="C919" s="6" t="s">
        <v>416</v>
      </c>
      <c r="D919" s="5" t="s">
        <v>313</v>
      </c>
      <c r="E919" s="1">
        <v>0.48125000000000001</v>
      </c>
      <c r="F919" s="1">
        <v>0.50347222222222221</v>
      </c>
      <c r="G919" s="9">
        <f t="shared" si="98"/>
        <v>45012</v>
      </c>
      <c r="H919" s="11">
        <f t="shared" si="99"/>
        <v>0.5</v>
      </c>
      <c r="I919" s="10">
        <f t="shared" si="95"/>
        <v>3.2</v>
      </c>
      <c r="J919" s="10">
        <f t="shared" si="96"/>
        <v>7.2</v>
      </c>
      <c r="K919" s="10">
        <f t="shared" si="97"/>
        <v>3.2</v>
      </c>
      <c r="L919" s="10">
        <f t="shared" si="100"/>
        <v>128.80000000000001</v>
      </c>
    </row>
    <row r="920" spans="1:12" x14ac:dyDescent="0.25">
      <c r="A920" s="7">
        <v>45012</v>
      </c>
      <c r="B920" s="2" t="s">
        <v>292</v>
      </c>
      <c r="C920" s="24">
        <v>8075</v>
      </c>
      <c r="D920" s="5" t="s">
        <v>314</v>
      </c>
      <c r="E920" s="1">
        <v>0.45833333333333331</v>
      </c>
      <c r="F920" s="1">
        <v>0.48472222222222222</v>
      </c>
      <c r="G920" s="9">
        <f t="shared" ref="G920:G983" si="101">IF(E920&gt;0,INT((A920-2)/7)*7+2,"")</f>
        <v>45012</v>
      </c>
      <c r="H920" s="11">
        <f t="shared" ref="H920:H983" si="102">IF(E920&gt;0,ROUND(24*(IF(F920&gt;0,F920,NowTime)-E920),1),"")</f>
        <v>0.6</v>
      </c>
      <c r="I920" s="10">
        <f t="shared" ref="I920:I983" si="103">IF(H920="",H920,H920+IF(A920=A919,_xlfn.NUMBERVALUE(I919),0))</f>
        <v>3.8000000000000003</v>
      </c>
      <c r="J920" s="10">
        <f t="shared" ref="J920:J983" si="104">IF(H920="",H920,7.2)</f>
        <v>7.2</v>
      </c>
      <c r="K920" s="10">
        <f t="shared" si="97"/>
        <v>3.8000000000000003</v>
      </c>
      <c r="L920" s="10">
        <f t="shared" ref="L920:L983" si="105">IF(H920="",H920,H920+IF(MONTH(A920)=MONTH(A919),_xlfn.NUMBERVALUE(L919),0))</f>
        <v>129.4</v>
      </c>
    </row>
    <row r="921" spans="1:12" x14ac:dyDescent="0.25">
      <c r="A921" s="7">
        <v>45012</v>
      </c>
      <c r="B921" s="2" t="s">
        <v>292</v>
      </c>
      <c r="C921" s="24">
        <v>8075</v>
      </c>
      <c r="D921" s="5" t="s">
        <v>315</v>
      </c>
      <c r="E921" s="1">
        <v>0.45763888888888887</v>
      </c>
      <c r="F921" s="1">
        <v>0.50416666666666665</v>
      </c>
      <c r="G921" s="9">
        <f t="shared" si="101"/>
        <v>45012</v>
      </c>
      <c r="H921" s="11">
        <f t="shared" si="102"/>
        <v>1.1000000000000001</v>
      </c>
      <c r="I921" s="10">
        <f t="shared" si="103"/>
        <v>4.9000000000000004</v>
      </c>
      <c r="J921" s="10">
        <f t="shared" si="104"/>
        <v>7.2</v>
      </c>
      <c r="K921" s="10">
        <f t="shared" si="97"/>
        <v>4.9000000000000004</v>
      </c>
      <c r="L921" s="10">
        <f t="shared" si="105"/>
        <v>130.5</v>
      </c>
    </row>
    <row r="922" spans="1:12" x14ac:dyDescent="0.25">
      <c r="A922" s="7">
        <v>45012</v>
      </c>
      <c r="B922" s="2" t="s">
        <v>292</v>
      </c>
      <c r="C922" s="24">
        <v>8075</v>
      </c>
      <c r="D922" s="5" t="s">
        <v>288</v>
      </c>
      <c r="E922" s="1">
        <v>0.50347222222222221</v>
      </c>
      <c r="F922" s="1">
        <v>0.52569444444444446</v>
      </c>
      <c r="G922" s="9">
        <f t="shared" si="101"/>
        <v>45012</v>
      </c>
      <c r="H922" s="11">
        <f t="shared" si="102"/>
        <v>0.5</v>
      </c>
      <c r="I922" s="10">
        <f t="shared" si="103"/>
        <v>5.4</v>
      </c>
      <c r="J922" s="10">
        <f t="shared" si="104"/>
        <v>7.2</v>
      </c>
      <c r="K922" s="10">
        <f t="shared" si="97"/>
        <v>5.4</v>
      </c>
      <c r="L922" s="10">
        <f t="shared" si="105"/>
        <v>131</v>
      </c>
    </row>
    <row r="923" spans="1:12" x14ac:dyDescent="0.25">
      <c r="A923" s="7">
        <v>45012</v>
      </c>
      <c r="B923" t="s">
        <v>297</v>
      </c>
      <c r="C923" s="6">
        <v>2664</v>
      </c>
      <c r="D923" s="5" t="s">
        <v>275</v>
      </c>
      <c r="E923" s="1">
        <v>0.54166666666666663</v>
      </c>
      <c r="F923" s="1">
        <v>0.61805555555555558</v>
      </c>
      <c r="G923" s="9">
        <f t="shared" si="101"/>
        <v>45012</v>
      </c>
      <c r="H923" s="11">
        <f t="shared" si="102"/>
        <v>1.8</v>
      </c>
      <c r="I923" s="10">
        <f t="shared" si="103"/>
        <v>7.2</v>
      </c>
      <c r="J923" s="10">
        <f t="shared" si="104"/>
        <v>7.2</v>
      </c>
      <c r="K923" s="10">
        <f t="shared" si="97"/>
        <v>7.2</v>
      </c>
      <c r="L923" s="10">
        <f t="shared" si="105"/>
        <v>132.80000000000001</v>
      </c>
    </row>
    <row r="924" spans="1:12" x14ac:dyDescent="0.25">
      <c r="A924" s="7">
        <v>45012</v>
      </c>
      <c r="B924" t="s">
        <v>19</v>
      </c>
      <c r="C924" s="6">
        <v>2675</v>
      </c>
      <c r="D924" s="5" t="s">
        <v>303</v>
      </c>
      <c r="E924" s="1">
        <v>0.61805555555555558</v>
      </c>
      <c r="F924" s="1">
        <v>0.62916666666666665</v>
      </c>
      <c r="G924" s="9">
        <f t="shared" si="101"/>
        <v>45012</v>
      </c>
      <c r="H924" s="11">
        <f t="shared" si="102"/>
        <v>0.3</v>
      </c>
      <c r="I924" s="10">
        <f t="shared" si="103"/>
        <v>7.5</v>
      </c>
      <c r="J924" s="10">
        <f t="shared" si="104"/>
        <v>7.2</v>
      </c>
      <c r="K924" s="10">
        <f t="shared" si="97"/>
        <v>7.5</v>
      </c>
      <c r="L924" s="10">
        <f t="shared" si="105"/>
        <v>133.10000000000002</v>
      </c>
    </row>
    <row r="925" spans="1:12" x14ac:dyDescent="0.25">
      <c r="A925" s="7">
        <v>45013</v>
      </c>
      <c r="B925" t="s">
        <v>297</v>
      </c>
      <c r="C925" s="6">
        <v>2664</v>
      </c>
      <c r="D925" s="5" t="s">
        <v>275</v>
      </c>
      <c r="E925" s="1">
        <v>0.35416666666666669</v>
      </c>
      <c r="F925" s="1">
        <v>0.42291666666666666</v>
      </c>
      <c r="G925" s="9">
        <f t="shared" si="101"/>
        <v>45012</v>
      </c>
      <c r="H925" s="11">
        <f t="shared" si="102"/>
        <v>1.7</v>
      </c>
      <c r="I925" s="10">
        <f t="shared" si="103"/>
        <v>1.7</v>
      </c>
      <c r="J925" s="10">
        <f t="shared" si="104"/>
        <v>7.2</v>
      </c>
      <c r="K925" s="10">
        <f t="shared" si="97"/>
        <v>9.1999999999999993</v>
      </c>
      <c r="L925" s="10">
        <f t="shared" si="105"/>
        <v>134.79999999999998</v>
      </c>
    </row>
    <row r="926" spans="1:12" x14ac:dyDescent="0.25">
      <c r="A926" s="7">
        <v>45013</v>
      </c>
      <c r="B926" t="s">
        <v>19</v>
      </c>
      <c r="C926" s="6">
        <v>2675</v>
      </c>
      <c r="D926" s="5" t="s">
        <v>303</v>
      </c>
      <c r="E926" s="1">
        <v>0.42291666666666666</v>
      </c>
      <c r="F926" s="1">
        <v>0.48402777777777778</v>
      </c>
      <c r="G926" s="9">
        <f t="shared" si="101"/>
        <v>45012</v>
      </c>
      <c r="H926" s="11">
        <f t="shared" si="102"/>
        <v>1.5</v>
      </c>
      <c r="I926" s="10">
        <f t="shared" si="103"/>
        <v>3.2</v>
      </c>
      <c r="J926" s="10">
        <f t="shared" si="104"/>
        <v>7.2</v>
      </c>
      <c r="K926" s="10">
        <f t="shared" si="97"/>
        <v>10.7</v>
      </c>
      <c r="L926" s="10">
        <f t="shared" si="105"/>
        <v>136.30000000000001</v>
      </c>
    </row>
    <row r="927" spans="1:12" x14ac:dyDescent="0.25">
      <c r="A927" s="7">
        <v>45013</v>
      </c>
      <c r="B927" t="s">
        <v>19</v>
      </c>
      <c r="C927" s="6">
        <v>2675</v>
      </c>
      <c r="D927" s="5" t="s">
        <v>303</v>
      </c>
      <c r="E927" s="1">
        <v>0.49791666666666662</v>
      </c>
      <c r="F927" s="1">
        <v>0.625</v>
      </c>
      <c r="G927" s="9">
        <f t="shared" si="101"/>
        <v>45012</v>
      </c>
      <c r="H927" s="11">
        <f t="shared" si="102"/>
        <v>3.1</v>
      </c>
      <c r="I927" s="10">
        <f t="shared" si="103"/>
        <v>6.3000000000000007</v>
      </c>
      <c r="J927" s="10">
        <f t="shared" si="104"/>
        <v>7.2</v>
      </c>
      <c r="K927" s="10">
        <f t="shared" si="97"/>
        <v>13.799999999999999</v>
      </c>
      <c r="L927" s="10">
        <f t="shared" si="105"/>
        <v>139.4</v>
      </c>
    </row>
    <row r="928" spans="1:12" x14ac:dyDescent="0.25">
      <c r="A928" s="7">
        <v>45013</v>
      </c>
      <c r="B928" t="s">
        <v>19</v>
      </c>
      <c r="C928" s="6">
        <v>2675</v>
      </c>
      <c r="D928" s="5" t="s">
        <v>44</v>
      </c>
      <c r="E928" s="1">
        <v>0.625</v>
      </c>
      <c r="F928" s="1">
        <v>0.66666666666666663</v>
      </c>
      <c r="G928" s="9">
        <f t="shared" si="101"/>
        <v>45012</v>
      </c>
      <c r="H928" s="11">
        <f t="shared" si="102"/>
        <v>1</v>
      </c>
      <c r="I928" s="10">
        <f t="shared" si="103"/>
        <v>7.3</v>
      </c>
      <c r="J928" s="10">
        <f t="shared" si="104"/>
        <v>7.2</v>
      </c>
      <c r="K928" s="10">
        <f t="shared" si="97"/>
        <v>14.8</v>
      </c>
      <c r="L928" s="10">
        <f t="shared" si="105"/>
        <v>140.4</v>
      </c>
    </row>
    <row r="929" spans="1:12" x14ac:dyDescent="0.25">
      <c r="A929" s="7">
        <v>45014</v>
      </c>
      <c r="B929" t="s">
        <v>19</v>
      </c>
      <c r="C929" s="6">
        <v>2675</v>
      </c>
      <c r="D929" s="5" t="s">
        <v>303</v>
      </c>
      <c r="E929" s="1">
        <v>0.3527777777777778</v>
      </c>
      <c r="F929" s="1">
        <v>0.39097222222222222</v>
      </c>
      <c r="G929" s="9">
        <f t="shared" si="101"/>
        <v>45012</v>
      </c>
      <c r="H929" s="11">
        <f t="shared" si="102"/>
        <v>0.9</v>
      </c>
      <c r="I929" s="10">
        <f t="shared" si="103"/>
        <v>0.9</v>
      </c>
      <c r="J929" s="10">
        <f t="shared" si="104"/>
        <v>7.2</v>
      </c>
      <c r="K929" s="10">
        <f t="shared" si="97"/>
        <v>15.700000000000001</v>
      </c>
      <c r="L929" s="10">
        <f t="shared" si="105"/>
        <v>141.30000000000001</v>
      </c>
    </row>
    <row r="930" spans="1:12" x14ac:dyDescent="0.25">
      <c r="A930" s="7">
        <v>45014</v>
      </c>
      <c r="B930" t="s">
        <v>17</v>
      </c>
      <c r="C930" s="6">
        <v>2420</v>
      </c>
      <c r="D930" s="5" t="s">
        <v>316</v>
      </c>
      <c r="E930" s="1">
        <v>0.39097222222222222</v>
      </c>
      <c r="F930" s="1">
        <v>0.41805555555555557</v>
      </c>
      <c r="G930" s="9">
        <f t="shared" si="101"/>
        <v>45012</v>
      </c>
      <c r="H930" s="11">
        <f t="shared" si="102"/>
        <v>0.7</v>
      </c>
      <c r="I930" s="10">
        <f t="shared" si="103"/>
        <v>1.6</v>
      </c>
      <c r="J930" s="10">
        <f t="shared" si="104"/>
        <v>7.2</v>
      </c>
      <c r="K930" s="10">
        <f t="shared" si="97"/>
        <v>16.399999999999999</v>
      </c>
      <c r="L930" s="10">
        <f t="shared" si="105"/>
        <v>142</v>
      </c>
    </row>
    <row r="931" spans="1:12" x14ac:dyDescent="0.25">
      <c r="A931" s="7">
        <v>45014</v>
      </c>
      <c r="B931" t="s">
        <v>19</v>
      </c>
      <c r="C931" s="6">
        <v>2675</v>
      </c>
      <c r="D931" s="5" t="s">
        <v>303</v>
      </c>
      <c r="E931" s="1">
        <v>0.41875000000000001</v>
      </c>
      <c r="F931" s="1">
        <v>0.47638888888888892</v>
      </c>
      <c r="G931" s="9">
        <f t="shared" si="101"/>
        <v>45012</v>
      </c>
      <c r="H931" s="11">
        <f t="shared" si="102"/>
        <v>1.4</v>
      </c>
      <c r="I931" s="10">
        <f t="shared" si="103"/>
        <v>3</v>
      </c>
      <c r="J931" s="10">
        <f t="shared" si="104"/>
        <v>7.2</v>
      </c>
      <c r="K931" s="10">
        <f t="shared" si="97"/>
        <v>17.799999999999997</v>
      </c>
      <c r="L931" s="10">
        <f t="shared" si="105"/>
        <v>143.4</v>
      </c>
    </row>
    <row r="932" spans="1:12" x14ac:dyDescent="0.25">
      <c r="A932" s="7">
        <v>45014</v>
      </c>
      <c r="B932" t="s">
        <v>19</v>
      </c>
      <c r="C932" s="6">
        <v>2675</v>
      </c>
      <c r="D932" s="5" t="s">
        <v>303</v>
      </c>
      <c r="E932" s="1">
        <v>0.49722222222222223</v>
      </c>
      <c r="F932" s="1">
        <v>0.66388888888888886</v>
      </c>
      <c r="G932" s="9">
        <f t="shared" si="101"/>
        <v>45012</v>
      </c>
      <c r="H932" s="11">
        <f t="shared" si="102"/>
        <v>4</v>
      </c>
      <c r="I932" s="10">
        <f t="shared" si="103"/>
        <v>7</v>
      </c>
      <c r="J932" s="10">
        <f t="shared" si="104"/>
        <v>7.2</v>
      </c>
      <c r="K932" s="10">
        <f t="shared" si="97"/>
        <v>21.8</v>
      </c>
      <c r="L932" s="10">
        <f t="shared" si="105"/>
        <v>147.4</v>
      </c>
    </row>
    <row r="933" spans="1:12" x14ac:dyDescent="0.25">
      <c r="A933" s="7">
        <v>45015</v>
      </c>
      <c r="B933" t="s">
        <v>6</v>
      </c>
      <c r="C933" s="6" t="s">
        <v>416</v>
      </c>
      <c r="D933" s="5" t="s">
        <v>317</v>
      </c>
      <c r="E933" s="1">
        <v>0.35416666666666669</v>
      </c>
      <c r="F933" s="1">
        <v>0.6875</v>
      </c>
      <c r="G933" s="9">
        <f t="shared" si="101"/>
        <v>45012</v>
      </c>
      <c r="H933" s="11">
        <f t="shared" si="102"/>
        <v>8</v>
      </c>
      <c r="I933" s="10">
        <f t="shared" si="103"/>
        <v>8</v>
      </c>
      <c r="J933" s="10">
        <f t="shared" si="104"/>
        <v>7.2</v>
      </c>
      <c r="K933" s="10">
        <f t="shared" si="97"/>
        <v>29.8</v>
      </c>
      <c r="L933" s="10">
        <f t="shared" si="105"/>
        <v>155.4</v>
      </c>
    </row>
    <row r="934" spans="1:12" x14ac:dyDescent="0.25">
      <c r="A934" s="7">
        <v>45016</v>
      </c>
      <c r="B934" t="s">
        <v>6</v>
      </c>
      <c r="C934" s="6" t="s">
        <v>416</v>
      </c>
      <c r="D934" s="5" t="s">
        <v>318</v>
      </c>
      <c r="E934" s="1">
        <v>0.33055555555555555</v>
      </c>
      <c r="F934" s="1">
        <v>0.375</v>
      </c>
      <c r="G934" s="9">
        <f t="shared" si="101"/>
        <v>45012</v>
      </c>
      <c r="H934" s="11">
        <f t="shared" si="102"/>
        <v>1.1000000000000001</v>
      </c>
      <c r="I934" s="10">
        <f t="shared" si="103"/>
        <v>1.1000000000000001</v>
      </c>
      <c r="J934" s="10">
        <f t="shared" si="104"/>
        <v>7.2</v>
      </c>
      <c r="K934" s="10">
        <f t="shared" si="97"/>
        <v>30.900000000000002</v>
      </c>
      <c r="L934" s="10">
        <f t="shared" si="105"/>
        <v>156.5</v>
      </c>
    </row>
    <row r="935" spans="1:12" x14ac:dyDescent="0.25">
      <c r="A935" s="7">
        <v>45016</v>
      </c>
      <c r="B935" t="s">
        <v>19</v>
      </c>
      <c r="C935" s="6">
        <v>2675</v>
      </c>
      <c r="D935" s="5" t="s">
        <v>259</v>
      </c>
      <c r="E935" s="1">
        <v>0.375</v>
      </c>
      <c r="F935" s="1">
        <v>0.41666666666666669</v>
      </c>
      <c r="G935" s="9">
        <f t="shared" si="101"/>
        <v>45012</v>
      </c>
      <c r="H935" s="11">
        <f t="shared" si="102"/>
        <v>1</v>
      </c>
      <c r="I935" s="10">
        <f t="shared" si="103"/>
        <v>2.1</v>
      </c>
      <c r="J935" s="10">
        <f t="shared" si="104"/>
        <v>7.2</v>
      </c>
      <c r="K935" s="10">
        <f t="shared" si="97"/>
        <v>31.9</v>
      </c>
      <c r="L935" s="10">
        <f t="shared" si="105"/>
        <v>157.5</v>
      </c>
    </row>
    <row r="936" spans="1:12" x14ac:dyDescent="0.25">
      <c r="A936" s="7">
        <v>45016</v>
      </c>
      <c r="B936" t="s">
        <v>19</v>
      </c>
      <c r="C936" s="6">
        <v>2675</v>
      </c>
      <c r="D936" s="5" t="s">
        <v>319</v>
      </c>
      <c r="E936" s="1">
        <v>0.41666666666666669</v>
      </c>
      <c r="F936" s="1">
        <v>0.44722222222222219</v>
      </c>
      <c r="G936" s="9">
        <f t="shared" si="101"/>
        <v>45012</v>
      </c>
      <c r="H936" s="11">
        <f t="shared" si="102"/>
        <v>0.7</v>
      </c>
      <c r="I936" s="10">
        <f t="shared" si="103"/>
        <v>2.8</v>
      </c>
      <c r="J936" s="10">
        <f t="shared" si="104"/>
        <v>7.2</v>
      </c>
      <c r="K936" s="10">
        <f t="shared" si="97"/>
        <v>32.6</v>
      </c>
      <c r="L936" s="10">
        <f t="shared" si="105"/>
        <v>158.19999999999999</v>
      </c>
    </row>
    <row r="937" spans="1:12" x14ac:dyDescent="0.25">
      <c r="A937" s="7">
        <v>45016</v>
      </c>
      <c r="B937" t="s">
        <v>19</v>
      </c>
      <c r="C937" s="6">
        <v>2675</v>
      </c>
      <c r="D937" s="5" t="s">
        <v>303</v>
      </c>
      <c r="E937" s="1">
        <v>0.44722222222222219</v>
      </c>
      <c r="F937" s="1">
        <v>0.5</v>
      </c>
      <c r="G937" s="9">
        <f t="shared" si="101"/>
        <v>45012</v>
      </c>
      <c r="H937" s="11">
        <f t="shared" si="102"/>
        <v>1.3</v>
      </c>
      <c r="I937" s="10">
        <f t="shared" si="103"/>
        <v>4.0999999999999996</v>
      </c>
      <c r="J937" s="10">
        <f t="shared" si="104"/>
        <v>7.2</v>
      </c>
      <c r="K937" s="10">
        <f t="shared" si="97"/>
        <v>33.9</v>
      </c>
      <c r="L937" s="10">
        <f t="shared" si="105"/>
        <v>159.5</v>
      </c>
    </row>
    <row r="938" spans="1:12" x14ac:dyDescent="0.25">
      <c r="A938" s="7">
        <v>45016</v>
      </c>
      <c r="B938" t="s">
        <v>19</v>
      </c>
      <c r="C938" s="6">
        <v>2675</v>
      </c>
      <c r="D938" s="5" t="s">
        <v>303</v>
      </c>
      <c r="E938" s="1">
        <v>0.52083333333333337</v>
      </c>
      <c r="F938" s="1">
        <v>0.66111111111111109</v>
      </c>
      <c r="G938" s="9">
        <f t="shared" si="101"/>
        <v>45012</v>
      </c>
      <c r="H938" s="11">
        <f t="shared" si="102"/>
        <v>3.4</v>
      </c>
      <c r="I938" s="10">
        <f t="shared" si="103"/>
        <v>7.5</v>
      </c>
      <c r="J938" s="10">
        <f t="shared" si="104"/>
        <v>7.2</v>
      </c>
      <c r="K938" s="10">
        <f t="shared" si="97"/>
        <v>37.299999999999997</v>
      </c>
      <c r="L938" s="10">
        <f t="shared" si="105"/>
        <v>162.9</v>
      </c>
    </row>
    <row r="939" spans="1:12" x14ac:dyDescent="0.25">
      <c r="A939" s="7">
        <v>45019</v>
      </c>
      <c r="B939" t="s">
        <v>297</v>
      </c>
      <c r="C939" s="6">
        <v>2664</v>
      </c>
      <c r="D939" s="5" t="s">
        <v>275</v>
      </c>
      <c r="E939" s="1">
        <v>0.29652777777777778</v>
      </c>
      <c r="F939" s="1">
        <v>0.33055555555555555</v>
      </c>
      <c r="G939" s="9">
        <f t="shared" si="101"/>
        <v>45019</v>
      </c>
      <c r="H939" s="11">
        <f t="shared" si="102"/>
        <v>0.8</v>
      </c>
      <c r="I939" s="10">
        <f t="shared" si="103"/>
        <v>0.8</v>
      </c>
      <c r="J939" s="10">
        <f t="shared" si="104"/>
        <v>7.2</v>
      </c>
      <c r="K939" s="10">
        <f t="shared" si="97"/>
        <v>0.8</v>
      </c>
      <c r="L939" s="10">
        <f t="shared" si="105"/>
        <v>0.8</v>
      </c>
    </row>
    <row r="940" spans="1:12" x14ac:dyDescent="0.25">
      <c r="A940" s="7">
        <v>45019</v>
      </c>
      <c r="B940" t="s">
        <v>19</v>
      </c>
      <c r="C940" s="6">
        <v>2675</v>
      </c>
      <c r="D940" s="5" t="s">
        <v>303</v>
      </c>
      <c r="E940" s="1">
        <v>0.33055555555555555</v>
      </c>
      <c r="F940" s="1">
        <v>0.41666666666666669</v>
      </c>
      <c r="G940" s="9">
        <f t="shared" si="101"/>
        <v>45019</v>
      </c>
      <c r="H940" s="11">
        <f t="shared" si="102"/>
        <v>2.1</v>
      </c>
      <c r="I940" s="10">
        <f t="shared" si="103"/>
        <v>2.9000000000000004</v>
      </c>
      <c r="J940" s="10">
        <f t="shared" si="104"/>
        <v>7.2</v>
      </c>
      <c r="K940" s="10">
        <f t="shared" si="97"/>
        <v>2.9000000000000004</v>
      </c>
      <c r="L940" s="10">
        <f t="shared" si="105"/>
        <v>2.9000000000000004</v>
      </c>
    </row>
    <row r="941" spans="1:12" x14ac:dyDescent="0.25">
      <c r="A941" s="7">
        <v>45019</v>
      </c>
      <c r="B941" t="s">
        <v>6</v>
      </c>
      <c r="C941" s="6" t="s">
        <v>416</v>
      </c>
      <c r="D941" s="5" t="s">
        <v>112</v>
      </c>
      <c r="E941" s="1">
        <v>0.41666666666666669</v>
      </c>
      <c r="F941" s="1">
        <v>0.46458333333333335</v>
      </c>
      <c r="G941" s="9">
        <f t="shared" si="101"/>
        <v>45019</v>
      </c>
      <c r="H941" s="11">
        <f t="shared" si="102"/>
        <v>1.2</v>
      </c>
      <c r="I941" s="10">
        <f t="shared" si="103"/>
        <v>4.0999999999999996</v>
      </c>
      <c r="J941" s="10">
        <f t="shared" si="104"/>
        <v>7.2</v>
      </c>
      <c r="K941" s="10">
        <f t="shared" si="97"/>
        <v>4.0999999999999996</v>
      </c>
      <c r="L941" s="10">
        <f t="shared" si="105"/>
        <v>4.0999999999999996</v>
      </c>
    </row>
    <row r="942" spans="1:12" x14ac:dyDescent="0.25">
      <c r="A942" s="7">
        <v>45019</v>
      </c>
      <c r="B942" t="s">
        <v>19</v>
      </c>
      <c r="C942" s="6">
        <v>2675</v>
      </c>
      <c r="D942" s="5" t="s">
        <v>303</v>
      </c>
      <c r="E942" s="1">
        <v>0.46458333333333335</v>
      </c>
      <c r="F942" s="1">
        <v>0.50972222222222219</v>
      </c>
      <c r="G942" s="9">
        <f t="shared" si="101"/>
        <v>45019</v>
      </c>
      <c r="H942" s="11">
        <f t="shared" si="102"/>
        <v>1.1000000000000001</v>
      </c>
      <c r="I942" s="10">
        <f t="shared" si="103"/>
        <v>5.1999999999999993</v>
      </c>
      <c r="J942" s="10">
        <f t="shared" si="104"/>
        <v>7.2</v>
      </c>
      <c r="K942" s="10">
        <f t="shared" si="97"/>
        <v>5.1999999999999993</v>
      </c>
      <c r="L942" s="10">
        <f t="shared" si="105"/>
        <v>5.1999999999999993</v>
      </c>
    </row>
    <row r="943" spans="1:12" x14ac:dyDescent="0.25">
      <c r="A943" s="7">
        <v>45019</v>
      </c>
      <c r="B943" t="s">
        <v>19</v>
      </c>
      <c r="C943" s="6">
        <v>2675</v>
      </c>
      <c r="D943" s="5" t="s">
        <v>303</v>
      </c>
      <c r="E943" s="1">
        <v>0.52847222222222223</v>
      </c>
      <c r="F943" s="1">
        <v>0.54166666666666663</v>
      </c>
      <c r="G943" s="9">
        <f t="shared" si="101"/>
        <v>45019</v>
      </c>
      <c r="H943" s="11">
        <f t="shared" si="102"/>
        <v>0.3</v>
      </c>
      <c r="I943" s="10">
        <f t="shared" si="103"/>
        <v>5.5</v>
      </c>
      <c r="J943" s="10">
        <f t="shared" si="104"/>
        <v>7.2</v>
      </c>
      <c r="K943" s="10">
        <f t="shared" si="97"/>
        <v>5.5</v>
      </c>
      <c r="L943" s="10">
        <f t="shared" si="105"/>
        <v>5.5</v>
      </c>
    </row>
    <row r="944" spans="1:12" x14ac:dyDescent="0.25">
      <c r="A944" s="7">
        <v>45019</v>
      </c>
      <c r="B944" t="s">
        <v>19</v>
      </c>
      <c r="C944" s="6">
        <v>2675</v>
      </c>
      <c r="D944" s="5" t="s">
        <v>320</v>
      </c>
      <c r="E944" s="1">
        <v>0.54166666666666663</v>
      </c>
      <c r="F944" s="1">
        <v>0.58402777777777781</v>
      </c>
      <c r="G944" s="9">
        <f t="shared" si="101"/>
        <v>45019</v>
      </c>
      <c r="H944" s="11">
        <f t="shared" si="102"/>
        <v>1</v>
      </c>
      <c r="I944" s="10">
        <f t="shared" si="103"/>
        <v>6.5</v>
      </c>
      <c r="J944" s="10">
        <f t="shared" si="104"/>
        <v>7.2</v>
      </c>
      <c r="K944" s="10">
        <f t="shared" si="97"/>
        <v>6.5</v>
      </c>
      <c r="L944" s="10">
        <f t="shared" si="105"/>
        <v>6.5</v>
      </c>
    </row>
    <row r="945" spans="1:12" x14ac:dyDescent="0.25">
      <c r="A945" s="7">
        <v>45019</v>
      </c>
      <c r="B945" t="s">
        <v>19</v>
      </c>
      <c r="C945" s="6">
        <v>2675</v>
      </c>
      <c r="D945" s="5" t="s">
        <v>303</v>
      </c>
      <c r="E945" s="1">
        <v>0.58402777777777781</v>
      </c>
      <c r="F945" s="1">
        <v>0.62083333333333335</v>
      </c>
      <c r="G945" s="9">
        <f t="shared" si="101"/>
        <v>45019</v>
      </c>
      <c r="H945" s="11">
        <f t="shared" si="102"/>
        <v>0.9</v>
      </c>
      <c r="I945" s="10">
        <f t="shared" si="103"/>
        <v>7.4</v>
      </c>
      <c r="J945" s="10">
        <f t="shared" si="104"/>
        <v>7.2</v>
      </c>
      <c r="K945" s="10">
        <f t="shared" si="97"/>
        <v>7.4</v>
      </c>
      <c r="L945" s="10">
        <f t="shared" si="105"/>
        <v>7.4</v>
      </c>
    </row>
    <row r="946" spans="1:12" x14ac:dyDescent="0.25">
      <c r="A946" s="7">
        <v>45020</v>
      </c>
      <c r="B946" t="s">
        <v>19</v>
      </c>
      <c r="C946" s="6">
        <v>2675</v>
      </c>
      <c r="D946" s="5" t="s">
        <v>303</v>
      </c>
      <c r="E946" s="1">
        <v>0.31180555555555556</v>
      </c>
      <c r="F946" s="1">
        <v>0.41597222222222219</v>
      </c>
      <c r="G946" s="9">
        <f t="shared" si="101"/>
        <v>45019</v>
      </c>
      <c r="H946" s="11">
        <f t="shared" si="102"/>
        <v>2.5</v>
      </c>
      <c r="I946" s="10">
        <f t="shared" si="103"/>
        <v>2.5</v>
      </c>
      <c r="J946" s="10">
        <f t="shared" si="104"/>
        <v>7.2</v>
      </c>
      <c r="K946" s="10">
        <f t="shared" si="97"/>
        <v>9.9</v>
      </c>
      <c r="L946" s="10">
        <f t="shared" si="105"/>
        <v>9.9</v>
      </c>
    </row>
    <row r="947" spans="1:12" x14ac:dyDescent="0.25">
      <c r="A947" s="7">
        <v>45020</v>
      </c>
      <c r="B947" t="s">
        <v>6</v>
      </c>
      <c r="C947" s="6" t="s">
        <v>416</v>
      </c>
      <c r="D947" s="5" t="s">
        <v>241</v>
      </c>
      <c r="E947" s="1">
        <v>0.41597222222222219</v>
      </c>
      <c r="F947" s="1">
        <v>0.43541666666666662</v>
      </c>
      <c r="G947" s="9">
        <f t="shared" si="101"/>
        <v>45019</v>
      </c>
      <c r="H947" s="11">
        <f t="shared" si="102"/>
        <v>0.5</v>
      </c>
      <c r="I947" s="10">
        <f t="shared" si="103"/>
        <v>3</v>
      </c>
      <c r="J947" s="10">
        <f t="shared" si="104"/>
        <v>7.2</v>
      </c>
      <c r="K947" s="10">
        <f t="shared" si="97"/>
        <v>10.4</v>
      </c>
      <c r="L947" s="10">
        <f t="shared" si="105"/>
        <v>10.4</v>
      </c>
    </row>
    <row r="948" spans="1:12" x14ac:dyDescent="0.25">
      <c r="A948" s="7">
        <v>45020</v>
      </c>
      <c r="B948" t="s">
        <v>19</v>
      </c>
      <c r="C948" s="6">
        <v>2675</v>
      </c>
      <c r="D948" s="5" t="s">
        <v>303</v>
      </c>
      <c r="E948" s="1">
        <v>0.43541666666666662</v>
      </c>
      <c r="F948" s="1">
        <v>0.48819444444444443</v>
      </c>
      <c r="G948" s="9">
        <f t="shared" si="101"/>
        <v>45019</v>
      </c>
      <c r="H948" s="11">
        <f t="shared" si="102"/>
        <v>1.3</v>
      </c>
      <c r="I948" s="10">
        <f t="shared" si="103"/>
        <v>4.3</v>
      </c>
      <c r="J948" s="10">
        <f t="shared" si="104"/>
        <v>7.2</v>
      </c>
      <c r="K948" s="10">
        <f t="shared" si="97"/>
        <v>11.700000000000001</v>
      </c>
      <c r="L948" s="10">
        <f t="shared" si="105"/>
        <v>11.700000000000001</v>
      </c>
    </row>
    <row r="949" spans="1:12" x14ac:dyDescent="0.25">
      <c r="A949" s="7">
        <v>45020</v>
      </c>
      <c r="B949" t="s">
        <v>19</v>
      </c>
      <c r="C949" s="6">
        <v>2675</v>
      </c>
      <c r="D949" s="5" t="s">
        <v>303</v>
      </c>
      <c r="E949" s="1">
        <v>0.50972222222222219</v>
      </c>
      <c r="F949" s="1">
        <v>0.58333333333333337</v>
      </c>
      <c r="G949" s="9">
        <f t="shared" si="101"/>
        <v>45019</v>
      </c>
      <c r="H949" s="11">
        <f t="shared" si="102"/>
        <v>1.8</v>
      </c>
      <c r="I949" s="10">
        <f t="shared" si="103"/>
        <v>6.1</v>
      </c>
      <c r="J949" s="10">
        <f t="shared" si="104"/>
        <v>7.2</v>
      </c>
      <c r="K949" s="10">
        <f t="shared" si="97"/>
        <v>13.5</v>
      </c>
      <c r="L949" s="10">
        <f t="shared" si="105"/>
        <v>13.5</v>
      </c>
    </row>
    <row r="950" spans="1:12" x14ac:dyDescent="0.25">
      <c r="A950" s="7">
        <v>45020</v>
      </c>
      <c r="B950" t="s">
        <v>6</v>
      </c>
      <c r="C950" s="6" t="s">
        <v>416</v>
      </c>
      <c r="D950" s="5" t="s">
        <v>71</v>
      </c>
      <c r="E950" s="1">
        <v>0.58333333333333337</v>
      </c>
      <c r="F950" s="1">
        <v>0.62777777777777777</v>
      </c>
      <c r="G950" s="9">
        <f t="shared" si="101"/>
        <v>45019</v>
      </c>
      <c r="H950" s="11">
        <f t="shared" si="102"/>
        <v>1.1000000000000001</v>
      </c>
      <c r="I950" s="10">
        <f t="shared" si="103"/>
        <v>7.1999999999999993</v>
      </c>
      <c r="J950" s="10">
        <f t="shared" si="104"/>
        <v>7.2</v>
      </c>
      <c r="K950" s="10">
        <f t="shared" si="97"/>
        <v>14.6</v>
      </c>
      <c r="L950" s="10">
        <f t="shared" si="105"/>
        <v>14.6</v>
      </c>
    </row>
    <row r="951" spans="1:12" x14ac:dyDescent="0.25">
      <c r="A951" s="7">
        <v>45021</v>
      </c>
      <c r="B951" t="s">
        <v>19</v>
      </c>
      <c r="C951" s="6">
        <v>2675</v>
      </c>
      <c r="D951" s="5" t="s">
        <v>303</v>
      </c>
      <c r="E951" s="1">
        <v>0.31458333333333333</v>
      </c>
      <c r="F951" s="1">
        <v>0.48541666666666666</v>
      </c>
      <c r="G951" s="9">
        <f t="shared" si="101"/>
        <v>45019</v>
      </c>
      <c r="H951" s="11">
        <f t="shared" si="102"/>
        <v>4.0999999999999996</v>
      </c>
      <c r="I951" s="10">
        <f t="shared" si="103"/>
        <v>4.0999999999999996</v>
      </c>
      <c r="J951" s="10">
        <f t="shared" si="104"/>
        <v>7.2</v>
      </c>
      <c r="K951" s="10">
        <f t="shared" si="97"/>
        <v>18.7</v>
      </c>
      <c r="L951" s="10">
        <f t="shared" si="105"/>
        <v>18.7</v>
      </c>
    </row>
    <row r="952" spans="1:12" x14ac:dyDescent="0.25">
      <c r="A952" s="7">
        <v>45021</v>
      </c>
      <c r="B952" t="s">
        <v>19</v>
      </c>
      <c r="C952" s="6">
        <v>2675</v>
      </c>
      <c r="D952" s="5" t="s">
        <v>303</v>
      </c>
      <c r="E952" s="1">
        <v>0.50138888888888888</v>
      </c>
      <c r="F952" s="1">
        <v>0.58194444444444449</v>
      </c>
      <c r="G952" s="9">
        <f t="shared" si="101"/>
        <v>45019</v>
      </c>
      <c r="H952" s="11">
        <f t="shared" si="102"/>
        <v>1.9</v>
      </c>
      <c r="I952" s="10">
        <f t="shared" si="103"/>
        <v>6</v>
      </c>
      <c r="J952" s="10">
        <f t="shared" si="104"/>
        <v>7.2</v>
      </c>
      <c r="K952" s="10">
        <f t="shared" si="97"/>
        <v>20.599999999999998</v>
      </c>
      <c r="L952" s="10">
        <f t="shared" si="105"/>
        <v>20.599999999999998</v>
      </c>
    </row>
    <row r="953" spans="1:12" x14ac:dyDescent="0.25">
      <c r="A953" s="7">
        <v>45021</v>
      </c>
      <c r="B953" s="2" t="s">
        <v>464</v>
      </c>
      <c r="C953" s="6">
        <v>2431</v>
      </c>
      <c r="D953" s="5" t="s">
        <v>44</v>
      </c>
      <c r="E953" s="1">
        <v>0.58194444444444449</v>
      </c>
      <c r="F953" s="1">
        <v>0.62291666666666667</v>
      </c>
      <c r="G953" s="9">
        <f t="shared" si="101"/>
        <v>45019</v>
      </c>
      <c r="H953" s="11">
        <f t="shared" si="102"/>
        <v>1</v>
      </c>
      <c r="I953" s="10">
        <f t="shared" si="103"/>
        <v>7</v>
      </c>
      <c r="J953" s="10">
        <f t="shared" si="104"/>
        <v>7.2</v>
      </c>
      <c r="K953" s="10">
        <f t="shared" si="97"/>
        <v>21.6</v>
      </c>
      <c r="L953" s="10">
        <f t="shared" si="105"/>
        <v>21.6</v>
      </c>
    </row>
    <row r="954" spans="1:12" x14ac:dyDescent="0.25">
      <c r="A954" s="7">
        <v>45022</v>
      </c>
      <c r="B954" t="s">
        <v>309</v>
      </c>
      <c r="C954" s="6">
        <v>2805</v>
      </c>
      <c r="D954" s="5" t="s">
        <v>321</v>
      </c>
      <c r="E954" s="1">
        <v>0.3034722222222222</v>
      </c>
      <c r="F954" s="1">
        <v>0.4916666666666667</v>
      </c>
      <c r="G954" s="9">
        <f t="shared" si="101"/>
        <v>45019</v>
      </c>
      <c r="H954" s="11">
        <f t="shared" si="102"/>
        <v>4.5</v>
      </c>
      <c r="I954" s="10">
        <f t="shared" si="103"/>
        <v>4.5</v>
      </c>
      <c r="J954" s="10">
        <f t="shared" si="104"/>
        <v>7.2</v>
      </c>
      <c r="K954" s="10">
        <f t="shared" si="97"/>
        <v>26.1</v>
      </c>
      <c r="L954" s="10">
        <f t="shared" si="105"/>
        <v>26.1</v>
      </c>
    </row>
    <row r="955" spans="1:12" x14ac:dyDescent="0.25">
      <c r="A955" s="7">
        <v>45022</v>
      </c>
      <c r="B955" t="s">
        <v>309</v>
      </c>
      <c r="C955" s="6">
        <v>2805</v>
      </c>
      <c r="D955" s="5" t="s">
        <v>321</v>
      </c>
      <c r="E955" s="1">
        <v>0.50902777777777775</v>
      </c>
      <c r="F955" s="1">
        <v>0.55833333333333335</v>
      </c>
      <c r="G955" s="9">
        <f t="shared" si="101"/>
        <v>45019</v>
      </c>
      <c r="H955" s="11">
        <f t="shared" si="102"/>
        <v>1.2</v>
      </c>
      <c r="I955" s="10">
        <f t="shared" si="103"/>
        <v>5.7</v>
      </c>
      <c r="J955" s="10">
        <f t="shared" si="104"/>
        <v>7.2</v>
      </c>
      <c r="K955" s="10">
        <f t="shared" si="97"/>
        <v>27.3</v>
      </c>
      <c r="L955" s="10">
        <f t="shared" si="105"/>
        <v>27.3</v>
      </c>
    </row>
    <row r="956" spans="1:12" x14ac:dyDescent="0.25">
      <c r="A956" s="7">
        <v>45022</v>
      </c>
      <c r="B956" t="s">
        <v>297</v>
      </c>
      <c r="C956" s="6">
        <v>2664</v>
      </c>
      <c r="D956" s="5" t="s">
        <v>322</v>
      </c>
      <c r="E956" s="1">
        <v>0.38958333333333334</v>
      </c>
      <c r="F956" s="1">
        <v>0.47500000000000003</v>
      </c>
      <c r="G956" s="9">
        <f t="shared" si="101"/>
        <v>45019</v>
      </c>
      <c r="H956" s="11">
        <f t="shared" si="102"/>
        <v>2.1</v>
      </c>
      <c r="I956" s="10">
        <f t="shared" si="103"/>
        <v>7.8000000000000007</v>
      </c>
      <c r="J956" s="10">
        <f t="shared" si="104"/>
        <v>7.2</v>
      </c>
      <c r="K956" s="10">
        <f t="shared" si="97"/>
        <v>29.400000000000002</v>
      </c>
      <c r="L956" s="10">
        <f t="shared" si="105"/>
        <v>29.400000000000002</v>
      </c>
    </row>
    <row r="957" spans="1:12" x14ac:dyDescent="0.25">
      <c r="A957" s="7">
        <v>45023</v>
      </c>
      <c r="B957" t="s">
        <v>7</v>
      </c>
      <c r="C957" s="6" t="s">
        <v>22</v>
      </c>
      <c r="D957" s="5" t="s">
        <v>85</v>
      </c>
      <c r="E957" s="1">
        <v>0.40972222222222227</v>
      </c>
      <c r="F957" s="1">
        <v>0.70833333333333337</v>
      </c>
      <c r="G957" s="9">
        <f t="shared" si="101"/>
        <v>45019</v>
      </c>
      <c r="H957" s="11">
        <f t="shared" si="102"/>
        <v>7.2</v>
      </c>
      <c r="I957" s="10">
        <f t="shared" si="103"/>
        <v>7.2</v>
      </c>
      <c r="J957" s="10">
        <f t="shared" si="104"/>
        <v>7.2</v>
      </c>
      <c r="K957" s="10">
        <f t="shared" si="97"/>
        <v>36.6</v>
      </c>
      <c r="L957" s="10">
        <f t="shared" si="105"/>
        <v>36.6</v>
      </c>
    </row>
    <row r="958" spans="1:12" x14ac:dyDescent="0.25">
      <c r="A958" s="7">
        <v>45026</v>
      </c>
      <c r="B958" t="s">
        <v>7</v>
      </c>
      <c r="C958" s="6" t="s">
        <v>22</v>
      </c>
      <c r="D958" s="5" t="s">
        <v>86</v>
      </c>
      <c r="E958" s="1">
        <v>0.40972222222222227</v>
      </c>
      <c r="F958" s="1">
        <v>0.70833333333333337</v>
      </c>
      <c r="G958" s="9">
        <f t="shared" si="101"/>
        <v>45026</v>
      </c>
      <c r="H958" s="11">
        <f t="shared" si="102"/>
        <v>7.2</v>
      </c>
      <c r="I958" s="10">
        <f t="shared" si="103"/>
        <v>7.2</v>
      </c>
      <c r="J958" s="10">
        <f t="shared" si="104"/>
        <v>7.2</v>
      </c>
      <c r="K958" s="10">
        <f t="shared" si="97"/>
        <v>7.2</v>
      </c>
      <c r="L958" s="10">
        <f t="shared" si="105"/>
        <v>43.800000000000004</v>
      </c>
    </row>
    <row r="959" spans="1:12" x14ac:dyDescent="0.25">
      <c r="A959" s="7">
        <v>45027</v>
      </c>
      <c r="B959" t="s">
        <v>6</v>
      </c>
      <c r="C959" s="6" t="s">
        <v>416</v>
      </c>
      <c r="D959" s="5" t="s">
        <v>104</v>
      </c>
      <c r="E959" s="1">
        <v>0.2986111111111111</v>
      </c>
      <c r="F959" s="1">
        <v>0.35347222222222219</v>
      </c>
      <c r="G959" s="9">
        <f t="shared" si="101"/>
        <v>45026</v>
      </c>
      <c r="H959" s="11">
        <f t="shared" si="102"/>
        <v>1.3</v>
      </c>
      <c r="I959" s="10">
        <f t="shared" si="103"/>
        <v>1.3</v>
      </c>
      <c r="J959" s="10">
        <f t="shared" si="104"/>
        <v>7.2</v>
      </c>
      <c r="K959" s="10">
        <f t="shared" si="97"/>
        <v>8.5</v>
      </c>
      <c r="L959" s="10">
        <f t="shared" si="105"/>
        <v>45.099999999999994</v>
      </c>
    </row>
    <row r="960" spans="1:12" x14ac:dyDescent="0.25">
      <c r="A960" s="7">
        <v>45027</v>
      </c>
      <c r="B960" t="s">
        <v>309</v>
      </c>
      <c r="C960" s="6">
        <v>2805</v>
      </c>
      <c r="D960" s="5" t="s">
        <v>321</v>
      </c>
      <c r="E960" s="1">
        <v>0.35347222222222219</v>
      </c>
      <c r="F960" s="1">
        <v>0.41666666666666669</v>
      </c>
      <c r="G960" s="9">
        <f t="shared" si="101"/>
        <v>45026</v>
      </c>
      <c r="H960" s="11">
        <f t="shared" si="102"/>
        <v>1.5</v>
      </c>
      <c r="I960" s="10">
        <f t="shared" si="103"/>
        <v>2.8</v>
      </c>
      <c r="J960" s="10">
        <f t="shared" si="104"/>
        <v>7.2</v>
      </c>
      <c r="K960" s="10">
        <f t="shared" si="97"/>
        <v>10</v>
      </c>
      <c r="L960" s="10">
        <f t="shared" si="105"/>
        <v>46.6</v>
      </c>
    </row>
    <row r="961" spans="1:12" x14ac:dyDescent="0.25">
      <c r="A961" s="7">
        <v>45027</v>
      </c>
      <c r="B961" t="s">
        <v>6</v>
      </c>
      <c r="C961" s="6" t="s">
        <v>416</v>
      </c>
      <c r="D961" s="5" t="s">
        <v>112</v>
      </c>
      <c r="E961" s="1">
        <v>0.41666666666666669</v>
      </c>
      <c r="F961" s="1">
        <v>0.49722222222222223</v>
      </c>
      <c r="G961" s="9">
        <f t="shared" si="101"/>
        <v>45026</v>
      </c>
      <c r="H961" s="11">
        <f t="shared" si="102"/>
        <v>1.9</v>
      </c>
      <c r="I961" s="10">
        <f t="shared" si="103"/>
        <v>4.6999999999999993</v>
      </c>
      <c r="J961" s="10">
        <f t="shared" si="104"/>
        <v>7.2</v>
      </c>
      <c r="K961" s="10">
        <f t="shared" si="97"/>
        <v>11.9</v>
      </c>
      <c r="L961" s="10">
        <f t="shared" si="105"/>
        <v>48.5</v>
      </c>
    </row>
    <row r="962" spans="1:12" x14ac:dyDescent="0.25">
      <c r="A962" s="7">
        <v>45027</v>
      </c>
      <c r="B962" t="s">
        <v>6</v>
      </c>
      <c r="C962" s="6" t="s">
        <v>416</v>
      </c>
      <c r="D962" s="5" t="s">
        <v>323</v>
      </c>
      <c r="E962" s="1">
        <v>0.51388888888888895</v>
      </c>
      <c r="F962" s="1">
        <v>0.61944444444444446</v>
      </c>
      <c r="G962" s="9">
        <f t="shared" si="101"/>
        <v>45026</v>
      </c>
      <c r="H962" s="11">
        <f t="shared" si="102"/>
        <v>2.5</v>
      </c>
      <c r="I962" s="10">
        <f t="shared" si="103"/>
        <v>7.2</v>
      </c>
      <c r="J962" s="10">
        <f t="shared" si="104"/>
        <v>7.2</v>
      </c>
      <c r="K962" s="10">
        <f t="shared" si="97"/>
        <v>14.4</v>
      </c>
      <c r="L962" s="10">
        <f t="shared" si="105"/>
        <v>51</v>
      </c>
    </row>
    <row r="963" spans="1:12" x14ac:dyDescent="0.25">
      <c r="A963" s="7">
        <v>45028</v>
      </c>
      <c r="B963" t="s">
        <v>297</v>
      </c>
      <c r="C963" s="6">
        <v>2664</v>
      </c>
      <c r="D963" s="5" t="s">
        <v>322</v>
      </c>
      <c r="E963" s="1">
        <v>0.27291666666666664</v>
      </c>
      <c r="F963" s="1">
        <v>0.31736111111111115</v>
      </c>
      <c r="G963" s="9">
        <f t="shared" si="101"/>
        <v>45026</v>
      </c>
      <c r="H963" s="11">
        <f t="shared" si="102"/>
        <v>1.1000000000000001</v>
      </c>
      <c r="I963" s="10">
        <f t="shared" si="103"/>
        <v>1.1000000000000001</v>
      </c>
      <c r="J963" s="10">
        <f t="shared" si="104"/>
        <v>7.2</v>
      </c>
      <c r="K963" s="10">
        <f t="shared" ref="K963:K1026" si="106">IF(H963="",H963,H963+IF(G963=G962,_xlfn.NUMBERVALUE(K962),0))</f>
        <v>15.5</v>
      </c>
      <c r="L963" s="10">
        <f t="shared" si="105"/>
        <v>52.1</v>
      </c>
    </row>
    <row r="964" spans="1:12" x14ac:dyDescent="0.25">
      <c r="A964" s="7">
        <v>45028</v>
      </c>
      <c r="B964" t="s">
        <v>309</v>
      </c>
      <c r="C964" s="6">
        <v>2805</v>
      </c>
      <c r="D964" s="5" t="s">
        <v>321</v>
      </c>
      <c r="E964" s="1">
        <v>0.31736111111111115</v>
      </c>
      <c r="F964" s="1">
        <v>0.44305555555555554</v>
      </c>
      <c r="G964" s="9">
        <f t="shared" si="101"/>
        <v>45026</v>
      </c>
      <c r="H964" s="11">
        <f t="shared" si="102"/>
        <v>3</v>
      </c>
      <c r="I964" s="10">
        <f t="shared" si="103"/>
        <v>4.0999999999999996</v>
      </c>
      <c r="J964" s="10">
        <f t="shared" si="104"/>
        <v>7.2</v>
      </c>
      <c r="K964" s="10">
        <f t="shared" si="106"/>
        <v>18.5</v>
      </c>
      <c r="L964" s="10">
        <f t="shared" si="105"/>
        <v>55.1</v>
      </c>
    </row>
    <row r="965" spans="1:12" x14ac:dyDescent="0.25">
      <c r="A965" s="7">
        <v>45028</v>
      </c>
      <c r="B965" t="s">
        <v>309</v>
      </c>
      <c r="C965" s="6">
        <v>2805</v>
      </c>
      <c r="D965" s="5" t="s">
        <v>321</v>
      </c>
      <c r="E965" s="1">
        <v>0.5541666666666667</v>
      </c>
      <c r="F965" s="1">
        <v>0.63472222222222219</v>
      </c>
      <c r="G965" s="9">
        <f t="shared" si="101"/>
        <v>45026</v>
      </c>
      <c r="H965" s="11">
        <f t="shared" si="102"/>
        <v>1.9</v>
      </c>
      <c r="I965" s="10">
        <f t="shared" si="103"/>
        <v>6</v>
      </c>
      <c r="J965" s="10">
        <f t="shared" si="104"/>
        <v>7.2</v>
      </c>
      <c r="K965" s="10">
        <f t="shared" si="106"/>
        <v>20.399999999999999</v>
      </c>
      <c r="L965" s="10">
        <f t="shared" si="105"/>
        <v>57</v>
      </c>
    </row>
    <row r="966" spans="1:12" x14ac:dyDescent="0.25">
      <c r="A966" s="7">
        <v>45029</v>
      </c>
      <c r="B966" t="s">
        <v>19</v>
      </c>
      <c r="C966" s="6">
        <v>2675</v>
      </c>
      <c r="D966" s="5" t="s">
        <v>303</v>
      </c>
      <c r="E966" s="1">
        <v>0.32430555555555557</v>
      </c>
      <c r="F966" s="1">
        <v>0.4694444444444445</v>
      </c>
      <c r="G966" s="9">
        <f t="shared" si="101"/>
        <v>45026</v>
      </c>
      <c r="H966" s="11">
        <f t="shared" si="102"/>
        <v>3.5</v>
      </c>
      <c r="I966" s="10">
        <f t="shared" si="103"/>
        <v>3.5</v>
      </c>
      <c r="J966" s="10">
        <f t="shared" si="104"/>
        <v>7.2</v>
      </c>
      <c r="K966" s="10">
        <f t="shared" si="106"/>
        <v>23.9</v>
      </c>
      <c r="L966" s="10">
        <f t="shared" si="105"/>
        <v>60.5</v>
      </c>
    </row>
    <row r="967" spans="1:12" x14ac:dyDescent="0.25">
      <c r="A967" s="7">
        <v>45029</v>
      </c>
      <c r="B967" t="s">
        <v>19</v>
      </c>
      <c r="C967" s="6">
        <v>2675</v>
      </c>
      <c r="D967" s="5" t="s">
        <v>303</v>
      </c>
      <c r="E967" s="1">
        <v>0.4826388888888889</v>
      </c>
      <c r="F967" s="1">
        <v>0.65</v>
      </c>
      <c r="G967" s="9">
        <f t="shared" si="101"/>
        <v>45026</v>
      </c>
      <c r="H967" s="11">
        <f t="shared" si="102"/>
        <v>4</v>
      </c>
      <c r="I967" s="10">
        <f t="shared" si="103"/>
        <v>7.5</v>
      </c>
      <c r="J967" s="10">
        <f t="shared" si="104"/>
        <v>7.2</v>
      </c>
      <c r="K967" s="10">
        <f t="shared" si="106"/>
        <v>27.9</v>
      </c>
      <c r="L967" s="10">
        <f t="shared" si="105"/>
        <v>64.5</v>
      </c>
    </row>
    <row r="968" spans="1:12" x14ac:dyDescent="0.25">
      <c r="A968" s="7">
        <v>45030</v>
      </c>
      <c r="B968" t="s">
        <v>19</v>
      </c>
      <c r="C968" s="6">
        <v>2675</v>
      </c>
      <c r="D968" s="5" t="s">
        <v>303</v>
      </c>
      <c r="E968" s="1">
        <v>0.2986111111111111</v>
      </c>
      <c r="F968" s="1">
        <v>0.50763888888888886</v>
      </c>
      <c r="G968" s="9">
        <f t="shared" si="101"/>
        <v>45026</v>
      </c>
      <c r="H968" s="11">
        <f t="shared" si="102"/>
        <v>5</v>
      </c>
      <c r="I968" s="10">
        <f t="shared" si="103"/>
        <v>5</v>
      </c>
      <c r="J968" s="10">
        <f t="shared" si="104"/>
        <v>7.2</v>
      </c>
      <c r="K968" s="10">
        <f t="shared" si="106"/>
        <v>32.9</v>
      </c>
      <c r="L968" s="10">
        <f t="shared" si="105"/>
        <v>69.5</v>
      </c>
    </row>
    <row r="969" spans="1:12" x14ac:dyDescent="0.25">
      <c r="A969" s="7">
        <v>45030</v>
      </c>
      <c r="B969" t="s">
        <v>19</v>
      </c>
      <c r="C969" s="6">
        <v>2675</v>
      </c>
      <c r="D969" s="5" t="s">
        <v>303</v>
      </c>
      <c r="E969" s="1">
        <v>0.52152777777777781</v>
      </c>
      <c r="F969" s="1">
        <v>0.59375</v>
      </c>
      <c r="G969" s="9">
        <f t="shared" si="101"/>
        <v>45026</v>
      </c>
      <c r="H969" s="11">
        <f t="shared" si="102"/>
        <v>1.7</v>
      </c>
      <c r="I969" s="10">
        <f t="shared" si="103"/>
        <v>6.7</v>
      </c>
      <c r="J969" s="10">
        <f t="shared" si="104"/>
        <v>7.2</v>
      </c>
      <c r="K969" s="10">
        <f t="shared" si="106"/>
        <v>34.6</v>
      </c>
      <c r="L969" s="10">
        <f t="shared" si="105"/>
        <v>71.2</v>
      </c>
    </row>
    <row r="970" spans="1:12" x14ac:dyDescent="0.25">
      <c r="A970" s="7">
        <v>45033</v>
      </c>
      <c r="B970" t="s">
        <v>6</v>
      </c>
      <c r="C970" s="6" t="s">
        <v>416</v>
      </c>
      <c r="D970" s="5" t="s">
        <v>324</v>
      </c>
      <c r="E970" s="1">
        <v>0.32291666666666669</v>
      </c>
      <c r="F970" s="1">
        <v>0.43611111111111112</v>
      </c>
      <c r="G970" s="9">
        <f t="shared" si="101"/>
        <v>45033</v>
      </c>
      <c r="H970" s="11">
        <f t="shared" si="102"/>
        <v>2.7</v>
      </c>
      <c r="I970" s="10">
        <f t="shared" si="103"/>
        <v>2.7</v>
      </c>
      <c r="J970" s="10">
        <f t="shared" si="104"/>
        <v>7.2</v>
      </c>
      <c r="K970" s="10">
        <f t="shared" si="106"/>
        <v>2.7</v>
      </c>
      <c r="L970" s="10">
        <f t="shared" si="105"/>
        <v>73.900000000000006</v>
      </c>
    </row>
    <row r="971" spans="1:12" x14ac:dyDescent="0.25">
      <c r="A971" s="7">
        <v>45033</v>
      </c>
      <c r="B971" t="s">
        <v>19</v>
      </c>
      <c r="C971" s="6">
        <v>2675</v>
      </c>
      <c r="D971" s="5" t="s">
        <v>303</v>
      </c>
      <c r="E971" s="1">
        <v>0.43611111111111112</v>
      </c>
      <c r="F971" s="1">
        <v>0.4916666666666667</v>
      </c>
      <c r="G971" s="9">
        <f t="shared" si="101"/>
        <v>45033</v>
      </c>
      <c r="H971" s="11">
        <f t="shared" si="102"/>
        <v>1.3</v>
      </c>
      <c r="I971" s="10">
        <f t="shared" si="103"/>
        <v>4</v>
      </c>
      <c r="J971" s="10">
        <f t="shared" si="104"/>
        <v>7.2</v>
      </c>
      <c r="K971" s="10">
        <f t="shared" si="106"/>
        <v>4</v>
      </c>
      <c r="L971" s="10">
        <f t="shared" si="105"/>
        <v>75.2</v>
      </c>
    </row>
    <row r="972" spans="1:12" x14ac:dyDescent="0.25">
      <c r="A972" s="7">
        <v>45033</v>
      </c>
      <c r="B972" t="s">
        <v>19</v>
      </c>
      <c r="C972" s="6">
        <v>2675</v>
      </c>
      <c r="D972" s="5" t="s">
        <v>303</v>
      </c>
      <c r="E972" s="1">
        <v>0.50416666666666665</v>
      </c>
      <c r="F972" s="1">
        <v>0.54097222222222219</v>
      </c>
      <c r="G972" s="9">
        <f t="shared" si="101"/>
        <v>45033</v>
      </c>
      <c r="H972" s="11">
        <f t="shared" si="102"/>
        <v>0.9</v>
      </c>
      <c r="I972" s="10">
        <f t="shared" si="103"/>
        <v>4.9000000000000004</v>
      </c>
      <c r="J972" s="10">
        <f t="shared" si="104"/>
        <v>7.2</v>
      </c>
      <c r="K972" s="10">
        <f t="shared" si="106"/>
        <v>4.9000000000000004</v>
      </c>
      <c r="L972" s="10">
        <f t="shared" si="105"/>
        <v>76.100000000000009</v>
      </c>
    </row>
    <row r="973" spans="1:12" x14ac:dyDescent="0.25">
      <c r="A973" s="7">
        <v>45033</v>
      </c>
      <c r="B973" t="s">
        <v>19</v>
      </c>
      <c r="C973" s="6">
        <v>2675</v>
      </c>
      <c r="D973" s="5" t="s">
        <v>259</v>
      </c>
      <c r="E973" s="1">
        <v>0.54097222222222219</v>
      </c>
      <c r="F973" s="1">
        <v>0.59027777777777779</v>
      </c>
      <c r="G973" s="9">
        <f t="shared" si="101"/>
        <v>45033</v>
      </c>
      <c r="H973" s="11">
        <f t="shared" si="102"/>
        <v>1.2</v>
      </c>
      <c r="I973" s="10">
        <f t="shared" si="103"/>
        <v>6.1000000000000005</v>
      </c>
      <c r="J973" s="10">
        <f t="shared" si="104"/>
        <v>7.2</v>
      </c>
      <c r="K973" s="10">
        <f t="shared" si="106"/>
        <v>6.1000000000000005</v>
      </c>
      <c r="L973" s="10">
        <f t="shared" si="105"/>
        <v>77.3</v>
      </c>
    </row>
    <row r="974" spans="1:12" x14ac:dyDescent="0.25">
      <c r="A974" s="7">
        <v>45033</v>
      </c>
      <c r="B974" t="s">
        <v>19</v>
      </c>
      <c r="C974" s="6">
        <v>2675</v>
      </c>
      <c r="D974" s="5" t="s">
        <v>303</v>
      </c>
      <c r="E974" s="1">
        <v>0.59027777777777779</v>
      </c>
      <c r="F974" s="1">
        <v>0.625</v>
      </c>
      <c r="G974" s="9">
        <f t="shared" si="101"/>
        <v>45033</v>
      </c>
      <c r="H974" s="11">
        <f t="shared" si="102"/>
        <v>0.8</v>
      </c>
      <c r="I974" s="10">
        <f t="shared" si="103"/>
        <v>6.8999999999999995</v>
      </c>
      <c r="J974" s="10">
        <f t="shared" si="104"/>
        <v>7.2</v>
      </c>
      <c r="K974" s="10">
        <f t="shared" si="106"/>
        <v>6.8999999999999995</v>
      </c>
      <c r="L974" s="10">
        <f t="shared" si="105"/>
        <v>78.099999999999994</v>
      </c>
    </row>
    <row r="975" spans="1:12" x14ac:dyDescent="0.25">
      <c r="A975" s="7">
        <v>45034</v>
      </c>
      <c r="B975" t="s">
        <v>6</v>
      </c>
      <c r="C975" s="6" t="s">
        <v>416</v>
      </c>
      <c r="D975" s="5" t="s">
        <v>325</v>
      </c>
      <c r="E975" s="1">
        <v>0.32361111111111113</v>
      </c>
      <c r="F975" s="1">
        <v>0.70138888888888884</v>
      </c>
      <c r="G975" s="9">
        <f t="shared" si="101"/>
        <v>45033</v>
      </c>
      <c r="H975" s="11">
        <f t="shared" si="102"/>
        <v>9.1</v>
      </c>
      <c r="I975" s="10">
        <f t="shared" si="103"/>
        <v>9.1</v>
      </c>
      <c r="J975" s="10">
        <f t="shared" si="104"/>
        <v>7.2</v>
      </c>
      <c r="K975" s="10">
        <f t="shared" si="106"/>
        <v>16</v>
      </c>
      <c r="L975" s="10">
        <f t="shared" si="105"/>
        <v>87.199999999999989</v>
      </c>
    </row>
    <row r="976" spans="1:12" x14ac:dyDescent="0.25">
      <c r="A976" s="7">
        <v>45035</v>
      </c>
      <c r="B976" t="s">
        <v>19</v>
      </c>
      <c r="C976" s="6">
        <v>2675</v>
      </c>
      <c r="D976" s="5" t="s">
        <v>303</v>
      </c>
      <c r="E976" s="1">
        <v>0.3</v>
      </c>
      <c r="F976" s="1">
        <v>0.3215277777777778</v>
      </c>
      <c r="G976" s="9">
        <f t="shared" si="101"/>
        <v>45033</v>
      </c>
      <c r="H976" s="11">
        <f t="shared" si="102"/>
        <v>0.5</v>
      </c>
      <c r="I976" s="10">
        <f t="shared" si="103"/>
        <v>0.5</v>
      </c>
      <c r="J976" s="10">
        <f t="shared" si="104"/>
        <v>7.2</v>
      </c>
      <c r="K976" s="10">
        <f t="shared" si="106"/>
        <v>16.5</v>
      </c>
      <c r="L976" s="10">
        <f t="shared" si="105"/>
        <v>87.7</v>
      </c>
    </row>
    <row r="977" spans="1:12" x14ac:dyDescent="0.25">
      <c r="A977" s="7">
        <v>45035</v>
      </c>
      <c r="B977" t="s">
        <v>297</v>
      </c>
      <c r="C977" s="6">
        <v>2664</v>
      </c>
      <c r="D977" s="5" t="s">
        <v>322</v>
      </c>
      <c r="E977" s="1">
        <v>0.3215277777777778</v>
      </c>
      <c r="F977" s="1">
        <v>0.3666666666666667</v>
      </c>
      <c r="G977" s="9">
        <f t="shared" si="101"/>
        <v>45033</v>
      </c>
      <c r="H977" s="11">
        <f t="shared" si="102"/>
        <v>1.1000000000000001</v>
      </c>
      <c r="I977" s="10">
        <f t="shared" si="103"/>
        <v>1.6</v>
      </c>
      <c r="J977" s="10">
        <f t="shared" si="104"/>
        <v>7.2</v>
      </c>
      <c r="K977" s="10">
        <f t="shared" si="106"/>
        <v>17.600000000000001</v>
      </c>
      <c r="L977" s="10">
        <f t="shared" si="105"/>
        <v>88.8</v>
      </c>
    </row>
    <row r="978" spans="1:12" x14ac:dyDescent="0.25">
      <c r="A978" s="7">
        <v>45035</v>
      </c>
      <c r="B978" t="s">
        <v>19</v>
      </c>
      <c r="C978" s="6">
        <v>2675</v>
      </c>
      <c r="D978" s="5" t="s">
        <v>303</v>
      </c>
      <c r="E978" s="1">
        <v>0.3666666666666667</v>
      </c>
      <c r="F978" s="1">
        <v>0.49236111111111108</v>
      </c>
      <c r="G978" s="9">
        <f t="shared" si="101"/>
        <v>45033</v>
      </c>
      <c r="H978" s="11">
        <f t="shared" si="102"/>
        <v>3</v>
      </c>
      <c r="I978" s="10">
        <f t="shared" si="103"/>
        <v>4.5999999999999996</v>
      </c>
      <c r="J978" s="10">
        <f t="shared" si="104"/>
        <v>7.2</v>
      </c>
      <c r="K978" s="10">
        <f t="shared" si="106"/>
        <v>20.6</v>
      </c>
      <c r="L978" s="10">
        <f t="shared" si="105"/>
        <v>91.8</v>
      </c>
    </row>
    <row r="979" spans="1:12" x14ac:dyDescent="0.25">
      <c r="A979" s="7">
        <v>45035</v>
      </c>
      <c r="B979" t="s">
        <v>297</v>
      </c>
      <c r="C979" s="6">
        <v>2664</v>
      </c>
      <c r="D979" s="5" t="s">
        <v>322</v>
      </c>
      <c r="E979" s="1">
        <v>0.50277777777777777</v>
      </c>
      <c r="F979" s="1">
        <v>0.53819444444444442</v>
      </c>
      <c r="G979" s="9">
        <f t="shared" si="101"/>
        <v>45033</v>
      </c>
      <c r="H979" s="11">
        <f t="shared" si="102"/>
        <v>0.9</v>
      </c>
      <c r="I979" s="10">
        <f t="shared" si="103"/>
        <v>5.5</v>
      </c>
      <c r="J979" s="10">
        <f t="shared" si="104"/>
        <v>7.2</v>
      </c>
      <c r="K979" s="10">
        <f t="shared" si="106"/>
        <v>21.5</v>
      </c>
      <c r="L979" s="10">
        <f t="shared" si="105"/>
        <v>92.7</v>
      </c>
    </row>
    <row r="980" spans="1:12" x14ac:dyDescent="0.25">
      <c r="A980" s="7">
        <v>45035</v>
      </c>
      <c r="B980" t="s">
        <v>19</v>
      </c>
      <c r="C980" s="6">
        <v>2675</v>
      </c>
      <c r="D980" s="5" t="s">
        <v>303</v>
      </c>
      <c r="E980" s="1">
        <v>0.53819444444444442</v>
      </c>
      <c r="F980" s="1">
        <v>0.59097222222222223</v>
      </c>
      <c r="G980" s="9">
        <f t="shared" si="101"/>
        <v>45033</v>
      </c>
      <c r="H980" s="11">
        <f t="shared" si="102"/>
        <v>1.3</v>
      </c>
      <c r="I980" s="10">
        <f t="shared" si="103"/>
        <v>6.8</v>
      </c>
      <c r="J980" s="10">
        <f t="shared" si="104"/>
        <v>7.2</v>
      </c>
      <c r="K980" s="10">
        <f t="shared" si="106"/>
        <v>22.8</v>
      </c>
      <c r="L980" s="10">
        <f t="shared" si="105"/>
        <v>94</v>
      </c>
    </row>
    <row r="981" spans="1:12" x14ac:dyDescent="0.25">
      <c r="A981" s="7">
        <v>45036</v>
      </c>
      <c r="B981" t="s">
        <v>19</v>
      </c>
      <c r="C981" s="6">
        <v>2675</v>
      </c>
      <c r="D981" s="5" t="s">
        <v>303</v>
      </c>
      <c r="E981" s="1">
        <v>0.40138888888888885</v>
      </c>
      <c r="F981" s="1">
        <v>0.64652777777777781</v>
      </c>
      <c r="G981" s="9">
        <f t="shared" si="101"/>
        <v>45033</v>
      </c>
      <c r="H981" s="11">
        <f t="shared" si="102"/>
        <v>5.9</v>
      </c>
      <c r="I981" s="10">
        <f t="shared" si="103"/>
        <v>5.9</v>
      </c>
      <c r="J981" s="10">
        <f t="shared" si="104"/>
        <v>7.2</v>
      </c>
      <c r="K981" s="10">
        <f t="shared" si="106"/>
        <v>28.700000000000003</v>
      </c>
      <c r="L981" s="10">
        <f t="shared" si="105"/>
        <v>99.9</v>
      </c>
    </row>
    <row r="982" spans="1:12" x14ac:dyDescent="0.25">
      <c r="A982" s="7">
        <v>45037</v>
      </c>
      <c r="B982" t="s">
        <v>19</v>
      </c>
      <c r="C982" s="6">
        <v>2675</v>
      </c>
      <c r="D982" s="5" t="s">
        <v>303</v>
      </c>
      <c r="E982" s="1">
        <v>0.34513888888888888</v>
      </c>
      <c r="F982" s="1">
        <v>0.41666666666666669</v>
      </c>
      <c r="G982" s="9">
        <f t="shared" si="101"/>
        <v>45033</v>
      </c>
      <c r="H982" s="11">
        <f t="shared" si="102"/>
        <v>1.7</v>
      </c>
      <c r="I982" s="10">
        <f t="shared" si="103"/>
        <v>1.7</v>
      </c>
      <c r="J982" s="10">
        <f t="shared" si="104"/>
        <v>7.2</v>
      </c>
      <c r="K982" s="10">
        <f t="shared" si="106"/>
        <v>30.4</v>
      </c>
      <c r="L982" s="10">
        <f t="shared" si="105"/>
        <v>101.60000000000001</v>
      </c>
    </row>
    <row r="983" spans="1:12" x14ac:dyDescent="0.25">
      <c r="A983" s="7">
        <v>45037</v>
      </c>
      <c r="B983" t="s">
        <v>19</v>
      </c>
      <c r="C983" s="6">
        <v>2675</v>
      </c>
      <c r="D983" s="5" t="s">
        <v>259</v>
      </c>
      <c r="E983" s="1">
        <v>0.41666666666666669</v>
      </c>
      <c r="F983" s="1">
        <v>0.51041666666666663</v>
      </c>
      <c r="G983" s="9">
        <f t="shared" si="101"/>
        <v>45033</v>
      </c>
      <c r="H983" s="11">
        <f t="shared" si="102"/>
        <v>2.2999999999999998</v>
      </c>
      <c r="I983" s="10">
        <f t="shared" si="103"/>
        <v>4</v>
      </c>
      <c r="J983" s="10">
        <f t="shared" si="104"/>
        <v>7.2</v>
      </c>
      <c r="K983" s="10">
        <f t="shared" si="106"/>
        <v>32.699999999999996</v>
      </c>
      <c r="L983" s="10">
        <f t="shared" si="105"/>
        <v>103.89999999999999</v>
      </c>
    </row>
    <row r="984" spans="1:12" x14ac:dyDescent="0.25">
      <c r="A984" s="7">
        <v>45037</v>
      </c>
      <c r="B984" t="s">
        <v>19</v>
      </c>
      <c r="C984" s="6">
        <v>2675</v>
      </c>
      <c r="D984" s="5" t="s">
        <v>303</v>
      </c>
      <c r="E984" s="1">
        <v>0.54166666666666663</v>
      </c>
      <c r="F984" s="1">
        <v>0.62083333333333335</v>
      </c>
      <c r="G984" s="9">
        <f t="shared" ref="G984:G1004" si="107">IF(E984&gt;0,INT((A984-2)/7)*7+2,"")</f>
        <v>45033</v>
      </c>
      <c r="H984" s="11">
        <f t="shared" ref="H984:H1004" si="108">IF(E984&gt;0,ROUND(24*(IF(F984&gt;0,F984,NowTime)-E984),1),"")</f>
        <v>1.9</v>
      </c>
      <c r="I984" s="10">
        <f t="shared" ref="I984:I1004" si="109">IF(H984="",H984,H984+IF(A984=A983,_xlfn.NUMBERVALUE(I983),0))</f>
        <v>5.9</v>
      </c>
      <c r="J984" s="10">
        <f t="shared" ref="J984:J1004" si="110">IF(H984="",H984,7.2)</f>
        <v>7.2</v>
      </c>
      <c r="K984" s="10">
        <f t="shared" si="106"/>
        <v>34.6</v>
      </c>
      <c r="L984" s="10">
        <f t="shared" ref="L984:L1004" si="111">IF(H984="",H984,H984+IF(MONTH(A984)=MONTH(A983),_xlfn.NUMBERVALUE(L983),0))</f>
        <v>105.80000000000001</v>
      </c>
    </row>
    <row r="985" spans="1:12" x14ac:dyDescent="0.25">
      <c r="A985" s="7">
        <v>45040</v>
      </c>
      <c r="B985" t="s">
        <v>309</v>
      </c>
      <c r="C985" s="6">
        <v>2805</v>
      </c>
      <c r="D985" s="5" t="s">
        <v>321</v>
      </c>
      <c r="E985" s="1">
        <v>0.3298611111111111</v>
      </c>
      <c r="F985" s="1">
        <v>0.50763888888888886</v>
      </c>
      <c r="G985" s="9">
        <f t="shared" si="107"/>
        <v>45040</v>
      </c>
      <c r="H985" s="11">
        <f t="shared" si="108"/>
        <v>4.3</v>
      </c>
      <c r="I985" s="10">
        <f t="shared" si="109"/>
        <v>4.3</v>
      </c>
      <c r="J985" s="10">
        <f t="shared" si="110"/>
        <v>7.2</v>
      </c>
      <c r="K985" s="10">
        <f t="shared" si="106"/>
        <v>4.3</v>
      </c>
      <c r="L985" s="10">
        <f t="shared" si="111"/>
        <v>110.1</v>
      </c>
    </row>
    <row r="986" spans="1:12" x14ac:dyDescent="0.25">
      <c r="A986" s="7">
        <v>45040</v>
      </c>
      <c r="B986" t="s">
        <v>309</v>
      </c>
      <c r="C986" s="6">
        <v>2805</v>
      </c>
      <c r="D986" s="5" t="s">
        <v>321</v>
      </c>
      <c r="E986" s="1">
        <v>0.52152777777777781</v>
      </c>
      <c r="F986" s="1">
        <v>0.63055555555555554</v>
      </c>
      <c r="G986" s="9">
        <f t="shared" si="107"/>
        <v>45040</v>
      </c>
      <c r="H986" s="11">
        <f t="shared" si="108"/>
        <v>2.6</v>
      </c>
      <c r="I986" s="10">
        <f t="shared" si="109"/>
        <v>6.9</v>
      </c>
      <c r="J986" s="10">
        <f t="shared" si="110"/>
        <v>7.2</v>
      </c>
      <c r="K986" s="10">
        <f t="shared" si="106"/>
        <v>6.9</v>
      </c>
      <c r="L986" s="10">
        <f t="shared" si="111"/>
        <v>112.69999999999999</v>
      </c>
    </row>
    <row r="987" spans="1:12" x14ac:dyDescent="0.25">
      <c r="A987" s="7">
        <v>45041</v>
      </c>
      <c r="B987" t="s">
        <v>7</v>
      </c>
      <c r="C987" s="6" t="s">
        <v>22</v>
      </c>
      <c r="D987" s="5" t="s">
        <v>326</v>
      </c>
      <c r="E987" s="1">
        <v>0.40972222222222227</v>
      </c>
      <c r="F987" s="1">
        <v>0.70833333333333337</v>
      </c>
      <c r="G987" s="9">
        <f t="shared" si="107"/>
        <v>45040</v>
      </c>
      <c r="H987" s="11">
        <f t="shared" si="108"/>
        <v>7.2</v>
      </c>
      <c r="I987" s="10">
        <f t="shared" si="109"/>
        <v>7.2</v>
      </c>
      <c r="J987" s="10">
        <f t="shared" si="110"/>
        <v>7.2</v>
      </c>
      <c r="K987" s="10">
        <f t="shared" si="106"/>
        <v>14.100000000000001</v>
      </c>
      <c r="L987" s="10">
        <f t="shared" si="111"/>
        <v>119.9</v>
      </c>
    </row>
    <row r="988" spans="1:12" x14ac:dyDescent="0.25">
      <c r="A988" s="7">
        <v>45042</v>
      </c>
      <c r="B988" t="s">
        <v>309</v>
      </c>
      <c r="C988" s="6">
        <v>2805</v>
      </c>
      <c r="D988" s="5" t="s">
        <v>321</v>
      </c>
      <c r="E988" s="1">
        <v>0.33611111111111108</v>
      </c>
      <c r="F988" s="1">
        <v>0.375</v>
      </c>
      <c r="G988" s="9">
        <f t="shared" si="107"/>
        <v>45040</v>
      </c>
      <c r="H988" s="11">
        <f t="shared" si="108"/>
        <v>0.9</v>
      </c>
      <c r="I988" s="10">
        <f t="shared" si="109"/>
        <v>0.9</v>
      </c>
      <c r="J988" s="10">
        <f t="shared" si="110"/>
        <v>7.2</v>
      </c>
      <c r="K988" s="10">
        <f t="shared" si="106"/>
        <v>15</v>
      </c>
      <c r="L988" s="10">
        <f t="shared" si="111"/>
        <v>120.80000000000001</v>
      </c>
    </row>
    <row r="989" spans="1:12" x14ac:dyDescent="0.25">
      <c r="A989" s="7">
        <v>45042</v>
      </c>
      <c r="B989" t="s">
        <v>6</v>
      </c>
      <c r="C989" s="6" t="s">
        <v>416</v>
      </c>
      <c r="D989" s="5" t="s">
        <v>327</v>
      </c>
      <c r="E989" s="1">
        <v>0.375</v>
      </c>
      <c r="F989" s="1">
        <v>0.49861111111111112</v>
      </c>
      <c r="G989" s="9">
        <f t="shared" si="107"/>
        <v>45040</v>
      </c>
      <c r="H989" s="11">
        <f t="shared" si="108"/>
        <v>3</v>
      </c>
      <c r="I989" s="10">
        <f t="shared" si="109"/>
        <v>3.9</v>
      </c>
      <c r="J989" s="10">
        <f t="shared" si="110"/>
        <v>7.2</v>
      </c>
      <c r="K989" s="10">
        <f t="shared" si="106"/>
        <v>18</v>
      </c>
      <c r="L989" s="10">
        <f t="shared" si="111"/>
        <v>123.8</v>
      </c>
    </row>
    <row r="990" spans="1:12" x14ac:dyDescent="0.25">
      <c r="A990" s="7">
        <v>45042</v>
      </c>
      <c r="B990" t="s">
        <v>6</v>
      </c>
      <c r="C990" s="6" t="s">
        <v>416</v>
      </c>
      <c r="D990" s="5" t="s">
        <v>327</v>
      </c>
      <c r="E990" s="1">
        <v>0.50902777777777775</v>
      </c>
      <c r="F990" s="1">
        <v>0.53402777777777777</v>
      </c>
      <c r="G990" s="9">
        <f t="shared" si="107"/>
        <v>45040</v>
      </c>
      <c r="H990" s="11">
        <f t="shared" si="108"/>
        <v>0.6</v>
      </c>
      <c r="I990" s="10">
        <f t="shared" si="109"/>
        <v>4.5</v>
      </c>
      <c r="J990" s="10">
        <f t="shared" si="110"/>
        <v>7.2</v>
      </c>
      <c r="K990" s="10">
        <f t="shared" si="106"/>
        <v>18.600000000000001</v>
      </c>
      <c r="L990" s="10">
        <f t="shared" si="111"/>
        <v>124.39999999999999</v>
      </c>
    </row>
    <row r="991" spans="1:12" x14ac:dyDescent="0.25">
      <c r="A991" s="7">
        <v>45042</v>
      </c>
      <c r="B991" t="s">
        <v>309</v>
      </c>
      <c r="C991" s="6">
        <v>2805</v>
      </c>
      <c r="D991" s="5" t="s">
        <v>321</v>
      </c>
      <c r="E991" s="1">
        <v>0.53402777777777777</v>
      </c>
      <c r="F991" s="1">
        <v>0.66111111111111109</v>
      </c>
      <c r="G991" s="9">
        <f t="shared" si="107"/>
        <v>45040</v>
      </c>
      <c r="H991" s="11">
        <f t="shared" si="108"/>
        <v>3.1</v>
      </c>
      <c r="I991" s="10">
        <f t="shared" si="109"/>
        <v>7.6</v>
      </c>
      <c r="J991" s="10">
        <f t="shared" si="110"/>
        <v>7.2</v>
      </c>
      <c r="K991" s="10">
        <f t="shared" si="106"/>
        <v>21.700000000000003</v>
      </c>
      <c r="L991" s="10">
        <f t="shared" si="111"/>
        <v>127.5</v>
      </c>
    </row>
    <row r="992" spans="1:12" x14ac:dyDescent="0.25">
      <c r="A992" s="7">
        <v>45043</v>
      </c>
      <c r="B992" t="s">
        <v>309</v>
      </c>
      <c r="C992" s="6">
        <v>2805</v>
      </c>
      <c r="D992" s="5" t="s">
        <v>321</v>
      </c>
      <c r="E992" s="1">
        <v>0.32569444444444445</v>
      </c>
      <c r="F992" s="1">
        <v>0.41666666666666669</v>
      </c>
      <c r="G992" s="9">
        <f t="shared" si="107"/>
        <v>45040</v>
      </c>
      <c r="H992" s="11">
        <f t="shared" si="108"/>
        <v>2.2000000000000002</v>
      </c>
      <c r="I992" s="10">
        <f t="shared" si="109"/>
        <v>2.2000000000000002</v>
      </c>
      <c r="J992" s="10">
        <f t="shared" si="110"/>
        <v>7.2</v>
      </c>
      <c r="K992" s="10">
        <f t="shared" si="106"/>
        <v>23.9</v>
      </c>
      <c r="L992" s="10">
        <f t="shared" si="111"/>
        <v>129.69999999999999</v>
      </c>
    </row>
    <row r="993" spans="1:12" x14ac:dyDescent="0.25">
      <c r="A993" s="7">
        <v>45043</v>
      </c>
      <c r="B993" t="s">
        <v>19</v>
      </c>
      <c r="C993" s="6">
        <v>2675</v>
      </c>
      <c r="D993" s="5" t="s">
        <v>328</v>
      </c>
      <c r="E993" s="1">
        <v>0.41666666666666669</v>
      </c>
      <c r="F993" s="1">
        <v>0.61805555555555558</v>
      </c>
      <c r="G993" s="9">
        <f t="shared" si="107"/>
        <v>45040</v>
      </c>
      <c r="H993" s="11">
        <f t="shared" si="108"/>
        <v>4.8</v>
      </c>
      <c r="I993" s="10">
        <f t="shared" si="109"/>
        <v>7</v>
      </c>
      <c r="J993" s="10">
        <f t="shared" si="110"/>
        <v>7.2</v>
      </c>
      <c r="K993" s="10">
        <f t="shared" si="106"/>
        <v>28.7</v>
      </c>
      <c r="L993" s="10">
        <f t="shared" si="111"/>
        <v>134.5</v>
      </c>
    </row>
    <row r="994" spans="1:12" x14ac:dyDescent="0.25">
      <c r="A994" s="7">
        <v>45044</v>
      </c>
      <c r="B994" t="s">
        <v>19</v>
      </c>
      <c r="C994" s="6">
        <v>2675</v>
      </c>
      <c r="D994" s="5" t="s">
        <v>329</v>
      </c>
      <c r="E994" s="1">
        <v>0.28680555555555554</v>
      </c>
      <c r="F994" s="1">
        <v>0.39583333333333331</v>
      </c>
      <c r="G994" s="9">
        <f t="shared" si="107"/>
        <v>45040</v>
      </c>
      <c r="H994" s="11">
        <f t="shared" si="108"/>
        <v>2.6</v>
      </c>
      <c r="I994" s="10">
        <f t="shared" si="109"/>
        <v>2.6</v>
      </c>
      <c r="J994" s="10">
        <f t="shared" si="110"/>
        <v>7.2</v>
      </c>
      <c r="K994" s="10">
        <f t="shared" si="106"/>
        <v>31.3</v>
      </c>
      <c r="L994" s="10">
        <f t="shared" si="111"/>
        <v>137.1</v>
      </c>
    </row>
    <row r="995" spans="1:12" x14ac:dyDescent="0.25">
      <c r="A995" s="7">
        <v>45044</v>
      </c>
      <c r="B995" t="s">
        <v>6</v>
      </c>
      <c r="C995" s="6" t="s">
        <v>416</v>
      </c>
      <c r="D995" s="5" t="s">
        <v>234</v>
      </c>
      <c r="E995" s="1">
        <v>0.39583333333333331</v>
      </c>
      <c r="F995" s="1">
        <v>0.4368055555555555</v>
      </c>
      <c r="G995" s="9">
        <f t="shared" si="107"/>
        <v>45040</v>
      </c>
      <c r="H995" s="11">
        <f t="shared" si="108"/>
        <v>1</v>
      </c>
      <c r="I995" s="10">
        <f t="shared" si="109"/>
        <v>3.6</v>
      </c>
      <c r="J995" s="10">
        <f t="shared" si="110"/>
        <v>7.2</v>
      </c>
      <c r="K995" s="10">
        <f t="shared" si="106"/>
        <v>32.299999999999997</v>
      </c>
      <c r="L995" s="10">
        <f t="shared" si="111"/>
        <v>138.1</v>
      </c>
    </row>
    <row r="996" spans="1:12" x14ac:dyDescent="0.25">
      <c r="A996" s="7">
        <v>45044</v>
      </c>
      <c r="B996" t="s">
        <v>19</v>
      </c>
      <c r="C996" s="6">
        <v>2675</v>
      </c>
      <c r="D996" s="5" t="s">
        <v>329</v>
      </c>
      <c r="E996" s="1">
        <v>0.4368055555555555</v>
      </c>
      <c r="F996" s="1">
        <v>0.48888888888888887</v>
      </c>
      <c r="G996" s="9">
        <f t="shared" si="107"/>
        <v>45040</v>
      </c>
      <c r="H996" s="11">
        <f t="shared" si="108"/>
        <v>1.3</v>
      </c>
      <c r="I996" s="10">
        <f t="shared" si="109"/>
        <v>4.9000000000000004</v>
      </c>
      <c r="J996" s="10">
        <f t="shared" si="110"/>
        <v>7.2</v>
      </c>
      <c r="K996" s="10">
        <f t="shared" si="106"/>
        <v>33.599999999999994</v>
      </c>
      <c r="L996" s="10">
        <f t="shared" si="111"/>
        <v>139.4</v>
      </c>
    </row>
    <row r="997" spans="1:12" x14ac:dyDescent="0.25">
      <c r="A997" s="7">
        <v>45044</v>
      </c>
      <c r="B997" t="s">
        <v>6</v>
      </c>
      <c r="C997" s="6" t="s">
        <v>416</v>
      </c>
      <c r="D997" s="5" t="s">
        <v>330</v>
      </c>
      <c r="E997" s="1">
        <v>0.48888888888888887</v>
      </c>
      <c r="F997" s="1">
        <v>0.49722222222222223</v>
      </c>
      <c r="G997" s="9">
        <f t="shared" si="107"/>
        <v>45040</v>
      </c>
      <c r="H997" s="11">
        <f t="shared" si="108"/>
        <v>0.2</v>
      </c>
      <c r="I997" s="10">
        <f t="shared" si="109"/>
        <v>5.1000000000000005</v>
      </c>
      <c r="J997" s="10">
        <f t="shared" si="110"/>
        <v>7.2</v>
      </c>
      <c r="K997" s="10">
        <f t="shared" si="106"/>
        <v>33.800000000000004</v>
      </c>
      <c r="L997" s="10">
        <f t="shared" si="111"/>
        <v>139.6</v>
      </c>
    </row>
    <row r="998" spans="1:12" x14ac:dyDescent="0.25">
      <c r="A998" s="7">
        <v>45047</v>
      </c>
      <c r="B998" t="s">
        <v>19</v>
      </c>
      <c r="C998" s="6">
        <v>2675</v>
      </c>
      <c r="D998" s="5" t="s">
        <v>90</v>
      </c>
      <c r="E998" s="1">
        <v>0.33055555555555555</v>
      </c>
      <c r="F998" s="1">
        <v>0.41666666666666669</v>
      </c>
      <c r="G998" s="9">
        <f t="shared" si="107"/>
        <v>45047</v>
      </c>
      <c r="H998" s="11">
        <f t="shared" si="108"/>
        <v>2.1</v>
      </c>
      <c r="I998" s="10">
        <f t="shared" si="109"/>
        <v>2.1</v>
      </c>
      <c r="J998" s="10">
        <f t="shared" si="110"/>
        <v>7.2</v>
      </c>
      <c r="K998" s="10">
        <f t="shared" si="106"/>
        <v>2.1</v>
      </c>
      <c r="L998" s="10">
        <f t="shared" si="111"/>
        <v>2.1</v>
      </c>
    </row>
    <row r="999" spans="1:12" x14ac:dyDescent="0.25">
      <c r="A999" s="7">
        <v>45047</v>
      </c>
      <c r="B999" t="s">
        <v>6</v>
      </c>
      <c r="C999" s="6" t="s">
        <v>416</v>
      </c>
      <c r="D999" s="5" t="s">
        <v>112</v>
      </c>
      <c r="E999" s="1">
        <v>0.41666666666666669</v>
      </c>
      <c r="F999" s="1">
        <v>0.45902777777777781</v>
      </c>
      <c r="G999" s="9">
        <f t="shared" si="107"/>
        <v>45047</v>
      </c>
      <c r="H999" s="11">
        <f t="shared" si="108"/>
        <v>1</v>
      </c>
      <c r="I999" s="10">
        <f t="shared" si="109"/>
        <v>3.1</v>
      </c>
      <c r="J999" s="10">
        <f t="shared" si="110"/>
        <v>7.2</v>
      </c>
      <c r="K999" s="10">
        <f t="shared" si="106"/>
        <v>3.1</v>
      </c>
      <c r="L999" s="10">
        <f t="shared" si="111"/>
        <v>3.1</v>
      </c>
    </row>
    <row r="1000" spans="1:12" x14ac:dyDescent="0.25">
      <c r="A1000" s="7">
        <v>45047</v>
      </c>
      <c r="B1000" t="s">
        <v>19</v>
      </c>
      <c r="C1000" s="6">
        <v>2675</v>
      </c>
      <c r="D1000" s="5" t="s">
        <v>90</v>
      </c>
      <c r="E1000" s="1">
        <v>0.45902777777777781</v>
      </c>
      <c r="F1000" s="1">
        <v>0.4694444444444445</v>
      </c>
      <c r="G1000" s="9">
        <f t="shared" si="107"/>
        <v>45047</v>
      </c>
      <c r="H1000" s="11">
        <f t="shared" si="108"/>
        <v>0.3</v>
      </c>
      <c r="I1000" s="10">
        <f t="shared" si="109"/>
        <v>3.4</v>
      </c>
      <c r="J1000" s="10">
        <f t="shared" si="110"/>
        <v>7.2</v>
      </c>
      <c r="K1000" s="10">
        <f t="shared" si="106"/>
        <v>3.4</v>
      </c>
      <c r="L1000" s="10">
        <f t="shared" si="111"/>
        <v>3.4</v>
      </c>
    </row>
    <row r="1001" spans="1:12" x14ac:dyDescent="0.25">
      <c r="A1001" s="7">
        <v>45047</v>
      </c>
      <c r="B1001" t="s">
        <v>19</v>
      </c>
      <c r="C1001" s="6">
        <v>2675</v>
      </c>
      <c r="D1001" s="5" t="s">
        <v>90</v>
      </c>
      <c r="E1001" s="1">
        <v>0.48402777777777778</v>
      </c>
      <c r="F1001" s="1">
        <v>0.54166666666666663</v>
      </c>
      <c r="G1001" s="9">
        <f t="shared" si="107"/>
        <v>45047</v>
      </c>
      <c r="H1001" s="11">
        <f t="shared" si="108"/>
        <v>1.4</v>
      </c>
      <c r="I1001" s="10">
        <f t="shared" si="109"/>
        <v>4.8</v>
      </c>
      <c r="J1001" s="10">
        <f t="shared" si="110"/>
        <v>7.2</v>
      </c>
      <c r="K1001" s="10">
        <f t="shared" si="106"/>
        <v>4.8</v>
      </c>
      <c r="L1001" s="10">
        <f t="shared" si="111"/>
        <v>4.8</v>
      </c>
    </row>
    <row r="1002" spans="1:12" x14ac:dyDescent="0.25">
      <c r="A1002" s="7">
        <v>45047</v>
      </c>
      <c r="B1002" t="s">
        <v>309</v>
      </c>
      <c r="C1002" s="6">
        <v>2805</v>
      </c>
      <c r="D1002" s="5" t="s">
        <v>331</v>
      </c>
      <c r="E1002" s="1">
        <v>0.54166666666666663</v>
      </c>
      <c r="F1002" s="1">
        <v>0.60416666666666663</v>
      </c>
      <c r="G1002" s="9">
        <f t="shared" si="107"/>
        <v>45047</v>
      </c>
      <c r="H1002" s="11">
        <f t="shared" si="108"/>
        <v>1.5</v>
      </c>
      <c r="I1002" s="10">
        <f t="shared" si="109"/>
        <v>6.3</v>
      </c>
      <c r="J1002" s="10">
        <f t="shared" si="110"/>
        <v>7.2</v>
      </c>
      <c r="K1002" s="10">
        <f t="shared" si="106"/>
        <v>6.3</v>
      </c>
      <c r="L1002" s="10">
        <f t="shared" si="111"/>
        <v>6.3</v>
      </c>
    </row>
    <row r="1003" spans="1:12" x14ac:dyDescent="0.25">
      <c r="A1003" s="7">
        <v>45047</v>
      </c>
      <c r="B1003" t="s">
        <v>19</v>
      </c>
      <c r="C1003" s="6">
        <v>2675</v>
      </c>
      <c r="D1003" s="5" t="s">
        <v>90</v>
      </c>
      <c r="E1003" s="1">
        <v>0.60416666666666663</v>
      </c>
      <c r="F1003" s="1">
        <v>0.63402777777777775</v>
      </c>
      <c r="G1003" s="9">
        <f t="shared" si="107"/>
        <v>45047</v>
      </c>
      <c r="H1003" s="11">
        <f t="shared" si="108"/>
        <v>0.7</v>
      </c>
      <c r="I1003" s="10">
        <f t="shared" si="109"/>
        <v>7</v>
      </c>
      <c r="J1003" s="10">
        <f t="shared" si="110"/>
        <v>7.2</v>
      </c>
      <c r="K1003" s="10">
        <f t="shared" si="106"/>
        <v>7</v>
      </c>
      <c r="L1003" s="10">
        <f t="shared" si="111"/>
        <v>7</v>
      </c>
    </row>
    <row r="1004" spans="1:12" x14ac:dyDescent="0.25">
      <c r="A1004" s="7">
        <v>45048</v>
      </c>
      <c r="B1004" t="s">
        <v>19</v>
      </c>
      <c r="C1004" s="6">
        <v>2675</v>
      </c>
      <c r="D1004" s="5" t="s">
        <v>90</v>
      </c>
      <c r="E1004" s="1">
        <v>0.3</v>
      </c>
      <c r="F1004" s="1">
        <v>0.375</v>
      </c>
      <c r="G1004" s="9">
        <f t="shared" si="107"/>
        <v>45047</v>
      </c>
      <c r="H1004" s="11">
        <f t="shared" si="108"/>
        <v>1.8</v>
      </c>
      <c r="I1004" s="10">
        <f t="shared" si="109"/>
        <v>1.8</v>
      </c>
      <c r="J1004" s="10">
        <f t="shared" si="110"/>
        <v>7.2</v>
      </c>
      <c r="K1004" s="10">
        <f t="shared" si="106"/>
        <v>8.8000000000000007</v>
      </c>
      <c r="L1004" s="10">
        <f t="shared" si="111"/>
        <v>8.8000000000000007</v>
      </c>
    </row>
    <row r="1005" spans="1:12" x14ac:dyDescent="0.25">
      <c r="A1005" s="7">
        <v>45048</v>
      </c>
      <c r="B1005" t="s">
        <v>19</v>
      </c>
      <c r="C1005" s="6">
        <v>2675</v>
      </c>
      <c r="D1005" s="5" t="s">
        <v>332</v>
      </c>
      <c r="E1005" s="1">
        <v>0.375</v>
      </c>
      <c r="F1005" s="1">
        <v>0.41666666666666669</v>
      </c>
      <c r="G1005" s="9">
        <f t="shared" ref="G1005:G1068" si="112">IF(E1005&gt;0,INT((A1005-2)/7)*7+2,"")</f>
        <v>45047</v>
      </c>
      <c r="H1005" s="11">
        <f t="shared" ref="H1005:H1068" si="113">IF(E1005&gt;0,ROUND(24*(IF(F1005&gt;0,F1005,NowTime)-E1005),1),"")</f>
        <v>1</v>
      </c>
      <c r="I1005" s="10">
        <f t="shared" ref="I1005:I1068" si="114">IF(H1005="",H1005,H1005+IF(A1005=A1004,_xlfn.NUMBERVALUE(I1004),0))</f>
        <v>2.8</v>
      </c>
      <c r="J1005" s="10">
        <f t="shared" ref="J1005:J1068" si="115">IF(H1005="",H1005,7.2)</f>
        <v>7.2</v>
      </c>
      <c r="K1005" s="10">
        <f t="shared" si="106"/>
        <v>9.8000000000000007</v>
      </c>
      <c r="L1005" s="10">
        <f t="shared" ref="L1005:L1068" si="116">IF(H1005="",H1005,H1005+IF(MONTH(A1005)=MONTH(A1004),_xlfn.NUMBERVALUE(L1004),0))</f>
        <v>9.8000000000000007</v>
      </c>
    </row>
    <row r="1006" spans="1:12" x14ac:dyDescent="0.25">
      <c r="A1006" s="7">
        <v>45048</v>
      </c>
      <c r="B1006" t="s">
        <v>6</v>
      </c>
      <c r="C1006" s="6" t="s">
        <v>416</v>
      </c>
      <c r="D1006" s="5" t="s">
        <v>241</v>
      </c>
      <c r="E1006" s="1">
        <v>0.41666666666666669</v>
      </c>
      <c r="F1006" s="1">
        <v>0.45</v>
      </c>
      <c r="G1006" s="9">
        <f t="shared" si="112"/>
        <v>45047</v>
      </c>
      <c r="H1006" s="11">
        <f t="shared" si="113"/>
        <v>0.8</v>
      </c>
      <c r="I1006" s="10">
        <f t="shared" si="114"/>
        <v>3.5999999999999996</v>
      </c>
      <c r="J1006" s="10">
        <f t="shared" si="115"/>
        <v>7.2</v>
      </c>
      <c r="K1006" s="10">
        <f t="shared" si="106"/>
        <v>10.600000000000001</v>
      </c>
      <c r="L1006" s="10">
        <f t="shared" si="116"/>
        <v>10.600000000000001</v>
      </c>
    </row>
    <row r="1007" spans="1:12" x14ac:dyDescent="0.25">
      <c r="A1007" s="7">
        <v>45048</v>
      </c>
      <c r="B1007" t="s">
        <v>19</v>
      </c>
      <c r="C1007" s="6">
        <v>2675</v>
      </c>
      <c r="D1007" s="5" t="s">
        <v>90</v>
      </c>
      <c r="E1007" s="1">
        <v>0.45</v>
      </c>
      <c r="F1007" s="1">
        <v>0.58611111111111114</v>
      </c>
      <c r="G1007" s="9">
        <f t="shared" si="112"/>
        <v>45047</v>
      </c>
      <c r="H1007" s="11">
        <f t="shared" si="113"/>
        <v>3.3</v>
      </c>
      <c r="I1007" s="10">
        <f t="shared" si="114"/>
        <v>6.9</v>
      </c>
      <c r="J1007" s="10">
        <f t="shared" si="115"/>
        <v>7.2</v>
      </c>
      <c r="K1007" s="10">
        <f t="shared" si="106"/>
        <v>13.899999999999999</v>
      </c>
      <c r="L1007" s="10">
        <f t="shared" si="116"/>
        <v>13.899999999999999</v>
      </c>
    </row>
    <row r="1008" spans="1:12" x14ac:dyDescent="0.25">
      <c r="A1008" s="7">
        <v>45048</v>
      </c>
      <c r="B1008" t="s">
        <v>6</v>
      </c>
      <c r="C1008" s="6" t="s">
        <v>416</v>
      </c>
      <c r="D1008" s="5" t="s">
        <v>71</v>
      </c>
      <c r="E1008" s="1">
        <v>0.58611111111111114</v>
      </c>
      <c r="F1008" s="1">
        <v>0.61458333333333337</v>
      </c>
      <c r="G1008" s="9">
        <f t="shared" si="112"/>
        <v>45047</v>
      </c>
      <c r="H1008" s="11">
        <f t="shared" si="113"/>
        <v>0.7</v>
      </c>
      <c r="I1008" s="10">
        <f t="shared" si="114"/>
        <v>7.6000000000000005</v>
      </c>
      <c r="J1008" s="10">
        <f t="shared" si="115"/>
        <v>7.2</v>
      </c>
      <c r="K1008" s="10">
        <f t="shared" si="106"/>
        <v>14.6</v>
      </c>
      <c r="L1008" s="10">
        <f t="shared" si="116"/>
        <v>14.6</v>
      </c>
    </row>
    <row r="1009" spans="1:12" x14ac:dyDescent="0.25">
      <c r="A1009" s="7">
        <v>45049</v>
      </c>
      <c r="B1009" t="s">
        <v>19</v>
      </c>
      <c r="C1009" s="6">
        <v>2675</v>
      </c>
      <c r="D1009" s="5" t="s">
        <v>90</v>
      </c>
      <c r="E1009" s="1">
        <v>0.30138888888888887</v>
      </c>
      <c r="F1009" s="1">
        <v>0.375</v>
      </c>
      <c r="G1009" s="9">
        <f t="shared" si="112"/>
        <v>45047</v>
      </c>
      <c r="H1009" s="11">
        <f t="shared" si="113"/>
        <v>1.8</v>
      </c>
      <c r="I1009" s="10">
        <f t="shared" si="114"/>
        <v>1.8</v>
      </c>
      <c r="J1009" s="10">
        <f t="shared" si="115"/>
        <v>7.2</v>
      </c>
      <c r="K1009" s="10">
        <f t="shared" si="106"/>
        <v>16.399999999999999</v>
      </c>
      <c r="L1009" s="10">
        <f t="shared" si="116"/>
        <v>16.399999999999999</v>
      </c>
    </row>
    <row r="1010" spans="1:12" x14ac:dyDescent="0.25">
      <c r="A1010" s="7">
        <v>45049</v>
      </c>
      <c r="B1010" t="s">
        <v>19</v>
      </c>
      <c r="C1010" s="6">
        <v>2675</v>
      </c>
      <c r="D1010" s="5" t="s">
        <v>20</v>
      </c>
      <c r="E1010" s="1">
        <v>0.375</v>
      </c>
      <c r="F1010" s="1">
        <v>0.42499999999999999</v>
      </c>
      <c r="G1010" s="9">
        <f t="shared" si="112"/>
        <v>45047</v>
      </c>
      <c r="H1010" s="11">
        <f t="shared" si="113"/>
        <v>1.2</v>
      </c>
      <c r="I1010" s="10">
        <f t="shared" si="114"/>
        <v>3</v>
      </c>
      <c r="J1010" s="10">
        <f t="shared" si="115"/>
        <v>7.2</v>
      </c>
      <c r="K1010" s="10">
        <f t="shared" si="106"/>
        <v>17.599999999999998</v>
      </c>
      <c r="L1010" s="10">
        <f t="shared" si="116"/>
        <v>17.599999999999998</v>
      </c>
    </row>
    <row r="1011" spans="1:12" x14ac:dyDescent="0.25">
      <c r="A1011" s="7">
        <v>45049</v>
      </c>
      <c r="B1011" t="s">
        <v>19</v>
      </c>
      <c r="C1011" s="6">
        <v>2675</v>
      </c>
      <c r="D1011" s="5" t="s">
        <v>90</v>
      </c>
      <c r="E1011" s="1">
        <v>0.42499999999999999</v>
      </c>
      <c r="F1011" s="1">
        <v>0.48333333333333334</v>
      </c>
      <c r="G1011" s="9">
        <f t="shared" si="112"/>
        <v>45047</v>
      </c>
      <c r="H1011" s="11">
        <f t="shared" si="113"/>
        <v>1.4</v>
      </c>
      <c r="I1011" s="10">
        <f t="shared" si="114"/>
        <v>4.4000000000000004</v>
      </c>
      <c r="J1011" s="10">
        <f t="shared" si="115"/>
        <v>7.2</v>
      </c>
      <c r="K1011" s="10">
        <f t="shared" si="106"/>
        <v>19</v>
      </c>
      <c r="L1011" s="10">
        <f t="shared" si="116"/>
        <v>19</v>
      </c>
    </row>
    <row r="1012" spans="1:12" x14ac:dyDescent="0.25">
      <c r="A1012" s="7">
        <v>45049</v>
      </c>
      <c r="B1012" t="s">
        <v>19</v>
      </c>
      <c r="C1012" s="6">
        <v>2675</v>
      </c>
      <c r="D1012" s="5" t="s">
        <v>90</v>
      </c>
      <c r="E1012" s="1">
        <v>0.50347222222222221</v>
      </c>
      <c r="F1012" s="1">
        <v>0.65208333333333335</v>
      </c>
      <c r="G1012" s="9">
        <f t="shared" si="112"/>
        <v>45047</v>
      </c>
      <c r="H1012" s="11">
        <f t="shared" si="113"/>
        <v>3.6</v>
      </c>
      <c r="I1012" s="10">
        <f t="shared" si="114"/>
        <v>8</v>
      </c>
      <c r="J1012" s="10">
        <f t="shared" si="115"/>
        <v>7.2</v>
      </c>
      <c r="K1012" s="10">
        <f t="shared" si="106"/>
        <v>22.6</v>
      </c>
      <c r="L1012" s="10">
        <f t="shared" si="116"/>
        <v>22.6</v>
      </c>
    </row>
    <row r="1013" spans="1:12" x14ac:dyDescent="0.25">
      <c r="A1013" s="7">
        <v>45050</v>
      </c>
      <c r="B1013" t="s">
        <v>19</v>
      </c>
      <c r="C1013" s="6">
        <v>2675</v>
      </c>
      <c r="D1013" s="5" t="s">
        <v>90</v>
      </c>
      <c r="E1013" s="1">
        <v>0.3576388888888889</v>
      </c>
      <c r="F1013" s="1">
        <v>0.41875000000000001</v>
      </c>
      <c r="G1013" s="9">
        <f t="shared" si="112"/>
        <v>45047</v>
      </c>
      <c r="H1013" s="11">
        <f t="shared" si="113"/>
        <v>1.5</v>
      </c>
      <c r="I1013" s="10">
        <f t="shared" si="114"/>
        <v>1.5</v>
      </c>
      <c r="J1013" s="10">
        <f t="shared" si="115"/>
        <v>7.2</v>
      </c>
      <c r="K1013" s="10">
        <f t="shared" si="106"/>
        <v>24.1</v>
      </c>
      <c r="L1013" s="10">
        <f t="shared" si="116"/>
        <v>24.1</v>
      </c>
    </row>
    <row r="1014" spans="1:12" x14ac:dyDescent="0.25">
      <c r="A1014" s="7">
        <v>45050</v>
      </c>
      <c r="B1014" t="s">
        <v>6</v>
      </c>
      <c r="C1014" s="6" t="s">
        <v>416</v>
      </c>
      <c r="D1014" s="5" t="s">
        <v>317</v>
      </c>
      <c r="E1014" s="1">
        <v>0.41875000000000001</v>
      </c>
      <c r="F1014" s="1">
        <v>0.6875</v>
      </c>
      <c r="G1014" s="9">
        <f t="shared" si="112"/>
        <v>45047</v>
      </c>
      <c r="H1014" s="11">
        <f t="shared" si="113"/>
        <v>6.5</v>
      </c>
      <c r="I1014" s="10">
        <f t="shared" si="114"/>
        <v>8</v>
      </c>
      <c r="J1014" s="10">
        <f t="shared" si="115"/>
        <v>7.2</v>
      </c>
      <c r="K1014" s="10">
        <f t="shared" si="106"/>
        <v>30.6</v>
      </c>
      <c r="L1014" s="10">
        <f t="shared" si="116"/>
        <v>30.6</v>
      </c>
    </row>
    <row r="1015" spans="1:12" x14ac:dyDescent="0.25">
      <c r="A1015" s="7">
        <v>45051</v>
      </c>
      <c r="B1015" t="s">
        <v>19</v>
      </c>
      <c r="C1015" s="6">
        <v>2675</v>
      </c>
      <c r="D1015" s="5" t="s">
        <v>90</v>
      </c>
      <c r="E1015" s="1">
        <v>0.33194444444444443</v>
      </c>
      <c r="F1015" s="1">
        <v>0.41666666666666669</v>
      </c>
      <c r="G1015" s="9">
        <f t="shared" si="112"/>
        <v>45047</v>
      </c>
      <c r="H1015" s="11">
        <f t="shared" si="113"/>
        <v>2</v>
      </c>
      <c r="I1015" s="10">
        <f t="shared" si="114"/>
        <v>2</v>
      </c>
      <c r="J1015" s="10">
        <f t="shared" si="115"/>
        <v>7.2</v>
      </c>
      <c r="K1015" s="10">
        <f t="shared" si="106"/>
        <v>32.6</v>
      </c>
      <c r="L1015" s="10">
        <f t="shared" si="116"/>
        <v>32.6</v>
      </c>
    </row>
    <row r="1016" spans="1:12" x14ac:dyDescent="0.25">
      <c r="A1016" s="7">
        <v>45051</v>
      </c>
      <c r="B1016" t="s">
        <v>19</v>
      </c>
      <c r="C1016" s="6">
        <v>2675</v>
      </c>
      <c r="D1016" s="5" t="s">
        <v>20</v>
      </c>
      <c r="E1016" s="1">
        <v>0.41666666666666669</v>
      </c>
      <c r="F1016" s="1">
        <v>0.47638888888888892</v>
      </c>
      <c r="G1016" s="9">
        <f t="shared" si="112"/>
        <v>45047</v>
      </c>
      <c r="H1016" s="11">
        <f t="shared" si="113"/>
        <v>1.4</v>
      </c>
      <c r="I1016" s="10">
        <f t="shared" si="114"/>
        <v>3.4</v>
      </c>
      <c r="J1016" s="10">
        <f t="shared" si="115"/>
        <v>7.2</v>
      </c>
      <c r="K1016" s="10">
        <f t="shared" si="106"/>
        <v>34</v>
      </c>
      <c r="L1016" s="10">
        <f t="shared" si="116"/>
        <v>34</v>
      </c>
    </row>
    <row r="1017" spans="1:12" x14ac:dyDescent="0.25">
      <c r="A1017" s="7">
        <v>45051</v>
      </c>
      <c r="B1017" t="s">
        <v>19</v>
      </c>
      <c r="C1017" s="6">
        <v>2675</v>
      </c>
      <c r="D1017" s="5" t="s">
        <v>90</v>
      </c>
      <c r="E1017" s="1">
        <v>0.49652777777777773</v>
      </c>
      <c r="F1017" s="1">
        <v>0.62083333333333335</v>
      </c>
      <c r="G1017" s="9">
        <f t="shared" si="112"/>
        <v>45047</v>
      </c>
      <c r="H1017" s="11">
        <f t="shared" si="113"/>
        <v>3</v>
      </c>
      <c r="I1017" s="10">
        <f t="shared" si="114"/>
        <v>6.4</v>
      </c>
      <c r="J1017" s="10">
        <f t="shared" si="115"/>
        <v>7.2</v>
      </c>
      <c r="K1017" s="10">
        <f t="shared" si="106"/>
        <v>37</v>
      </c>
      <c r="L1017" s="10">
        <f t="shared" si="116"/>
        <v>37</v>
      </c>
    </row>
    <row r="1018" spans="1:12" x14ac:dyDescent="0.25">
      <c r="A1018" s="7">
        <v>45054</v>
      </c>
      <c r="B1018" t="s">
        <v>19</v>
      </c>
      <c r="C1018" s="6">
        <v>2675</v>
      </c>
      <c r="D1018" s="5" t="s">
        <v>90</v>
      </c>
      <c r="E1018" s="1">
        <v>0.36319444444444443</v>
      </c>
      <c r="F1018" s="1">
        <v>0.41666666666666669</v>
      </c>
      <c r="G1018" s="9">
        <f t="shared" si="112"/>
        <v>45054</v>
      </c>
      <c r="H1018" s="11">
        <f t="shared" si="113"/>
        <v>1.3</v>
      </c>
      <c r="I1018" s="10">
        <f t="shared" si="114"/>
        <v>1.3</v>
      </c>
      <c r="J1018" s="10">
        <f t="shared" si="115"/>
        <v>7.2</v>
      </c>
      <c r="K1018" s="10">
        <f t="shared" si="106"/>
        <v>1.3</v>
      </c>
      <c r="L1018" s="10">
        <f t="shared" si="116"/>
        <v>38.299999999999997</v>
      </c>
    </row>
    <row r="1019" spans="1:12" x14ac:dyDescent="0.25">
      <c r="A1019" s="7">
        <v>45054</v>
      </c>
      <c r="B1019" t="s">
        <v>6</v>
      </c>
      <c r="C1019" s="6" t="s">
        <v>416</v>
      </c>
      <c r="D1019" s="5" t="s">
        <v>112</v>
      </c>
      <c r="E1019" s="1">
        <v>0.41666666666666669</v>
      </c>
      <c r="F1019" s="1">
        <v>0.4375</v>
      </c>
      <c r="G1019" s="9">
        <f t="shared" si="112"/>
        <v>45054</v>
      </c>
      <c r="H1019" s="11">
        <f t="shared" si="113"/>
        <v>0.5</v>
      </c>
      <c r="I1019" s="10">
        <f t="shared" si="114"/>
        <v>1.8</v>
      </c>
      <c r="J1019" s="10">
        <f t="shared" si="115"/>
        <v>7.2</v>
      </c>
      <c r="K1019" s="10">
        <f t="shared" si="106"/>
        <v>1.8</v>
      </c>
      <c r="L1019" s="10">
        <f t="shared" si="116"/>
        <v>38.799999999999997</v>
      </c>
    </row>
    <row r="1020" spans="1:12" x14ac:dyDescent="0.25">
      <c r="A1020" s="7">
        <v>45054</v>
      </c>
      <c r="B1020" t="s">
        <v>297</v>
      </c>
      <c r="C1020" s="6">
        <v>2664</v>
      </c>
      <c r="D1020" s="5" t="s">
        <v>333</v>
      </c>
      <c r="E1020" s="1">
        <v>0.4375</v>
      </c>
      <c r="F1020" s="1">
        <v>0.48888888888888887</v>
      </c>
      <c r="G1020" s="9">
        <f t="shared" si="112"/>
        <v>45054</v>
      </c>
      <c r="H1020" s="11">
        <f t="shared" si="113"/>
        <v>1.2</v>
      </c>
      <c r="I1020" s="10">
        <f t="shared" si="114"/>
        <v>3</v>
      </c>
      <c r="J1020" s="10">
        <f t="shared" si="115"/>
        <v>7.2</v>
      </c>
      <c r="K1020" s="10">
        <f t="shared" si="106"/>
        <v>3</v>
      </c>
      <c r="L1020" s="10">
        <f t="shared" si="116"/>
        <v>40</v>
      </c>
    </row>
    <row r="1021" spans="1:12" x14ac:dyDescent="0.25">
      <c r="A1021" s="7">
        <v>45054</v>
      </c>
      <c r="B1021" t="s">
        <v>19</v>
      </c>
      <c r="C1021" s="6">
        <v>2675</v>
      </c>
      <c r="D1021" s="5" t="s">
        <v>90</v>
      </c>
      <c r="E1021" s="1">
        <v>0.5</v>
      </c>
      <c r="F1021" s="1">
        <v>0.62708333333333333</v>
      </c>
      <c r="G1021" s="9">
        <f t="shared" si="112"/>
        <v>45054</v>
      </c>
      <c r="H1021" s="11">
        <f t="shared" si="113"/>
        <v>3.1</v>
      </c>
      <c r="I1021" s="10">
        <f t="shared" si="114"/>
        <v>6.1</v>
      </c>
      <c r="J1021" s="10">
        <f t="shared" si="115"/>
        <v>7.2</v>
      </c>
      <c r="K1021" s="10">
        <f t="shared" si="106"/>
        <v>6.1</v>
      </c>
      <c r="L1021" s="10">
        <f t="shared" si="116"/>
        <v>43.1</v>
      </c>
    </row>
    <row r="1022" spans="1:12" x14ac:dyDescent="0.25">
      <c r="A1022" s="7">
        <v>45055</v>
      </c>
      <c r="B1022" t="s">
        <v>19</v>
      </c>
      <c r="C1022" s="6">
        <v>2675</v>
      </c>
      <c r="D1022" s="5" t="s">
        <v>90</v>
      </c>
      <c r="E1022" s="1">
        <v>0.34791666666666665</v>
      </c>
      <c r="F1022" s="1">
        <v>0.47986111111111113</v>
      </c>
      <c r="G1022" s="9">
        <f t="shared" si="112"/>
        <v>45054</v>
      </c>
      <c r="H1022" s="11">
        <f t="shared" si="113"/>
        <v>3.2</v>
      </c>
      <c r="I1022" s="10">
        <f t="shared" si="114"/>
        <v>3.2</v>
      </c>
      <c r="J1022" s="10">
        <f t="shared" si="115"/>
        <v>7.2</v>
      </c>
      <c r="K1022" s="10">
        <f t="shared" si="106"/>
        <v>9.3000000000000007</v>
      </c>
      <c r="L1022" s="10">
        <f t="shared" si="116"/>
        <v>46.300000000000004</v>
      </c>
    </row>
    <row r="1023" spans="1:12" x14ac:dyDescent="0.25">
      <c r="A1023" s="7">
        <v>45055</v>
      </c>
      <c r="B1023" t="s">
        <v>19</v>
      </c>
      <c r="C1023" s="6">
        <v>2675</v>
      </c>
      <c r="D1023" s="5" t="s">
        <v>90</v>
      </c>
      <c r="E1023" s="1">
        <v>0.49305555555555558</v>
      </c>
      <c r="F1023" s="1">
        <v>0.52708333333333335</v>
      </c>
      <c r="G1023" s="9">
        <f t="shared" si="112"/>
        <v>45054</v>
      </c>
      <c r="H1023" s="11">
        <f t="shared" si="113"/>
        <v>0.8</v>
      </c>
      <c r="I1023" s="10">
        <f t="shared" si="114"/>
        <v>4</v>
      </c>
      <c r="J1023" s="10">
        <f t="shared" si="115"/>
        <v>7.2</v>
      </c>
      <c r="K1023" s="10">
        <f t="shared" si="106"/>
        <v>10.100000000000001</v>
      </c>
      <c r="L1023" s="10">
        <f t="shared" si="116"/>
        <v>47.099999999999994</v>
      </c>
    </row>
    <row r="1024" spans="1:12" x14ac:dyDescent="0.25">
      <c r="A1024" s="7">
        <v>45055</v>
      </c>
      <c r="B1024" t="s">
        <v>6</v>
      </c>
      <c r="C1024" s="6" t="s">
        <v>416</v>
      </c>
      <c r="D1024" s="5" t="s">
        <v>334</v>
      </c>
      <c r="E1024" s="1">
        <v>0.52708333333333335</v>
      </c>
      <c r="F1024" s="1">
        <v>0.625</v>
      </c>
      <c r="G1024" s="9">
        <f t="shared" si="112"/>
        <v>45054</v>
      </c>
      <c r="H1024" s="11">
        <f t="shared" si="113"/>
        <v>2.4</v>
      </c>
      <c r="I1024" s="10">
        <f t="shared" si="114"/>
        <v>6.4</v>
      </c>
      <c r="J1024" s="10">
        <f t="shared" si="115"/>
        <v>7.2</v>
      </c>
      <c r="K1024" s="10">
        <f t="shared" si="106"/>
        <v>12.5</v>
      </c>
      <c r="L1024" s="10">
        <f t="shared" si="116"/>
        <v>49.5</v>
      </c>
    </row>
    <row r="1025" spans="1:12" x14ac:dyDescent="0.25">
      <c r="A1025" s="7">
        <v>45055</v>
      </c>
      <c r="B1025" t="s">
        <v>6</v>
      </c>
      <c r="C1025" s="6" t="s">
        <v>416</v>
      </c>
      <c r="D1025" s="5" t="s">
        <v>335</v>
      </c>
      <c r="E1025" s="1">
        <v>0.625</v>
      </c>
      <c r="F1025" s="1">
        <v>0.6694444444444444</v>
      </c>
      <c r="G1025" s="9">
        <f t="shared" si="112"/>
        <v>45054</v>
      </c>
      <c r="H1025" s="11">
        <f t="shared" si="113"/>
        <v>1.1000000000000001</v>
      </c>
      <c r="I1025" s="10">
        <f t="shared" si="114"/>
        <v>7.5</v>
      </c>
      <c r="J1025" s="10">
        <f t="shared" si="115"/>
        <v>7.2</v>
      </c>
      <c r="K1025" s="10">
        <f t="shared" si="106"/>
        <v>13.6</v>
      </c>
      <c r="L1025" s="10">
        <f t="shared" si="116"/>
        <v>50.6</v>
      </c>
    </row>
    <row r="1026" spans="1:12" x14ac:dyDescent="0.25">
      <c r="A1026" s="7">
        <v>45056</v>
      </c>
      <c r="B1026" t="s">
        <v>19</v>
      </c>
      <c r="C1026" s="6">
        <v>2675</v>
      </c>
      <c r="D1026" s="5" t="s">
        <v>90</v>
      </c>
      <c r="E1026" s="1">
        <v>0.31736111111111115</v>
      </c>
      <c r="F1026" s="1">
        <v>0.44027777777777777</v>
      </c>
      <c r="G1026" s="9">
        <f t="shared" si="112"/>
        <v>45054</v>
      </c>
      <c r="H1026" s="11">
        <f t="shared" si="113"/>
        <v>3</v>
      </c>
      <c r="I1026" s="10">
        <f t="shared" si="114"/>
        <v>3</v>
      </c>
      <c r="J1026" s="10">
        <f t="shared" si="115"/>
        <v>7.2</v>
      </c>
      <c r="K1026" s="10">
        <f t="shared" si="106"/>
        <v>16.600000000000001</v>
      </c>
      <c r="L1026" s="10">
        <f t="shared" si="116"/>
        <v>53.6</v>
      </c>
    </row>
    <row r="1027" spans="1:12" x14ac:dyDescent="0.25">
      <c r="A1027" s="7">
        <v>45056</v>
      </c>
      <c r="B1027" t="s">
        <v>6</v>
      </c>
      <c r="C1027" s="6" t="s">
        <v>416</v>
      </c>
      <c r="D1027" s="5" t="s">
        <v>98</v>
      </c>
      <c r="E1027" s="1">
        <v>0.44027777777777777</v>
      </c>
      <c r="F1027" s="1">
        <v>0.50347222222222221</v>
      </c>
      <c r="G1027" s="9">
        <f t="shared" si="112"/>
        <v>45054</v>
      </c>
      <c r="H1027" s="11">
        <f t="shared" si="113"/>
        <v>1.5</v>
      </c>
      <c r="I1027" s="10">
        <f t="shared" si="114"/>
        <v>4.5</v>
      </c>
      <c r="J1027" s="10">
        <f t="shared" si="115"/>
        <v>7.2</v>
      </c>
      <c r="K1027" s="10">
        <f t="shared" ref="K1027:K1090" si="117">IF(H1027="",H1027,H1027+IF(G1027=G1026,_xlfn.NUMBERVALUE(K1026),0))</f>
        <v>18.100000000000001</v>
      </c>
      <c r="L1027" s="10">
        <f t="shared" si="116"/>
        <v>55.1</v>
      </c>
    </row>
    <row r="1028" spans="1:12" x14ac:dyDescent="0.25">
      <c r="A1028" s="7">
        <v>45056</v>
      </c>
      <c r="B1028" t="s">
        <v>19</v>
      </c>
      <c r="C1028" s="6">
        <v>2675</v>
      </c>
      <c r="D1028" s="5" t="s">
        <v>336</v>
      </c>
      <c r="E1028" s="1">
        <v>0.52152777777777781</v>
      </c>
      <c r="F1028" s="1">
        <v>0.64166666666666672</v>
      </c>
      <c r="G1028" s="9">
        <f t="shared" si="112"/>
        <v>45054</v>
      </c>
      <c r="H1028" s="11">
        <f t="shared" si="113"/>
        <v>2.9</v>
      </c>
      <c r="I1028" s="10">
        <f t="shared" si="114"/>
        <v>7.4</v>
      </c>
      <c r="J1028" s="10">
        <f t="shared" si="115"/>
        <v>7.2</v>
      </c>
      <c r="K1028" s="10">
        <f t="shared" si="117"/>
        <v>21</v>
      </c>
      <c r="L1028" s="10">
        <f t="shared" si="116"/>
        <v>58</v>
      </c>
    </row>
    <row r="1029" spans="1:12" x14ac:dyDescent="0.25">
      <c r="A1029" s="7">
        <v>45057</v>
      </c>
      <c r="B1029" t="s">
        <v>19</v>
      </c>
      <c r="C1029" s="6">
        <v>2675</v>
      </c>
      <c r="D1029" s="5" t="s">
        <v>336</v>
      </c>
      <c r="E1029" s="1">
        <v>0.3125</v>
      </c>
      <c r="F1029" s="1">
        <v>0.48819444444444443</v>
      </c>
      <c r="G1029" s="9">
        <f t="shared" si="112"/>
        <v>45054</v>
      </c>
      <c r="H1029" s="11">
        <f t="shared" si="113"/>
        <v>4.2</v>
      </c>
      <c r="I1029" s="10">
        <f t="shared" si="114"/>
        <v>4.2</v>
      </c>
      <c r="J1029" s="10">
        <f t="shared" si="115"/>
        <v>7.2</v>
      </c>
      <c r="K1029" s="10">
        <f t="shared" si="117"/>
        <v>25.2</v>
      </c>
      <c r="L1029" s="10">
        <f t="shared" si="116"/>
        <v>62.2</v>
      </c>
    </row>
    <row r="1030" spans="1:12" x14ac:dyDescent="0.25">
      <c r="A1030" s="7">
        <v>45057</v>
      </c>
      <c r="B1030" t="s">
        <v>19</v>
      </c>
      <c r="C1030" s="6">
        <v>2675</v>
      </c>
      <c r="D1030" s="5" t="s">
        <v>336</v>
      </c>
      <c r="E1030" s="1">
        <v>0.50972222222222219</v>
      </c>
      <c r="F1030" s="1">
        <v>0.65138888888888891</v>
      </c>
      <c r="G1030" s="9">
        <f t="shared" si="112"/>
        <v>45054</v>
      </c>
      <c r="H1030" s="11">
        <f t="shared" si="113"/>
        <v>3.4</v>
      </c>
      <c r="I1030" s="10">
        <f t="shared" si="114"/>
        <v>7.6</v>
      </c>
      <c r="J1030" s="10">
        <f t="shared" si="115"/>
        <v>7.2</v>
      </c>
      <c r="K1030" s="10">
        <f t="shared" si="117"/>
        <v>28.599999999999998</v>
      </c>
      <c r="L1030" s="10">
        <f t="shared" si="116"/>
        <v>65.600000000000009</v>
      </c>
    </row>
    <row r="1031" spans="1:12" x14ac:dyDescent="0.25">
      <c r="A1031" s="7">
        <v>45058</v>
      </c>
      <c r="B1031" t="s">
        <v>19</v>
      </c>
      <c r="C1031" s="6">
        <v>2675</v>
      </c>
      <c r="D1031" s="5" t="s">
        <v>90</v>
      </c>
      <c r="E1031" s="1">
        <v>0.32083333333333336</v>
      </c>
      <c r="F1031" s="1">
        <v>0.41666666666666669</v>
      </c>
      <c r="G1031" s="9">
        <f t="shared" si="112"/>
        <v>45054</v>
      </c>
      <c r="H1031" s="11">
        <f t="shared" si="113"/>
        <v>2.2999999999999998</v>
      </c>
      <c r="I1031" s="10">
        <f t="shared" si="114"/>
        <v>2.2999999999999998</v>
      </c>
      <c r="J1031" s="10">
        <f t="shared" si="115"/>
        <v>7.2</v>
      </c>
      <c r="K1031" s="10">
        <f t="shared" si="117"/>
        <v>30.900000000000002</v>
      </c>
      <c r="L1031" s="10">
        <f t="shared" si="116"/>
        <v>67.899999999999991</v>
      </c>
    </row>
    <row r="1032" spans="1:12" x14ac:dyDescent="0.25">
      <c r="A1032" s="7">
        <v>45058</v>
      </c>
      <c r="B1032" t="s">
        <v>292</v>
      </c>
      <c r="C1032" s="6">
        <v>8075</v>
      </c>
      <c r="D1032" s="5" t="s">
        <v>44</v>
      </c>
      <c r="E1032" s="1">
        <v>0.41666666666666669</v>
      </c>
      <c r="F1032" s="1">
        <v>0.47430555555555554</v>
      </c>
      <c r="G1032" s="9">
        <f t="shared" si="112"/>
        <v>45054</v>
      </c>
      <c r="H1032" s="11">
        <f t="shared" si="113"/>
        <v>1.4</v>
      </c>
      <c r="I1032" s="10">
        <f t="shared" si="114"/>
        <v>3.6999999999999997</v>
      </c>
      <c r="J1032" s="10">
        <f t="shared" si="115"/>
        <v>7.2</v>
      </c>
      <c r="K1032" s="10">
        <f t="shared" si="117"/>
        <v>32.299999999999997</v>
      </c>
      <c r="L1032" s="10">
        <f t="shared" si="116"/>
        <v>69.300000000000011</v>
      </c>
    </row>
    <row r="1033" spans="1:12" x14ac:dyDescent="0.25">
      <c r="A1033" s="7">
        <v>45058</v>
      </c>
      <c r="B1033" t="s">
        <v>19</v>
      </c>
      <c r="C1033" s="6">
        <v>2675</v>
      </c>
      <c r="D1033" s="5" t="s">
        <v>90</v>
      </c>
      <c r="E1033" s="1">
        <v>0.49305555555555558</v>
      </c>
      <c r="F1033" s="1">
        <v>0.6694444444444444</v>
      </c>
      <c r="G1033" s="9">
        <f t="shared" si="112"/>
        <v>45054</v>
      </c>
      <c r="H1033" s="11">
        <f t="shared" si="113"/>
        <v>4.2</v>
      </c>
      <c r="I1033" s="10">
        <f t="shared" si="114"/>
        <v>7.9</v>
      </c>
      <c r="J1033" s="10">
        <f t="shared" si="115"/>
        <v>7.2</v>
      </c>
      <c r="K1033" s="10">
        <f t="shared" si="117"/>
        <v>36.5</v>
      </c>
      <c r="L1033" s="10">
        <f t="shared" si="116"/>
        <v>73.5</v>
      </c>
    </row>
    <row r="1034" spans="1:12" x14ac:dyDescent="0.25">
      <c r="A1034" s="7">
        <v>45061</v>
      </c>
      <c r="B1034" t="s">
        <v>6</v>
      </c>
      <c r="C1034" s="6" t="s">
        <v>416</v>
      </c>
      <c r="D1034" s="5" t="s">
        <v>104</v>
      </c>
      <c r="E1034" s="1">
        <v>0.33749999999999997</v>
      </c>
      <c r="F1034" s="1">
        <v>0.41666666666666669</v>
      </c>
      <c r="G1034" s="9">
        <f t="shared" si="112"/>
        <v>45061</v>
      </c>
      <c r="H1034" s="11">
        <f t="shared" si="113"/>
        <v>1.9</v>
      </c>
      <c r="I1034" s="10">
        <f t="shared" si="114"/>
        <v>1.9</v>
      </c>
      <c r="J1034" s="10">
        <f t="shared" si="115"/>
        <v>7.2</v>
      </c>
      <c r="K1034" s="10">
        <f t="shared" si="117"/>
        <v>1.9</v>
      </c>
      <c r="L1034" s="10">
        <f t="shared" si="116"/>
        <v>75.400000000000006</v>
      </c>
    </row>
    <row r="1035" spans="1:12" x14ac:dyDescent="0.25">
      <c r="A1035" s="7">
        <v>45061</v>
      </c>
      <c r="B1035" t="s">
        <v>6</v>
      </c>
      <c r="C1035" s="6" t="s">
        <v>416</v>
      </c>
      <c r="D1035" s="5" t="s">
        <v>112</v>
      </c>
      <c r="E1035" s="1">
        <v>0.41666666666666669</v>
      </c>
      <c r="F1035" s="1">
        <v>0.48680555555555555</v>
      </c>
      <c r="G1035" s="9">
        <f t="shared" si="112"/>
        <v>45061</v>
      </c>
      <c r="H1035" s="11">
        <f t="shared" si="113"/>
        <v>1.7</v>
      </c>
      <c r="I1035" s="10">
        <f t="shared" si="114"/>
        <v>3.5999999999999996</v>
      </c>
      <c r="J1035" s="10">
        <f t="shared" si="115"/>
        <v>7.2</v>
      </c>
      <c r="K1035" s="10">
        <f t="shared" si="117"/>
        <v>3.5999999999999996</v>
      </c>
      <c r="L1035" s="10">
        <f t="shared" si="116"/>
        <v>77.100000000000009</v>
      </c>
    </row>
    <row r="1036" spans="1:12" x14ac:dyDescent="0.25">
      <c r="A1036" s="7">
        <v>45061</v>
      </c>
      <c r="B1036" t="s">
        <v>6</v>
      </c>
      <c r="C1036" s="6" t="s">
        <v>416</v>
      </c>
      <c r="D1036" s="5" t="s">
        <v>337</v>
      </c>
      <c r="E1036" s="1">
        <v>0.4861111111111111</v>
      </c>
      <c r="F1036" s="1">
        <v>0.51736111111111105</v>
      </c>
      <c r="G1036" s="9">
        <f t="shared" si="112"/>
        <v>45061</v>
      </c>
      <c r="H1036" s="11">
        <f t="shared" si="113"/>
        <v>0.7</v>
      </c>
      <c r="I1036" s="10">
        <f t="shared" si="114"/>
        <v>4.3</v>
      </c>
      <c r="J1036" s="10">
        <f t="shared" si="115"/>
        <v>7.2</v>
      </c>
      <c r="K1036" s="10">
        <f t="shared" si="117"/>
        <v>4.3</v>
      </c>
      <c r="L1036" s="10">
        <f t="shared" si="116"/>
        <v>77.8</v>
      </c>
    </row>
    <row r="1037" spans="1:12" x14ac:dyDescent="0.25">
      <c r="A1037" s="7">
        <v>45061</v>
      </c>
      <c r="B1037" t="s">
        <v>309</v>
      </c>
      <c r="C1037" s="6">
        <v>2805</v>
      </c>
      <c r="D1037" s="5" t="s">
        <v>338</v>
      </c>
      <c r="E1037" s="1">
        <v>0.52638888888888891</v>
      </c>
      <c r="F1037" s="1">
        <v>0.65486111111111112</v>
      </c>
      <c r="G1037" s="9">
        <f t="shared" si="112"/>
        <v>45061</v>
      </c>
      <c r="H1037" s="11">
        <f t="shared" si="113"/>
        <v>3.1</v>
      </c>
      <c r="I1037" s="10">
        <f t="shared" si="114"/>
        <v>7.4</v>
      </c>
      <c r="J1037" s="10">
        <f t="shared" si="115"/>
        <v>7.2</v>
      </c>
      <c r="K1037" s="10">
        <f t="shared" si="117"/>
        <v>7.4</v>
      </c>
      <c r="L1037" s="10">
        <f t="shared" si="116"/>
        <v>80.899999999999991</v>
      </c>
    </row>
    <row r="1038" spans="1:12" x14ac:dyDescent="0.25">
      <c r="A1038" s="7">
        <v>45062</v>
      </c>
      <c r="B1038" t="s">
        <v>292</v>
      </c>
      <c r="C1038" s="6">
        <v>8075</v>
      </c>
      <c r="D1038" s="1" t="s">
        <v>339</v>
      </c>
      <c r="E1038" s="1">
        <v>0.35694444444444445</v>
      </c>
      <c r="F1038" s="1">
        <v>0.41180555555555554</v>
      </c>
      <c r="G1038" s="9">
        <f t="shared" si="112"/>
        <v>45061</v>
      </c>
      <c r="H1038" s="11">
        <f t="shared" si="113"/>
        <v>1.3</v>
      </c>
      <c r="I1038" s="10">
        <f t="shared" si="114"/>
        <v>1.3</v>
      </c>
      <c r="J1038" s="10">
        <f t="shared" si="115"/>
        <v>7.2</v>
      </c>
      <c r="K1038" s="10">
        <f t="shared" si="117"/>
        <v>8.7000000000000011</v>
      </c>
      <c r="L1038" s="10">
        <f t="shared" si="116"/>
        <v>82.2</v>
      </c>
    </row>
    <row r="1039" spans="1:12" x14ac:dyDescent="0.25">
      <c r="A1039" s="7">
        <v>45062</v>
      </c>
      <c r="B1039" t="s">
        <v>309</v>
      </c>
      <c r="C1039" s="6">
        <v>2805</v>
      </c>
      <c r="D1039" s="5" t="s">
        <v>340</v>
      </c>
      <c r="E1039" s="1">
        <v>0.41180555555555554</v>
      </c>
      <c r="F1039" s="1">
        <v>0.48402777777777778</v>
      </c>
      <c r="G1039" s="9">
        <f t="shared" si="112"/>
        <v>45061</v>
      </c>
      <c r="H1039" s="11">
        <f t="shared" si="113"/>
        <v>1.7</v>
      </c>
      <c r="I1039" s="10">
        <f t="shared" si="114"/>
        <v>3</v>
      </c>
      <c r="J1039" s="10">
        <f t="shared" si="115"/>
        <v>7.2</v>
      </c>
      <c r="K1039" s="10">
        <f t="shared" si="117"/>
        <v>10.399999999999999</v>
      </c>
      <c r="L1039" s="10">
        <f t="shared" si="116"/>
        <v>83.9</v>
      </c>
    </row>
    <row r="1040" spans="1:12" x14ac:dyDescent="0.25">
      <c r="A1040" s="7">
        <v>45062</v>
      </c>
      <c r="B1040" t="s">
        <v>309</v>
      </c>
      <c r="C1040" s="6">
        <v>2805</v>
      </c>
      <c r="D1040" s="5" t="s">
        <v>340</v>
      </c>
      <c r="E1040" s="1">
        <v>0.51736111111111105</v>
      </c>
      <c r="F1040" s="1">
        <v>0.64930555555555558</v>
      </c>
      <c r="G1040" s="9">
        <f t="shared" si="112"/>
        <v>45061</v>
      </c>
      <c r="H1040" s="11">
        <f t="shared" si="113"/>
        <v>3.2</v>
      </c>
      <c r="I1040" s="10">
        <f t="shared" si="114"/>
        <v>6.2</v>
      </c>
      <c r="J1040" s="10">
        <f t="shared" si="115"/>
        <v>7.2</v>
      </c>
      <c r="K1040" s="10">
        <f t="shared" si="117"/>
        <v>13.600000000000001</v>
      </c>
      <c r="L1040" s="10">
        <f t="shared" si="116"/>
        <v>87.100000000000009</v>
      </c>
    </row>
    <row r="1041" spans="1:12" x14ac:dyDescent="0.25">
      <c r="A1041" s="7">
        <v>45063</v>
      </c>
      <c r="B1041" t="s">
        <v>309</v>
      </c>
      <c r="C1041" s="6">
        <v>2805</v>
      </c>
      <c r="D1041" s="5" t="s">
        <v>341</v>
      </c>
      <c r="E1041" s="1">
        <v>0.29236111111111113</v>
      </c>
      <c r="F1041" s="1">
        <v>0.4680555555555555</v>
      </c>
      <c r="G1041" s="9">
        <f t="shared" si="112"/>
        <v>45061</v>
      </c>
      <c r="H1041" s="11">
        <f t="shared" si="113"/>
        <v>4.2</v>
      </c>
      <c r="I1041" s="10">
        <f t="shared" si="114"/>
        <v>4.2</v>
      </c>
      <c r="J1041" s="10">
        <f t="shared" si="115"/>
        <v>7.2</v>
      </c>
      <c r="K1041" s="10">
        <f t="shared" si="117"/>
        <v>17.8</v>
      </c>
      <c r="L1041" s="10">
        <f t="shared" si="116"/>
        <v>91.3</v>
      </c>
    </row>
    <row r="1042" spans="1:12" x14ac:dyDescent="0.25">
      <c r="A1042" s="7">
        <v>45063</v>
      </c>
      <c r="B1042" t="s">
        <v>309</v>
      </c>
      <c r="C1042" s="6">
        <v>2805</v>
      </c>
      <c r="D1042" s="5" t="s">
        <v>341</v>
      </c>
      <c r="E1042" s="1">
        <v>0.54652777777777783</v>
      </c>
      <c r="F1042" s="1">
        <v>0.65416666666666667</v>
      </c>
      <c r="G1042" s="9">
        <f t="shared" si="112"/>
        <v>45061</v>
      </c>
      <c r="H1042" s="11">
        <f t="shared" si="113"/>
        <v>2.6</v>
      </c>
      <c r="I1042" s="10">
        <f t="shared" si="114"/>
        <v>6.8000000000000007</v>
      </c>
      <c r="J1042" s="10">
        <f t="shared" si="115"/>
        <v>7.2</v>
      </c>
      <c r="K1042" s="10">
        <f t="shared" si="117"/>
        <v>20.400000000000002</v>
      </c>
      <c r="L1042" s="10">
        <f t="shared" si="116"/>
        <v>93.899999999999991</v>
      </c>
    </row>
    <row r="1043" spans="1:12" x14ac:dyDescent="0.25">
      <c r="A1043" s="7">
        <v>45064</v>
      </c>
      <c r="B1043" t="s">
        <v>309</v>
      </c>
      <c r="C1043" s="6">
        <v>2805</v>
      </c>
      <c r="D1043" s="5" t="s">
        <v>342</v>
      </c>
      <c r="E1043" s="1">
        <v>0.3</v>
      </c>
      <c r="F1043" s="1">
        <v>0.47013888888888888</v>
      </c>
      <c r="G1043" s="9">
        <f t="shared" si="112"/>
        <v>45061</v>
      </c>
      <c r="H1043" s="11">
        <f t="shared" si="113"/>
        <v>4.0999999999999996</v>
      </c>
      <c r="I1043" s="10">
        <f t="shared" si="114"/>
        <v>4.0999999999999996</v>
      </c>
      <c r="J1043" s="10">
        <f t="shared" si="115"/>
        <v>7.2</v>
      </c>
      <c r="K1043" s="10">
        <f t="shared" si="117"/>
        <v>24.5</v>
      </c>
      <c r="L1043" s="10">
        <f t="shared" si="116"/>
        <v>98</v>
      </c>
    </row>
    <row r="1044" spans="1:12" x14ac:dyDescent="0.25">
      <c r="A1044" s="7">
        <v>45064</v>
      </c>
      <c r="B1044" t="s">
        <v>309</v>
      </c>
      <c r="C1044" s="6">
        <v>2805</v>
      </c>
      <c r="D1044" s="5" t="s">
        <v>342</v>
      </c>
      <c r="E1044" s="1">
        <v>0.49374999999999997</v>
      </c>
      <c r="F1044" s="1">
        <v>0.64166666666666672</v>
      </c>
      <c r="G1044" s="9">
        <f t="shared" si="112"/>
        <v>45061</v>
      </c>
      <c r="H1044" s="11">
        <f t="shared" si="113"/>
        <v>3.6</v>
      </c>
      <c r="I1044" s="10">
        <f t="shared" si="114"/>
        <v>7.6999999999999993</v>
      </c>
      <c r="J1044" s="10">
        <f t="shared" si="115"/>
        <v>7.2</v>
      </c>
      <c r="K1044" s="10">
        <f t="shared" si="117"/>
        <v>28.1</v>
      </c>
      <c r="L1044" s="10">
        <f t="shared" si="116"/>
        <v>101.6</v>
      </c>
    </row>
    <row r="1045" spans="1:12" x14ac:dyDescent="0.25">
      <c r="A1045" s="7">
        <v>45065</v>
      </c>
      <c r="B1045" t="s">
        <v>6</v>
      </c>
      <c r="C1045" s="6" t="s">
        <v>416</v>
      </c>
      <c r="D1045" s="5" t="s">
        <v>343</v>
      </c>
      <c r="E1045" s="1">
        <v>0.3520833333333333</v>
      </c>
      <c r="F1045" s="1">
        <v>0.4145833333333333</v>
      </c>
      <c r="G1045" s="9">
        <f t="shared" si="112"/>
        <v>45061</v>
      </c>
      <c r="H1045" s="11">
        <f t="shared" si="113"/>
        <v>1.5</v>
      </c>
      <c r="I1045" s="10">
        <f t="shared" si="114"/>
        <v>1.5</v>
      </c>
      <c r="J1045" s="10">
        <f t="shared" si="115"/>
        <v>7.2</v>
      </c>
      <c r="K1045" s="10">
        <f t="shared" si="117"/>
        <v>29.6</v>
      </c>
      <c r="L1045" s="10">
        <f t="shared" si="116"/>
        <v>103.1</v>
      </c>
    </row>
    <row r="1046" spans="1:12" x14ac:dyDescent="0.25">
      <c r="A1046" s="7">
        <v>45065</v>
      </c>
      <c r="B1046" t="s">
        <v>309</v>
      </c>
      <c r="C1046" s="6">
        <v>2805</v>
      </c>
      <c r="D1046" s="5" t="s">
        <v>342</v>
      </c>
      <c r="E1046" s="1">
        <v>0.4145833333333333</v>
      </c>
      <c r="F1046" s="1">
        <v>0.5</v>
      </c>
      <c r="G1046" s="9">
        <f t="shared" si="112"/>
        <v>45061</v>
      </c>
      <c r="H1046" s="11">
        <f t="shared" si="113"/>
        <v>2.1</v>
      </c>
      <c r="I1046" s="10">
        <f t="shared" si="114"/>
        <v>3.6</v>
      </c>
      <c r="J1046" s="10">
        <f t="shared" si="115"/>
        <v>7.2</v>
      </c>
      <c r="K1046" s="10">
        <f t="shared" si="117"/>
        <v>31.700000000000003</v>
      </c>
      <c r="L1046" s="10">
        <f t="shared" si="116"/>
        <v>105.19999999999999</v>
      </c>
    </row>
    <row r="1047" spans="1:12" x14ac:dyDescent="0.25">
      <c r="A1047" s="7">
        <v>45065</v>
      </c>
      <c r="B1047" t="s">
        <v>309</v>
      </c>
      <c r="C1047" s="6">
        <v>2805</v>
      </c>
      <c r="D1047" s="5" t="s">
        <v>342</v>
      </c>
      <c r="E1047" s="1">
        <v>0.52152777777777781</v>
      </c>
      <c r="F1047" s="1">
        <v>0.63680555555555551</v>
      </c>
      <c r="G1047" s="9">
        <f t="shared" si="112"/>
        <v>45061</v>
      </c>
      <c r="H1047" s="11">
        <f t="shared" si="113"/>
        <v>2.8</v>
      </c>
      <c r="I1047" s="10">
        <f t="shared" si="114"/>
        <v>6.4</v>
      </c>
      <c r="J1047" s="10">
        <f t="shared" si="115"/>
        <v>7.2</v>
      </c>
      <c r="K1047" s="10">
        <f t="shared" si="117"/>
        <v>34.5</v>
      </c>
      <c r="L1047" s="10">
        <f t="shared" si="116"/>
        <v>108</v>
      </c>
    </row>
    <row r="1048" spans="1:12" x14ac:dyDescent="0.25">
      <c r="A1048" s="7">
        <v>45066</v>
      </c>
      <c r="B1048" t="s">
        <v>309</v>
      </c>
      <c r="C1048" s="6">
        <v>2805</v>
      </c>
      <c r="D1048" s="5" t="s">
        <v>342</v>
      </c>
      <c r="E1048" s="1">
        <v>0.38541666666666669</v>
      </c>
      <c r="F1048" s="1">
        <v>0.4465277777777778</v>
      </c>
      <c r="G1048" s="9">
        <f t="shared" si="112"/>
        <v>45061</v>
      </c>
      <c r="H1048" s="11">
        <f t="shared" si="113"/>
        <v>1.5</v>
      </c>
      <c r="I1048" s="10">
        <f t="shared" si="114"/>
        <v>1.5</v>
      </c>
      <c r="J1048" s="10">
        <f t="shared" si="115"/>
        <v>7.2</v>
      </c>
      <c r="K1048" s="10">
        <f t="shared" si="117"/>
        <v>36</v>
      </c>
      <c r="L1048" s="10">
        <f t="shared" si="116"/>
        <v>109.5</v>
      </c>
    </row>
    <row r="1049" spans="1:12" x14ac:dyDescent="0.25">
      <c r="A1049" s="7">
        <v>45068</v>
      </c>
      <c r="B1049" t="s">
        <v>309</v>
      </c>
      <c r="C1049" s="6">
        <v>2805</v>
      </c>
      <c r="D1049" s="5" t="s">
        <v>344</v>
      </c>
      <c r="E1049" s="1">
        <v>0.33402777777777781</v>
      </c>
      <c r="F1049" s="1">
        <v>0.41666666666666669</v>
      </c>
      <c r="G1049" s="9">
        <f t="shared" si="112"/>
        <v>45068</v>
      </c>
      <c r="H1049" s="11">
        <f t="shared" si="113"/>
        <v>2</v>
      </c>
      <c r="I1049" s="10">
        <f t="shared" si="114"/>
        <v>2</v>
      </c>
      <c r="J1049" s="10">
        <f t="shared" si="115"/>
        <v>7.2</v>
      </c>
      <c r="K1049" s="10">
        <f t="shared" si="117"/>
        <v>2</v>
      </c>
      <c r="L1049" s="10">
        <f t="shared" si="116"/>
        <v>111.5</v>
      </c>
    </row>
    <row r="1050" spans="1:12" x14ac:dyDescent="0.25">
      <c r="A1050" s="7">
        <v>45068</v>
      </c>
      <c r="B1050" t="s">
        <v>6</v>
      </c>
      <c r="C1050" s="6" t="s">
        <v>416</v>
      </c>
      <c r="D1050" s="5" t="s">
        <v>112</v>
      </c>
      <c r="E1050" s="1">
        <v>0.41666666666666669</v>
      </c>
      <c r="F1050" s="1">
        <v>0.47291666666666665</v>
      </c>
      <c r="G1050" s="9">
        <f t="shared" si="112"/>
        <v>45068</v>
      </c>
      <c r="H1050" s="11">
        <f t="shared" si="113"/>
        <v>1.4</v>
      </c>
      <c r="I1050" s="10">
        <f t="shared" si="114"/>
        <v>3.4</v>
      </c>
      <c r="J1050" s="10">
        <f t="shared" si="115"/>
        <v>7.2</v>
      </c>
      <c r="K1050" s="10">
        <f t="shared" si="117"/>
        <v>3.4</v>
      </c>
      <c r="L1050" s="10">
        <f t="shared" si="116"/>
        <v>112.9</v>
      </c>
    </row>
    <row r="1051" spans="1:12" x14ac:dyDescent="0.25">
      <c r="A1051" s="7">
        <v>45068</v>
      </c>
      <c r="B1051" t="s">
        <v>309</v>
      </c>
      <c r="C1051" s="6">
        <v>2805</v>
      </c>
      <c r="D1051" s="5" t="s">
        <v>344</v>
      </c>
      <c r="E1051" s="1">
        <v>0.48472222222222222</v>
      </c>
      <c r="F1051" s="1">
        <v>0.64444444444444449</v>
      </c>
      <c r="G1051" s="9">
        <f t="shared" si="112"/>
        <v>45068</v>
      </c>
      <c r="H1051" s="11">
        <f t="shared" si="113"/>
        <v>3.8</v>
      </c>
      <c r="I1051" s="10">
        <f t="shared" si="114"/>
        <v>7.1999999999999993</v>
      </c>
      <c r="J1051" s="10">
        <f t="shared" si="115"/>
        <v>7.2</v>
      </c>
      <c r="K1051" s="10">
        <f t="shared" si="117"/>
        <v>7.1999999999999993</v>
      </c>
      <c r="L1051" s="10">
        <f t="shared" si="116"/>
        <v>116.7</v>
      </c>
    </row>
    <row r="1052" spans="1:12" x14ac:dyDescent="0.25">
      <c r="A1052" s="7">
        <v>45069</v>
      </c>
      <c r="B1052" t="s">
        <v>309</v>
      </c>
      <c r="C1052" s="6">
        <v>2805</v>
      </c>
      <c r="D1052" s="5" t="s">
        <v>344</v>
      </c>
      <c r="E1052" s="1">
        <v>0.30416666666666664</v>
      </c>
      <c r="F1052" s="1">
        <v>0.375</v>
      </c>
      <c r="G1052" s="9">
        <f t="shared" si="112"/>
        <v>45068</v>
      </c>
      <c r="H1052" s="11">
        <f t="shared" si="113"/>
        <v>1.7</v>
      </c>
      <c r="I1052" s="10">
        <f t="shared" si="114"/>
        <v>1.7</v>
      </c>
      <c r="J1052" s="10">
        <f t="shared" si="115"/>
        <v>7.2</v>
      </c>
      <c r="K1052" s="10">
        <f t="shared" si="117"/>
        <v>8.9</v>
      </c>
      <c r="L1052" s="10">
        <f t="shared" si="116"/>
        <v>118.4</v>
      </c>
    </row>
    <row r="1053" spans="1:12" x14ac:dyDescent="0.25">
      <c r="A1053" s="7">
        <v>45069</v>
      </c>
      <c r="B1053" t="s">
        <v>6</v>
      </c>
      <c r="C1053" s="6" t="s">
        <v>416</v>
      </c>
      <c r="D1053" s="5" t="s">
        <v>345</v>
      </c>
      <c r="E1053" s="1">
        <v>0.375</v>
      </c>
      <c r="F1053" s="1">
        <v>0.5</v>
      </c>
      <c r="G1053" s="9">
        <f t="shared" si="112"/>
        <v>45068</v>
      </c>
      <c r="H1053" s="11">
        <f t="shared" si="113"/>
        <v>3</v>
      </c>
      <c r="I1053" s="10">
        <f t="shared" si="114"/>
        <v>4.7</v>
      </c>
      <c r="J1053" s="10">
        <f t="shared" si="115"/>
        <v>7.2</v>
      </c>
      <c r="K1053" s="10">
        <f t="shared" si="117"/>
        <v>11.9</v>
      </c>
      <c r="L1053" s="10">
        <f t="shared" si="116"/>
        <v>121.4</v>
      </c>
    </row>
    <row r="1054" spans="1:12" x14ac:dyDescent="0.25">
      <c r="A1054" s="7">
        <v>45069</v>
      </c>
      <c r="B1054" t="s">
        <v>309</v>
      </c>
      <c r="C1054" s="6">
        <v>2805</v>
      </c>
      <c r="D1054" s="5" t="s">
        <v>344</v>
      </c>
      <c r="E1054" s="1">
        <v>0.56111111111111112</v>
      </c>
      <c r="F1054" s="1">
        <v>0.67152777777777783</v>
      </c>
      <c r="G1054" s="9">
        <f t="shared" si="112"/>
        <v>45068</v>
      </c>
      <c r="H1054" s="11">
        <f t="shared" si="113"/>
        <v>2.7</v>
      </c>
      <c r="I1054" s="10">
        <f t="shared" si="114"/>
        <v>7.4</v>
      </c>
      <c r="J1054" s="10">
        <f t="shared" si="115"/>
        <v>7.2</v>
      </c>
      <c r="K1054" s="10">
        <f t="shared" si="117"/>
        <v>14.600000000000001</v>
      </c>
      <c r="L1054" s="10">
        <f t="shared" si="116"/>
        <v>124.10000000000001</v>
      </c>
    </row>
    <row r="1055" spans="1:12" x14ac:dyDescent="0.25">
      <c r="A1055" s="7">
        <v>45070</v>
      </c>
      <c r="B1055" t="s">
        <v>309</v>
      </c>
      <c r="C1055" s="6">
        <v>2805</v>
      </c>
      <c r="D1055" s="5" t="s">
        <v>346</v>
      </c>
      <c r="E1055" s="1">
        <v>0.37013888888888885</v>
      </c>
      <c r="F1055" s="1">
        <v>0.41666666666666669</v>
      </c>
      <c r="G1055" s="9">
        <f t="shared" si="112"/>
        <v>45068</v>
      </c>
      <c r="H1055" s="11">
        <f t="shared" si="113"/>
        <v>1.1000000000000001</v>
      </c>
      <c r="I1055" s="10">
        <f t="shared" si="114"/>
        <v>1.1000000000000001</v>
      </c>
      <c r="J1055" s="10">
        <f t="shared" si="115"/>
        <v>7.2</v>
      </c>
      <c r="K1055" s="10">
        <f t="shared" si="117"/>
        <v>15.7</v>
      </c>
      <c r="L1055" s="10">
        <f t="shared" si="116"/>
        <v>125.19999999999999</v>
      </c>
    </row>
    <row r="1056" spans="1:12" x14ac:dyDescent="0.25">
      <c r="A1056" s="7">
        <v>45070</v>
      </c>
      <c r="B1056" t="s">
        <v>19</v>
      </c>
      <c r="C1056" s="6">
        <v>2675</v>
      </c>
      <c r="D1056" s="5" t="s">
        <v>347</v>
      </c>
      <c r="E1056" s="1">
        <v>0.41666666666666669</v>
      </c>
      <c r="F1056" s="1">
        <v>0.45416666666666666</v>
      </c>
      <c r="G1056" s="9">
        <f t="shared" si="112"/>
        <v>45068</v>
      </c>
      <c r="H1056" s="11">
        <f t="shared" si="113"/>
        <v>0.9</v>
      </c>
      <c r="I1056" s="10">
        <f t="shared" si="114"/>
        <v>2</v>
      </c>
      <c r="J1056" s="10">
        <f t="shared" si="115"/>
        <v>7.2</v>
      </c>
      <c r="K1056" s="10">
        <f t="shared" si="117"/>
        <v>16.599999999999998</v>
      </c>
      <c r="L1056" s="10">
        <f t="shared" si="116"/>
        <v>126.10000000000001</v>
      </c>
    </row>
    <row r="1057" spans="1:12" x14ac:dyDescent="0.25">
      <c r="A1057" s="7">
        <v>45070</v>
      </c>
      <c r="B1057" t="s">
        <v>309</v>
      </c>
      <c r="C1057" s="6">
        <v>2805</v>
      </c>
      <c r="D1057" s="5" t="s">
        <v>346</v>
      </c>
      <c r="E1057" s="1">
        <v>0.45416666666666666</v>
      </c>
      <c r="F1057" s="1">
        <v>0.48194444444444445</v>
      </c>
      <c r="G1057" s="9">
        <f t="shared" si="112"/>
        <v>45068</v>
      </c>
      <c r="H1057" s="11">
        <f t="shared" si="113"/>
        <v>0.7</v>
      </c>
      <c r="I1057" s="10">
        <f t="shared" si="114"/>
        <v>2.7</v>
      </c>
      <c r="J1057" s="10">
        <f t="shared" si="115"/>
        <v>7.2</v>
      </c>
      <c r="K1057" s="10">
        <f t="shared" si="117"/>
        <v>17.3</v>
      </c>
      <c r="L1057" s="10">
        <f t="shared" si="116"/>
        <v>126.8</v>
      </c>
    </row>
    <row r="1058" spans="1:12" x14ac:dyDescent="0.25">
      <c r="A1058" s="7">
        <v>45070</v>
      </c>
      <c r="B1058" t="s">
        <v>309</v>
      </c>
      <c r="C1058" s="6">
        <v>2805</v>
      </c>
      <c r="D1058" s="5" t="s">
        <v>346</v>
      </c>
      <c r="E1058" s="1">
        <v>0.50069444444444444</v>
      </c>
      <c r="F1058" s="1">
        <v>0.54166666666666663</v>
      </c>
      <c r="G1058" s="9">
        <f t="shared" si="112"/>
        <v>45068</v>
      </c>
      <c r="H1058" s="11">
        <f t="shared" si="113"/>
        <v>1</v>
      </c>
      <c r="I1058" s="10">
        <f t="shared" si="114"/>
        <v>3.7</v>
      </c>
      <c r="J1058" s="10">
        <f t="shared" si="115"/>
        <v>7.2</v>
      </c>
      <c r="K1058" s="10">
        <f t="shared" si="117"/>
        <v>18.3</v>
      </c>
      <c r="L1058" s="10">
        <f t="shared" si="116"/>
        <v>127.8</v>
      </c>
    </row>
    <row r="1059" spans="1:12" x14ac:dyDescent="0.25">
      <c r="A1059" s="7">
        <v>45070</v>
      </c>
      <c r="B1059" t="s">
        <v>19</v>
      </c>
      <c r="C1059" s="6">
        <v>2675</v>
      </c>
      <c r="D1059" s="5" t="s">
        <v>259</v>
      </c>
      <c r="E1059" s="1">
        <v>0.54166666666666663</v>
      </c>
      <c r="F1059" s="1">
        <v>0.58333333333333337</v>
      </c>
      <c r="G1059" s="9">
        <f t="shared" si="112"/>
        <v>45068</v>
      </c>
      <c r="H1059" s="11">
        <f t="shared" si="113"/>
        <v>1</v>
      </c>
      <c r="I1059" s="10">
        <f t="shared" si="114"/>
        <v>4.7</v>
      </c>
      <c r="J1059" s="10">
        <f t="shared" si="115"/>
        <v>7.2</v>
      </c>
      <c r="K1059" s="10">
        <f t="shared" si="117"/>
        <v>19.3</v>
      </c>
      <c r="L1059" s="10">
        <f t="shared" si="116"/>
        <v>128.80000000000001</v>
      </c>
    </row>
    <row r="1060" spans="1:12" x14ac:dyDescent="0.25">
      <c r="A1060" s="7">
        <v>45070</v>
      </c>
      <c r="B1060" t="s">
        <v>309</v>
      </c>
      <c r="C1060" s="6">
        <v>2805</v>
      </c>
      <c r="D1060" s="5" t="s">
        <v>346</v>
      </c>
      <c r="E1060" s="1">
        <v>0.58333333333333337</v>
      </c>
      <c r="F1060" s="1">
        <v>0.62569444444444444</v>
      </c>
      <c r="G1060" s="9">
        <f t="shared" si="112"/>
        <v>45068</v>
      </c>
      <c r="H1060" s="11">
        <f t="shared" si="113"/>
        <v>1</v>
      </c>
      <c r="I1060" s="10">
        <f t="shared" si="114"/>
        <v>5.7</v>
      </c>
      <c r="J1060" s="10">
        <f t="shared" si="115"/>
        <v>7.2</v>
      </c>
      <c r="K1060" s="10">
        <f t="shared" si="117"/>
        <v>20.3</v>
      </c>
      <c r="L1060" s="10">
        <f t="shared" si="116"/>
        <v>129.80000000000001</v>
      </c>
    </row>
    <row r="1061" spans="1:12" x14ac:dyDescent="0.25">
      <c r="A1061" s="7">
        <v>45070</v>
      </c>
      <c r="B1061" t="s">
        <v>309</v>
      </c>
      <c r="C1061" s="6">
        <v>2805</v>
      </c>
      <c r="D1061" s="5" t="s">
        <v>348</v>
      </c>
      <c r="E1061" s="1">
        <v>0.62569444444444444</v>
      </c>
      <c r="F1061" s="1">
        <v>0.6694444444444444</v>
      </c>
      <c r="G1061" s="9">
        <f t="shared" si="112"/>
        <v>45068</v>
      </c>
      <c r="H1061" s="11">
        <f t="shared" si="113"/>
        <v>1.1000000000000001</v>
      </c>
      <c r="I1061" s="10">
        <f t="shared" si="114"/>
        <v>6.8000000000000007</v>
      </c>
      <c r="J1061" s="10">
        <f t="shared" si="115"/>
        <v>7.2</v>
      </c>
      <c r="K1061" s="10">
        <f t="shared" si="117"/>
        <v>21.400000000000002</v>
      </c>
      <c r="L1061" s="10">
        <f t="shared" si="116"/>
        <v>130.9</v>
      </c>
    </row>
    <row r="1062" spans="1:12" x14ac:dyDescent="0.25">
      <c r="A1062" s="7">
        <v>45071</v>
      </c>
      <c r="B1062" t="s">
        <v>6</v>
      </c>
      <c r="C1062" s="6" t="s">
        <v>416</v>
      </c>
      <c r="D1062" s="5" t="s">
        <v>349</v>
      </c>
      <c r="E1062" s="1">
        <v>0.33194444444444443</v>
      </c>
      <c r="F1062" s="1">
        <v>0.44861111111111113</v>
      </c>
      <c r="G1062" s="9">
        <f t="shared" si="112"/>
        <v>45068</v>
      </c>
      <c r="H1062" s="11">
        <f t="shared" si="113"/>
        <v>2.8</v>
      </c>
      <c r="I1062" s="10">
        <f t="shared" si="114"/>
        <v>2.8</v>
      </c>
      <c r="J1062" s="10">
        <f t="shared" si="115"/>
        <v>7.2</v>
      </c>
      <c r="K1062" s="10">
        <f t="shared" si="117"/>
        <v>24.2</v>
      </c>
      <c r="L1062" s="10">
        <f t="shared" si="116"/>
        <v>133.70000000000002</v>
      </c>
    </row>
    <row r="1063" spans="1:12" x14ac:dyDescent="0.25">
      <c r="A1063" s="7">
        <v>45071</v>
      </c>
      <c r="B1063" t="s">
        <v>309</v>
      </c>
      <c r="C1063" s="6">
        <v>2805</v>
      </c>
      <c r="D1063" s="5" t="s">
        <v>346</v>
      </c>
      <c r="E1063" s="1">
        <v>0.44861111111111113</v>
      </c>
      <c r="F1063" s="1">
        <v>0.4826388888888889</v>
      </c>
      <c r="G1063" s="9">
        <f t="shared" si="112"/>
        <v>45068</v>
      </c>
      <c r="H1063" s="11">
        <f t="shared" si="113"/>
        <v>0.8</v>
      </c>
      <c r="I1063" s="10">
        <f t="shared" si="114"/>
        <v>3.5999999999999996</v>
      </c>
      <c r="J1063" s="10">
        <f t="shared" si="115"/>
        <v>7.2</v>
      </c>
      <c r="K1063" s="10">
        <f t="shared" si="117"/>
        <v>25</v>
      </c>
      <c r="L1063" s="10">
        <f t="shared" si="116"/>
        <v>134.5</v>
      </c>
    </row>
    <row r="1064" spans="1:12" x14ac:dyDescent="0.25">
      <c r="A1064" s="7">
        <v>45071</v>
      </c>
      <c r="B1064" t="s">
        <v>309</v>
      </c>
      <c r="C1064" s="6">
        <v>2805</v>
      </c>
      <c r="D1064" s="5" t="s">
        <v>346</v>
      </c>
      <c r="E1064" s="1">
        <v>0.49027777777777781</v>
      </c>
      <c r="F1064" s="1">
        <v>0.50277777777777777</v>
      </c>
      <c r="G1064" s="9">
        <f t="shared" si="112"/>
        <v>45068</v>
      </c>
      <c r="H1064" s="11">
        <f t="shared" si="113"/>
        <v>0.3</v>
      </c>
      <c r="I1064" s="10">
        <f t="shared" si="114"/>
        <v>3.9</v>
      </c>
      <c r="J1064" s="10">
        <f t="shared" si="115"/>
        <v>7.2</v>
      </c>
      <c r="K1064" s="10">
        <f t="shared" si="117"/>
        <v>25.3</v>
      </c>
      <c r="L1064" s="10">
        <f t="shared" si="116"/>
        <v>134.80000000000001</v>
      </c>
    </row>
    <row r="1065" spans="1:12" x14ac:dyDescent="0.25">
      <c r="A1065" s="7">
        <v>45071</v>
      </c>
      <c r="B1065" t="s">
        <v>309</v>
      </c>
      <c r="C1065" s="6">
        <v>2805</v>
      </c>
      <c r="D1065" s="5" t="s">
        <v>346</v>
      </c>
      <c r="E1065" s="1">
        <v>0.50277777777777777</v>
      </c>
      <c r="F1065" s="1">
        <v>0.66319444444444442</v>
      </c>
      <c r="G1065" s="9">
        <f t="shared" si="112"/>
        <v>45068</v>
      </c>
      <c r="H1065" s="11">
        <f t="shared" si="113"/>
        <v>3.9</v>
      </c>
      <c r="I1065" s="10">
        <f t="shared" si="114"/>
        <v>7.8</v>
      </c>
      <c r="J1065" s="10">
        <f t="shared" si="115"/>
        <v>7.2</v>
      </c>
      <c r="K1065" s="10">
        <f t="shared" si="117"/>
        <v>29.2</v>
      </c>
      <c r="L1065" s="10">
        <f t="shared" si="116"/>
        <v>138.70000000000002</v>
      </c>
    </row>
    <row r="1066" spans="1:12" x14ac:dyDescent="0.25">
      <c r="A1066" s="7">
        <v>45072</v>
      </c>
      <c r="B1066" t="s">
        <v>309</v>
      </c>
      <c r="C1066" s="6">
        <v>2805</v>
      </c>
      <c r="D1066" s="5" t="s">
        <v>346</v>
      </c>
      <c r="E1066" s="1">
        <v>0.32430555555555557</v>
      </c>
      <c r="F1066" s="1">
        <v>0.49513888888888885</v>
      </c>
      <c r="G1066" s="9">
        <f t="shared" si="112"/>
        <v>45068</v>
      </c>
      <c r="H1066" s="11">
        <f t="shared" si="113"/>
        <v>4.0999999999999996</v>
      </c>
      <c r="I1066" s="10">
        <f t="shared" si="114"/>
        <v>4.0999999999999996</v>
      </c>
      <c r="J1066" s="10">
        <f t="shared" si="115"/>
        <v>7.2</v>
      </c>
      <c r="K1066" s="10">
        <f t="shared" si="117"/>
        <v>33.299999999999997</v>
      </c>
      <c r="L1066" s="10">
        <f t="shared" si="116"/>
        <v>142.79999999999998</v>
      </c>
    </row>
    <row r="1067" spans="1:12" x14ac:dyDescent="0.25">
      <c r="A1067" s="7">
        <v>45072</v>
      </c>
      <c r="B1067" t="s">
        <v>309</v>
      </c>
      <c r="C1067" s="6">
        <v>2805</v>
      </c>
      <c r="D1067" s="5" t="s">
        <v>346</v>
      </c>
      <c r="E1067" s="1">
        <v>0.52083333333333337</v>
      </c>
      <c r="F1067" s="1">
        <v>0.6333333333333333</v>
      </c>
      <c r="G1067" s="9">
        <f t="shared" si="112"/>
        <v>45068</v>
      </c>
      <c r="H1067" s="11">
        <f t="shared" si="113"/>
        <v>2.7</v>
      </c>
      <c r="I1067" s="10">
        <f t="shared" si="114"/>
        <v>6.8</v>
      </c>
      <c r="J1067" s="10">
        <f t="shared" si="115"/>
        <v>7.2</v>
      </c>
      <c r="K1067" s="10">
        <f t="shared" si="117"/>
        <v>36</v>
      </c>
      <c r="L1067" s="10">
        <f t="shared" si="116"/>
        <v>145.5</v>
      </c>
    </row>
    <row r="1068" spans="1:12" x14ac:dyDescent="0.25">
      <c r="A1068" s="7">
        <v>45075</v>
      </c>
      <c r="B1068" t="s">
        <v>309</v>
      </c>
      <c r="C1068" s="6">
        <v>2805</v>
      </c>
      <c r="D1068" s="5" t="s">
        <v>346</v>
      </c>
      <c r="E1068" s="1">
        <v>0.32500000000000001</v>
      </c>
      <c r="F1068" s="1">
        <v>0.41666666666666669</v>
      </c>
      <c r="G1068" s="9">
        <f t="shared" si="112"/>
        <v>45075</v>
      </c>
      <c r="H1068" s="11">
        <f t="shared" si="113"/>
        <v>2.2000000000000002</v>
      </c>
      <c r="I1068" s="10">
        <f t="shared" si="114"/>
        <v>2.2000000000000002</v>
      </c>
      <c r="J1068" s="10">
        <f t="shared" si="115"/>
        <v>7.2</v>
      </c>
      <c r="K1068" s="10">
        <f t="shared" si="117"/>
        <v>2.2000000000000002</v>
      </c>
      <c r="L1068" s="10">
        <f t="shared" si="116"/>
        <v>147.69999999999999</v>
      </c>
    </row>
    <row r="1069" spans="1:12" x14ac:dyDescent="0.25">
      <c r="A1069" s="7">
        <v>45075</v>
      </c>
      <c r="B1069" t="s">
        <v>6</v>
      </c>
      <c r="C1069" s="6" t="s">
        <v>416</v>
      </c>
      <c r="D1069" s="5" t="s">
        <v>112</v>
      </c>
      <c r="E1069" s="1">
        <v>0.41666666666666669</v>
      </c>
      <c r="F1069" s="1">
        <v>0.47638888888888892</v>
      </c>
      <c r="G1069" s="9">
        <f t="shared" ref="G1069:G1132" si="118">IF(E1069&gt;0,INT((A1069-2)/7)*7+2,"")</f>
        <v>45075</v>
      </c>
      <c r="H1069" s="11">
        <f t="shared" ref="H1069:H1132" si="119">IF(E1069&gt;0,ROUND(24*(IF(F1069&gt;0,F1069,NowTime)-E1069),1),"")</f>
        <v>1.4</v>
      </c>
      <c r="I1069" s="10">
        <f t="shared" ref="I1069:I1132" si="120">IF(H1069="",H1069,H1069+IF(A1069=A1068,_xlfn.NUMBERVALUE(I1068),0))</f>
        <v>3.6</v>
      </c>
      <c r="J1069" s="10">
        <f t="shared" ref="J1069:J1132" si="121">IF(H1069="",H1069,7.2)</f>
        <v>7.2</v>
      </c>
      <c r="K1069" s="10">
        <f t="shared" si="117"/>
        <v>3.6</v>
      </c>
      <c r="L1069" s="10">
        <f t="shared" ref="L1069:L1132" si="122">IF(H1069="",H1069,H1069+IF(MONTH(A1069)=MONTH(A1068),_xlfn.NUMBERVALUE(L1068),0))</f>
        <v>149.1</v>
      </c>
    </row>
    <row r="1070" spans="1:12" x14ac:dyDescent="0.25">
      <c r="A1070" s="7">
        <v>45075</v>
      </c>
      <c r="B1070" t="s">
        <v>309</v>
      </c>
      <c r="C1070" s="6">
        <v>2805</v>
      </c>
      <c r="D1070" s="5" t="s">
        <v>346</v>
      </c>
      <c r="E1070" s="1">
        <v>0.47638888888888892</v>
      </c>
      <c r="F1070" s="1">
        <v>0.51250000000000007</v>
      </c>
      <c r="G1070" s="9">
        <f t="shared" si="118"/>
        <v>45075</v>
      </c>
      <c r="H1070" s="11">
        <f t="shared" si="119"/>
        <v>0.9</v>
      </c>
      <c r="I1070" s="10">
        <f t="shared" si="120"/>
        <v>4.5</v>
      </c>
      <c r="J1070" s="10">
        <f t="shared" si="121"/>
        <v>7.2</v>
      </c>
      <c r="K1070" s="10">
        <f t="shared" si="117"/>
        <v>4.5</v>
      </c>
      <c r="L1070" s="10">
        <f t="shared" si="122"/>
        <v>150</v>
      </c>
    </row>
    <row r="1071" spans="1:12" x14ac:dyDescent="0.25">
      <c r="A1071" s="7">
        <v>45075</v>
      </c>
      <c r="B1071" t="s">
        <v>309</v>
      </c>
      <c r="C1071" s="6">
        <v>2805</v>
      </c>
      <c r="D1071" s="5" t="s">
        <v>346</v>
      </c>
      <c r="E1071" s="1">
        <v>0.52708333333333335</v>
      </c>
      <c r="F1071" s="1">
        <v>0.68055555555555547</v>
      </c>
      <c r="G1071" s="9">
        <f t="shared" si="118"/>
        <v>45075</v>
      </c>
      <c r="H1071" s="11">
        <f t="shared" si="119"/>
        <v>3.7</v>
      </c>
      <c r="I1071" s="10">
        <f t="shared" si="120"/>
        <v>8.1999999999999993</v>
      </c>
      <c r="J1071" s="10">
        <f t="shared" si="121"/>
        <v>7.2</v>
      </c>
      <c r="K1071" s="10">
        <f t="shared" si="117"/>
        <v>8.1999999999999993</v>
      </c>
      <c r="L1071" s="10">
        <f t="shared" si="122"/>
        <v>153.69999999999999</v>
      </c>
    </row>
    <row r="1072" spans="1:12" x14ac:dyDescent="0.25">
      <c r="A1072" s="7">
        <v>45076</v>
      </c>
      <c r="B1072" t="s">
        <v>309</v>
      </c>
      <c r="C1072" s="6">
        <v>2805</v>
      </c>
      <c r="D1072" s="5" t="s">
        <v>346</v>
      </c>
      <c r="E1072" s="1">
        <v>0.30277777777777776</v>
      </c>
      <c r="F1072" s="1">
        <v>0.47986111111111113</v>
      </c>
      <c r="G1072" s="9">
        <f t="shared" si="118"/>
        <v>45075</v>
      </c>
      <c r="H1072" s="11">
        <f t="shared" si="119"/>
        <v>4.3</v>
      </c>
      <c r="I1072" s="10">
        <f t="shared" si="120"/>
        <v>4.3</v>
      </c>
      <c r="J1072" s="10">
        <f t="shared" si="121"/>
        <v>7.2</v>
      </c>
      <c r="K1072" s="10">
        <f t="shared" si="117"/>
        <v>12.5</v>
      </c>
      <c r="L1072" s="10">
        <f t="shared" si="122"/>
        <v>158</v>
      </c>
    </row>
    <row r="1073" spans="1:12" x14ac:dyDescent="0.25">
      <c r="A1073" s="7">
        <v>45076</v>
      </c>
      <c r="B1073" t="s">
        <v>309</v>
      </c>
      <c r="C1073" s="6">
        <v>2805</v>
      </c>
      <c r="D1073" s="5" t="s">
        <v>346</v>
      </c>
      <c r="E1073" s="1">
        <v>0.49305555555555558</v>
      </c>
      <c r="F1073" s="1">
        <v>0.63055555555555554</v>
      </c>
      <c r="G1073" s="9">
        <f t="shared" si="118"/>
        <v>45075</v>
      </c>
      <c r="H1073" s="11">
        <f t="shared" si="119"/>
        <v>3.3</v>
      </c>
      <c r="I1073" s="10">
        <f t="shared" si="120"/>
        <v>7.6</v>
      </c>
      <c r="J1073" s="10">
        <f t="shared" si="121"/>
        <v>7.2</v>
      </c>
      <c r="K1073" s="10">
        <f t="shared" si="117"/>
        <v>15.8</v>
      </c>
      <c r="L1073" s="10">
        <f t="shared" si="122"/>
        <v>161.30000000000001</v>
      </c>
    </row>
    <row r="1074" spans="1:12" x14ac:dyDescent="0.25">
      <c r="A1074" s="7">
        <v>45077</v>
      </c>
      <c r="B1074" t="s">
        <v>309</v>
      </c>
      <c r="C1074" s="6">
        <v>2805</v>
      </c>
      <c r="D1074" s="5" t="s">
        <v>346</v>
      </c>
      <c r="E1074" s="1">
        <v>0.3520833333333333</v>
      </c>
      <c r="F1074" s="1">
        <v>0.50416666666666665</v>
      </c>
      <c r="G1074" s="9">
        <f t="shared" si="118"/>
        <v>45075</v>
      </c>
      <c r="H1074" s="11">
        <f t="shared" si="119"/>
        <v>3.7</v>
      </c>
      <c r="I1074" s="10">
        <f t="shared" si="120"/>
        <v>3.7</v>
      </c>
      <c r="J1074" s="10">
        <f t="shared" si="121"/>
        <v>7.2</v>
      </c>
      <c r="K1074" s="10">
        <f t="shared" si="117"/>
        <v>19.5</v>
      </c>
      <c r="L1074" s="10">
        <f t="shared" si="122"/>
        <v>165</v>
      </c>
    </row>
    <row r="1075" spans="1:12" x14ac:dyDescent="0.25">
      <c r="A1075" s="7">
        <v>45077</v>
      </c>
      <c r="B1075" t="s">
        <v>309</v>
      </c>
      <c r="C1075" s="6">
        <v>2805</v>
      </c>
      <c r="D1075" s="5" t="s">
        <v>346</v>
      </c>
      <c r="E1075" s="1">
        <v>0.52916666666666667</v>
      </c>
      <c r="F1075" s="1">
        <v>0.65</v>
      </c>
      <c r="G1075" s="9">
        <f t="shared" si="118"/>
        <v>45075</v>
      </c>
      <c r="H1075" s="11">
        <f t="shared" si="119"/>
        <v>2.9</v>
      </c>
      <c r="I1075" s="10">
        <f t="shared" si="120"/>
        <v>6.6</v>
      </c>
      <c r="J1075" s="10">
        <f t="shared" si="121"/>
        <v>7.2</v>
      </c>
      <c r="K1075" s="10">
        <f t="shared" si="117"/>
        <v>22.4</v>
      </c>
      <c r="L1075" s="10">
        <f t="shared" si="122"/>
        <v>167.9</v>
      </c>
    </row>
    <row r="1076" spans="1:12" x14ac:dyDescent="0.25">
      <c r="A1076" s="7">
        <v>45078</v>
      </c>
      <c r="B1076" t="s">
        <v>309</v>
      </c>
      <c r="C1076" s="6">
        <v>2805</v>
      </c>
      <c r="D1076" s="5" t="s">
        <v>346</v>
      </c>
      <c r="E1076" s="1">
        <v>0.31388888888888888</v>
      </c>
      <c r="F1076" s="1">
        <v>0.41875000000000001</v>
      </c>
      <c r="G1076" s="9">
        <f t="shared" si="118"/>
        <v>45075</v>
      </c>
      <c r="H1076" s="11">
        <f t="shared" si="119"/>
        <v>2.5</v>
      </c>
      <c r="I1076" s="10">
        <f t="shared" si="120"/>
        <v>2.5</v>
      </c>
      <c r="J1076" s="10">
        <f t="shared" si="121"/>
        <v>7.2</v>
      </c>
      <c r="K1076" s="10">
        <f t="shared" si="117"/>
        <v>24.9</v>
      </c>
      <c r="L1076" s="10">
        <f t="shared" si="122"/>
        <v>2.5</v>
      </c>
    </row>
    <row r="1077" spans="1:12" x14ac:dyDescent="0.25">
      <c r="A1077" s="7">
        <v>45078</v>
      </c>
      <c r="B1077" t="s">
        <v>6</v>
      </c>
      <c r="C1077" s="6" t="s">
        <v>416</v>
      </c>
      <c r="D1077" s="5" t="s">
        <v>206</v>
      </c>
      <c r="E1077" s="1">
        <v>0.41875000000000001</v>
      </c>
      <c r="F1077" s="1">
        <v>0.44444444444444442</v>
      </c>
      <c r="G1077" s="9">
        <f t="shared" si="118"/>
        <v>45075</v>
      </c>
      <c r="H1077" s="11">
        <f t="shared" si="119"/>
        <v>0.6</v>
      </c>
      <c r="I1077" s="10">
        <f t="shared" si="120"/>
        <v>3.1</v>
      </c>
      <c r="J1077" s="10">
        <f t="shared" si="121"/>
        <v>7.2</v>
      </c>
      <c r="K1077" s="10">
        <f t="shared" si="117"/>
        <v>25.5</v>
      </c>
      <c r="L1077" s="10">
        <f t="shared" si="122"/>
        <v>3.1</v>
      </c>
    </row>
    <row r="1078" spans="1:12" x14ac:dyDescent="0.25">
      <c r="A1078" s="7">
        <v>45078</v>
      </c>
      <c r="B1078" t="s">
        <v>6</v>
      </c>
      <c r="C1078" s="6" t="s">
        <v>416</v>
      </c>
      <c r="D1078" s="5" t="s">
        <v>350</v>
      </c>
      <c r="E1078" s="1">
        <v>0.44444444444444442</v>
      </c>
      <c r="F1078" s="1">
        <v>0.50069444444444444</v>
      </c>
      <c r="G1078" s="9">
        <f t="shared" si="118"/>
        <v>45075</v>
      </c>
      <c r="H1078" s="11">
        <f t="shared" si="119"/>
        <v>1.4</v>
      </c>
      <c r="I1078" s="10">
        <f t="shared" si="120"/>
        <v>4.5</v>
      </c>
      <c r="J1078" s="10">
        <f t="shared" si="121"/>
        <v>7.2</v>
      </c>
      <c r="K1078" s="10">
        <f t="shared" si="117"/>
        <v>26.9</v>
      </c>
      <c r="L1078" s="10">
        <f t="shared" si="122"/>
        <v>4.5</v>
      </c>
    </row>
    <row r="1079" spans="1:12" x14ac:dyDescent="0.25">
      <c r="A1079" s="7">
        <v>45078</v>
      </c>
      <c r="B1079" t="s">
        <v>309</v>
      </c>
      <c r="C1079" s="6">
        <v>2805</v>
      </c>
      <c r="D1079" s="5" t="s">
        <v>353</v>
      </c>
      <c r="E1079" s="1">
        <v>0.52083333333333337</v>
      </c>
      <c r="F1079" s="1">
        <v>0.58333333333333337</v>
      </c>
      <c r="G1079" s="9">
        <f t="shared" si="118"/>
        <v>45075</v>
      </c>
      <c r="H1079" s="11">
        <f t="shared" si="119"/>
        <v>1.5</v>
      </c>
      <c r="I1079" s="10">
        <f t="shared" si="120"/>
        <v>6</v>
      </c>
      <c r="J1079" s="10">
        <f t="shared" si="121"/>
        <v>7.2</v>
      </c>
      <c r="K1079" s="10">
        <f t="shared" si="117"/>
        <v>28.4</v>
      </c>
      <c r="L1079" s="10">
        <f t="shared" si="122"/>
        <v>6</v>
      </c>
    </row>
    <row r="1080" spans="1:12" x14ac:dyDescent="0.25">
      <c r="A1080" s="7">
        <v>45078</v>
      </c>
      <c r="B1080" t="s">
        <v>6</v>
      </c>
      <c r="C1080" s="6" t="s">
        <v>416</v>
      </c>
      <c r="D1080" s="5" t="s">
        <v>335</v>
      </c>
      <c r="E1080" s="1">
        <v>0.58333333333333337</v>
      </c>
      <c r="F1080" s="1">
        <v>0.62638888888888888</v>
      </c>
      <c r="G1080" s="9">
        <f t="shared" si="118"/>
        <v>45075</v>
      </c>
      <c r="H1080" s="11">
        <f t="shared" si="119"/>
        <v>1</v>
      </c>
      <c r="I1080" s="10">
        <f t="shared" si="120"/>
        <v>7</v>
      </c>
      <c r="J1080" s="10">
        <f t="shared" si="121"/>
        <v>7.2</v>
      </c>
      <c r="K1080" s="10">
        <f t="shared" si="117"/>
        <v>29.4</v>
      </c>
      <c r="L1080" s="10">
        <f t="shared" si="122"/>
        <v>7</v>
      </c>
    </row>
    <row r="1081" spans="1:12" x14ac:dyDescent="0.25">
      <c r="A1081" s="7">
        <v>45078</v>
      </c>
      <c r="B1081" t="s">
        <v>309</v>
      </c>
      <c r="C1081" s="6">
        <v>2805</v>
      </c>
      <c r="D1081" s="5" t="s">
        <v>353</v>
      </c>
      <c r="E1081" s="1">
        <v>0.62638888888888888</v>
      </c>
      <c r="F1081" s="1">
        <v>0.6694444444444444</v>
      </c>
      <c r="G1081" s="9">
        <f t="shared" si="118"/>
        <v>45075</v>
      </c>
      <c r="H1081" s="11">
        <f t="shared" si="119"/>
        <v>1</v>
      </c>
      <c r="I1081" s="10">
        <f t="shared" si="120"/>
        <v>8</v>
      </c>
      <c r="J1081" s="10">
        <f t="shared" si="121"/>
        <v>7.2</v>
      </c>
      <c r="K1081" s="10">
        <f t="shared" si="117"/>
        <v>30.4</v>
      </c>
      <c r="L1081" s="10">
        <f t="shared" si="122"/>
        <v>8</v>
      </c>
    </row>
    <row r="1082" spans="1:12" x14ac:dyDescent="0.25">
      <c r="A1082" s="7">
        <v>45079</v>
      </c>
      <c r="B1082" t="s">
        <v>309</v>
      </c>
      <c r="C1082" s="6">
        <v>2805</v>
      </c>
      <c r="D1082" s="5" t="s">
        <v>353</v>
      </c>
      <c r="E1082" s="1">
        <v>0.33611111111111108</v>
      </c>
      <c r="F1082" s="1">
        <v>0.52083333333333337</v>
      </c>
      <c r="G1082" s="9">
        <f t="shared" si="118"/>
        <v>45075</v>
      </c>
      <c r="H1082" s="11">
        <f t="shared" si="119"/>
        <v>4.4000000000000004</v>
      </c>
      <c r="I1082" s="10">
        <f t="shared" si="120"/>
        <v>4.4000000000000004</v>
      </c>
      <c r="J1082" s="10">
        <f t="shared" si="121"/>
        <v>7.2</v>
      </c>
      <c r="K1082" s="10">
        <f t="shared" si="117"/>
        <v>34.799999999999997</v>
      </c>
      <c r="L1082" s="10">
        <f t="shared" si="122"/>
        <v>12.4</v>
      </c>
    </row>
    <row r="1083" spans="1:12" x14ac:dyDescent="0.25">
      <c r="A1083" s="7">
        <v>45079</v>
      </c>
      <c r="B1083" t="s">
        <v>6</v>
      </c>
      <c r="C1083" s="6" t="s">
        <v>416</v>
      </c>
      <c r="D1083" s="5" t="s">
        <v>351</v>
      </c>
      <c r="E1083" s="1">
        <v>0.54166666666666663</v>
      </c>
      <c r="F1083" s="1">
        <v>0.58333333333333337</v>
      </c>
      <c r="G1083" s="9">
        <f t="shared" si="118"/>
        <v>45075</v>
      </c>
      <c r="H1083" s="11">
        <f t="shared" si="119"/>
        <v>1</v>
      </c>
      <c r="I1083" s="10">
        <f t="shared" si="120"/>
        <v>5.4</v>
      </c>
      <c r="J1083" s="10">
        <f t="shared" si="121"/>
        <v>7.2</v>
      </c>
      <c r="K1083" s="10">
        <f t="shared" si="117"/>
        <v>35.799999999999997</v>
      </c>
      <c r="L1083" s="10">
        <f t="shared" si="122"/>
        <v>13.4</v>
      </c>
    </row>
    <row r="1084" spans="1:12" x14ac:dyDescent="0.25">
      <c r="A1084" s="7">
        <v>45079</v>
      </c>
      <c r="B1084" t="s">
        <v>309</v>
      </c>
      <c r="C1084" s="6">
        <v>2805</v>
      </c>
      <c r="D1084" s="5" t="s">
        <v>353</v>
      </c>
      <c r="E1084" s="1">
        <v>0.58333333333333337</v>
      </c>
      <c r="F1084" s="1">
        <v>0.625</v>
      </c>
      <c r="G1084" s="9">
        <f t="shared" si="118"/>
        <v>45075</v>
      </c>
      <c r="H1084" s="11">
        <f t="shared" si="119"/>
        <v>1</v>
      </c>
      <c r="I1084" s="10">
        <f t="shared" si="120"/>
        <v>6.4</v>
      </c>
      <c r="J1084" s="10">
        <f t="shared" si="121"/>
        <v>7.2</v>
      </c>
      <c r="K1084" s="10">
        <f t="shared" si="117"/>
        <v>36.799999999999997</v>
      </c>
      <c r="L1084" s="10">
        <f t="shared" si="122"/>
        <v>14.4</v>
      </c>
    </row>
    <row r="1085" spans="1:12" x14ac:dyDescent="0.25">
      <c r="A1085" s="7">
        <v>45082</v>
      </c>
      <c r="B1085" t="s">
        <v>7</v>
      </c>
      <c r="C1085" s="6" t="s">
        <v>22</v>
      </c>
      <c r="D1085" s="2" t="s">
        <v>352</v>
      </c>
      <c r="E1085" s="1">
        <v>0.40972222222222227</v>
      </c>
      <c r="F1085" s="1">
        <v>0.70833333333333337</v>
      </c>
      <c r="G1085" s="9">
        <f t="shared" si="118"/>
        <v>45082</v>
      </c>
      <c r="H1085" s="11">
        <f t="shared" si="119"/>
        <v>7.2</v>
      </c>
      <c r="I1085" s="10">
        <f t="shared" si="120"/>
        <v>7.2</v>
      </c>
      <c r="J1085" s="10">
        <f t="shared" si="121"/>
        <v>7.2</v>
      </c>
      <c r="K1085" s="10">
        <f t="shared" si="117"/>
        <v>7.2</v>
      </c>
      <c r="L1085" s="10">
        <f t="shared" si="122"/>
        <v>21.6</v>
      </c>
    </row>
    <row r="1086" spans="1:12" x14ac:dyDescent="0.25">
      <c r="A1086" s="7">
        <v>45083</v>
      </c>
      <c r="B1086" t="s">
        <v>309</v>
      </c>
      <c r="C1086" s="6">
        <v>2805</v>
      </c>
      <c r="D1086" s="5" t="s">
        <v>353</v>
      </c>
      <c r="E1086" s="1">
        <v>0.32361111111111113</v>
      </c>
      <c r="F1086" s="1">
        <v>0.47152777777777777</v>
      </c>
      <c r="G1086" s="9">
        <f t="shared" si="118"/>
        <v>45082</v>
      </c>
      <c r="H1086" s="11">
        <f t="shared" si="119"/>
        <v>3.6</v>
      </c>
      <c r="I1086" s="10">
        <f t="shared" si="120"/>
        <v>3.6</v>
      </c>
      <c r="J1086" s="10">
        <f t="shared" si="121"/>
        <v>7.2</v>
      </c>
      <c r="K1086" s="10">
        <f t="shared" si="117"/>
        <v>10.8</v>
      </c>
      <c r="L1086" s="10">
        <f t="shared" si="122"/>
        <v>25.200000000000003</v>
      </c>
    </row>
    <row r="1087" spans="1:12" x14ac:dyDescent="0.25">
      <c r="A1087" s="7">
        <v>45083</v>
      </c>
      <c r="B1087" t="s">
        <v>309</v>
      </c>
      <c r="C1087" s="6">
        <v>2805</v>
      </c>
      <c r="D1087" s="5" t="s">
        <v>353</v>
      </c>
      <c r="E1087" s="1">
        <v>0.48541666666666666</v>
      </c>
      <c r="F1087" s="1">
        <v>0.58333333333333337</v>
      </c>
      <c r="G1087" s="9">
        <f t="shared" si="118"/>
        <v>45082</v>
      </c>
      <c r="H1087" s="11">
        <f t="shared" si="119"/>
        <v>2.4</v>
      </c>
      <c r="I1087" s="10">
        <f t="shared" si="120"/>
        <v>6</v>
      </c>
      <c r="J1087" s="10">
        <f t="shared" si="121"/>
        <v>7.2</v>
      </c>
      <c r="K1087" s="10">
        <f t="shared" si="117"/>
        <v>13.200000000000001</v>
      </c>
      <c r="L1087" s="10">
        <f t="shared" si="122"/>
        <v>27.599999999999998</v>
      </c>
    </row>
    <row r="1088" spans="1:12" x14ac:dyDescent="0.25">
      <c r="A1088" s="7">
        <v>45083</v>
      </c>
      <c r="B1088" t="s">
        <v>6</v>
      </c>
      <c r="C1088" s="6" t="s">
        <v>416</v>
      </c>
      <c r="D1088" s="5" t="s">
        <v>354</v>
      </c>
      <c r="E1088" s="1">
        <v>0.58333333333333337</v>
      </c>
      <c r="F1088" s="1">
        <v>0.6958333333333333</v>
      </c>
      <c r="G1088" s="9">
        <f t="shared" si="118"/>
        <v>45082</v>
      </c>
      <c r="H1088" s="11">
        <f t="shared" si="119"/>
        <v>2.7</v>
      </c>
      <c r="I1088" s="10">
        <f t="shared" si="120"/>
        <v>8.6999999999999993</v>
      </c>
      <c r="J1088" s="10">
        <f t="shared" si="121"/>
        <v>7.2</v>
      </c>
      <c r="K1088" s="10">
        <f t="shared" si="117"/>
        <v>15.899999999999999</v>
      </c>
      <c r="L1088" s="10">
        <f t="shared" si="122"/>
        <v>30.3</v>
      </c>
    </row>
    <row r="1089" spans="1:12" x14ac:dyDescent="0.25">
      <c r="A1089" s="7">
        <v>45084</v>
      </c>
      <c r="B1089" t="s">
        <v>309</v>
      </c>
      <c r="C1089" s="6">
        <v>2805</v>
      </c>
      <c r="D1089" s="5" t="s">
        <v>353</v>
      </c>
      <c r="E1089" s="1">
        <v>0.33611111111111108</v>
      </c>
      <c r="F1089" s="1">
        <v>0.54027777777777775</v>
      </c>
      <c r="G1089" s="9">
        <f t="shared" si="118"/>
        <v>45082</v>
      </c>
      <c r="H1089" s="11">
        <f t="shared" si="119"/>
        <v>4.9000000000000004</v>
      </c>
      <c r="I1089" s="10">
        <f t="shared" si="120"/>
        <v>4.9000000000000004</v>
      </c>
      <c r="J1089" s="10">
        <f t="shared" si="121"/>
        <v>7.2</v>
      </c>
      <c r="K1089" s="10">
        <f t="shared" si="117"/>
        <v>20.8</v>
      </c>
      <c r="L1089" s="10">
        <f t="shared" si="122"/>
        <v>35.200000000000003</v>
      </c>
    </row>
    <row r="1090" spans="1:12" x14ac:dyDescent="0.25">
      <c r="A1090" s="7">
        <v>45084</v>
      </c>
      <c r="B1090" t="s">
        <v>6</v>
      </c>
      <c r="C1090" s="6" t="s">
        <v>416</v>
      </c>
      <c r="D1090" s="5" t="s">
        <v>112</v>
      </c>
      <c r="E1090" s="1">
        <v>0.54027777777777775</v>
      </c>
      <c r="F1090" s="1">
        <v>0.60347222222222219</v>
      </c>
      <c r="G1090" s="9">
        <f t="shared" si="118"/>
        <v>45082</v>
      </c>
      <c r="H1090" s="11">
        <f t="shared" si="119"/>
        <v>1.5</v>
      </c>
      <c r="I1090" s="10">
        <f t="shared" si="120"/>
        <v>6.4</v>
      </c>
      <c r="J1090" s="10">
        <f t="shared" si="121"/>
        <v>7.2</v>
      </c>
      <c r="K1090" s="10">
        <f t="shared" si="117"/>
        <v>22.3</v>
      </c>
      <c r="L1090" s="10">
        <f t="shared" si="122"/>
        <v>36.700000000000003</v>
      </c>
    </row>
    <row r="1091" spans="1:12" x14ac:dyDescent="0.25">
      <c r="A1091" s="7">
        <v>45085</v>
      </c>
      <c r="B1091" t="s">
        <v>309</v>
      </c>
      <c r="C1091" s="6">
        <v>2805</v>
      </c>
      <c r="D1091" s="5" t="s">
        <v>353</v>
      </c>
      <c r="E1091" s="1">
        <v>0.35416666666666669</v>
      </c>
      <c r="F1091" s="1">
        <v>0.49027777777777781</v>
      </c>
      <c r="G1091" s="9">
        <f t="shared" si="118"/>
        <v>45082</v>
      </c>
      <c r="H1091" s="11">
        <f t="shared" si="119"/>
        <v>3.3</v>
      </c>
      <c r="I1091" s="10">
        <f t="shared" si="120"/>
        <v>3.3</v>
      </c>
      <c r="J1091" s="10">
        <f t="shared" si="121"/>
        <v>7.2</v>
      </c>
      <c r="K1091" s="10">
        <f t="shared" ref="K1091:K1154" si="123">IF(H1091="",H1091,H1091+IF(G1091=G1090,_xlfn.NUMBERVALUE(K1090),0))</f>
        <v>25.6</v>
      </c>
      <c r="L1091" s="10">
        <f t="shared" si="122"/>
        <v>40</v>
      </c>
    </row>
    <row r="1092" spans="1:12" x14ac:dyDescent="0.25">
      <c r="A1092" s="7">
        <v>45085</v>
      </c>
      <c r="B1092" t="s">
        <v>309</v>
      </c>
      <c r="C1092" s="6">
        <v>2805</v>
      </c>
      <c r="D1092" s="5" t="s">
        <v>353</v>
      </c>
      <c r="E1092" s="1">
        <v>0.51041666666666663</v>
      </c>
      <c r="F1092" s="1">
        <v>0.63541666666666663</v>
      </c>
      <c r="G1092" s="9">
        <f t="shared" si="118"/>
        <v>45082</v>
      </c>
      <c r="H1092" s="11">
        <f t="shared" si="119"/>
        <v>3</v>
      </c>
      <c r="I1092" s="10">
        <f t="shared" si="120"/>
        <v>6.3</v>
      </c>
      <c r="J1092" s="10">
        <f t="shared" si="121"/>
        <v>7.2</v>
      </c>
      <c r="K1092" s="10">
        <f t="shared" si="123"/>
        <v>28.6</v>
      </c>
      <c r="L1092" s="10">
        <f t="shared" si="122"/>
        <v>43</v>
      </c>
    </row>
    <row r="1093" spans="1:12" x14ac:dyDescent="0.25">
      <c r="A1093" s="7">
        <v>45086</v>
      </c>
      <c r="B1093" t="s">
        <v>309</v>
      </c>
      <c r="C1093" s="6">
        <v>2805</v>
      </c>
      <c r="D1093" s="1" t="s">
        <v>355</v>
      </c>
      <c r="E1093" s="1">
        <v>0.35694444444444445</v>
      </c>
      <c r="F1093" s="1">
        <v>0.54652777777777783</v>
      </c>
      <c r="G1093" s="9">
        <f t="shared" si="118"/>
        <v>45082</v>
      </c>
      <c r="H1093" s="11">
        <f t="shared" si="119"/>
        <v>4.5999999999999996</v>
      </c>
      <c r="I1093" s="10">
        <f t="shared" si="120"/>
        <v>4.5999999999999996</v>
      </c>
      <c r="J1093" s="10">
        <f t="shared" si="121"/>
        <v>7.2</v>
      </c>
      <c r="K1093" s="10">
        <f t="shared" si="123"/>
        <v>33.200000000000003</v>
      </c>
      <c r="L1093" s="10">
        <f t="shared" si="122"/>
        <v>47.6</v>
      </c>
    </row>
    <row r="1094" spans="1:12" x14ac:dyDescent="0.25">
      <c r="A1094" s="7">
        <v>45086</v>
      </c>
      <c r="B1094" t="s">
        <v>309</v>
      </c>
      <c r="C1094" s="6">
        <v>2805</v>
      </c>
      <c r="D1094" s="1" t="s">
        <v>355</v>
      </c>
      <c r="E1094" s="1">
        <v>0.5756944444444444</v>
      </c>
      <c r="F1094" s="1">
        <v>0.64097222222222217</v>
      </c>
      <c r="G1094" s="9">
        <f t="shared" si="118"/>
        <v>45082</v>
      </c>
      <c r="H1094" s="11">
        <f t="shared" si="119"/>
        <v>1.6</v>
      </c>
      <c r="I1094" s="10">
        <f t="shared" si="120"/>
        <v>6.1999999999999993</v>
      </c>
      <c r="J1094" s="10">
        <f t="shared" si="121"/>
        <v>7.2</v>
      </c>
      <c r="K1094" s="10">
        <f t="shared" si="123"/>
        <v>34.800000000000004</v>
      </c>
      <c r="L1094" s="10">
        <f t="shared" si="122"/>
        <v>49.2</v>
      </c>
    </row>
    <row r="1095" spans="1:12" x14ac:dyDescent="0.25">
      <c r="A1095" s="7">
        <v>45086</v>
      </c>
      <c r="B1095" t="s">
        <v>6</v>
      </c>
      <c r="C1095" s="6" t="s">
        <v>416</v>
      </c>
      <c r="D1095" s="5" t="s">
        <v>356</v>
      </c>
      <c r="E1095" s="1">
        <v>0.64097222222222217</v>
      </c>
      <c r="F1095" s="1">
        <v>0.67638888888888893</v>
      </c>
      <c r="G1095" s="9">
        <f t="shared" si="118"/>
        <v>45082</v>
      </c>
      <c r="H1095" s="11">
        <f t="shared" si="119"/>
        <v>0.9</v>
      </c>
      <c r="I1095" s="10">
        <f t="shared" si="120"/>
        <v>7.1000000000000005</v>
      </c>
      <c r="J1095" s="10">
        <f t="shared" si="121"/>
        <v>7.2</v>
      </c>
      <c r="K1095" s="10">
        <f t="shared" si="123"/>
        <v>35.699999999999996</v>
      </c>
      <c r="L1095" s="10">
        <f t="shared" si="122"/>
        <v>50.1</v>
      </c>
    </row>
    <row r="1096" spans="1:12" x14ac:dyDescent="0.25">
      <c r="A1096" s="7">
        <v>45089</v>
      </c>
      <c r="B1096" t="s">
        <v>309</v>
      </c>
      <c r="C1096" s="6">
        <v>2805</v>
      </c>
      <c r="D1096" s="1" t="s">
        <v>355</v>
      </c>
      <c r="E1096" s="1">
        <v>0.32083333333333336</v>
      </c>
      <c r="F1096" s="1">
        <v>0.41666666666666669</v>
      </c>
      <c r="G1096" s="9">
        <f t="shared" si="118"/>
        <v>45089</v>
      </c>
      <c r="H1096" s="11">
        <f t="shared" si="119"/>
        <v>2.2999999999999998</v>
      </c>
      <c r="I1096" s="10">
        <f t="shared" si="120"/>
        <v>2.2999999999999998</v>
      </c>
      <c r="J1096" s="10">
        <f t="shared" si="121"/>
        <v>7.2</v>
      </c>
      <c r="K1096" s="10">
        <f t="shared" si="123"/>
        <v>2.2999999999999998</v>
      </c>
      <c r="L1096" s="10">
        <f t="shared" si="122"/>
        <v>52.4</v>
      </c>
    </row>
    <row r="1097" spans="1:12" x14ac:dyDescent="0.25">
      <c r="A1097" s="7">
        <v>45089</v>
      </c>
      <c r="B1097" t="s">
        <v>6</v>
      </c>
      <c r="C1097" s="6" t="s">
        <v>416</v>
      </c>
      <c r="D1097" s="5" t="s">
        <v>112</v>
      </c>
      <c r="E1097" s="1">
        <v>0.41666666666666669</v>
      </c>
      <c r="F1097" s="1">
        <v>0.45624999999999999</v>
      </c>
      <c r="G1097" s="9">
        <f t="shared" si="118"/>
        <v>45089</v>
      </c>
      <c r="H1097" s="11">
        <f t="shared" si="119"/>
        <v>0.9</v>
      </c>
      <c r="I1097" s="10">
        <f t="shared" si="120"/>
        <v>3.1999999999999997</v>
      </c>
      <c r="J1097" s="10">
        <f t="shared" si="121"/>
        <v>7.2</v>
      </c>
      <c r="K1097" s="10">
        <f t="shared" si="123"/>
        <v>3.1999999999999997</v>
      </c>
      <c r="L1097" s="10">
        <f t="shared" si="122"/>
        <v>53.3</v>
      </c>
    </row>
    <row r="1098" spans="1:12" x14ac:dyDescent="0.25">
      <c r="A1098" s="7">
        <v>45089</v>
      </c>
      <c r="B1098" t="s">
        <v>309</v>
      </c>
      <c r="C1098" s="6">
        <v>2805</v>
      </c>
      <c r="D1098" s="1" t="s">
        <v>357</v>
      </c>
      <c r="E1098" s="1">
        <v>0.45624999999999999</v>
      </c>
      <c r="F1098" s="1">
        <v>0.47013888888888888</v>
      </c>
      <c r="G1098" s="9">
        <f t="shared" si="118"/>
        <v>45089</v>
      </c>
      <c r="H1098" s="11">
        <f t="shared" si="119"/>
        <v>0.3</v>
      </c>
      <c r="I1098" s="10">
        <f t="shared" si="120"/>
        <v>3.5</v>
      </c>
      <c r="J1098" s="10">
        <f t="shared" si="121"/>
        <v>7.2</v>
      </c>
      <c r="K1098" s="10">
        <f t="shared" si="123"/>
        <v>3.5</v>
      </c>
      <c r="L1098" s="10">
        <f t="shared" si="122"/>
        <v>53.599999999999994</v>
      </c>
    </row>
    <row r="1099" spans="1:12" x14ac:dyDescent="0.25">
      <c r="A1099" s="7">
        <v>45089</v>
      </c>
      <c r="B1099" t="s">
        <v>309</v>
      </c>
      <c r="C1099" s="6">
        <v>2805</v>
      </c>
      <c r="D1099" s="1" t="s">
        <v>357</v>
      </c>
      <c r="E1099" s="1">
        <v>0.49722222222222223</v>
      </c>
      <c r="F1099" s="1">
        <v>0.55694444444444446</v>
      </c>
      <c r="G1099" s="9">
        <f t="shared" si="118"/>
        <v>45089</v>
      </c>
      <c r="H1099" s="11">
        <f t="shared" si="119"/>
        <v>1.4</v>
      </c>
      <c r="I1099" s="10">
        <f t="shared" si="120"/>
        <v>4.9000000000000004</v>
      </c>
      <c r="J1099" s="10">
        <f t="shared" si="121"/>
        <v>7.2</v>
      </c>
      <c r="K1099" s="10">
        <f t="shared" si="123"/>
        <v>4.9000000000000004</v>
      </c>
      <c r="L1099" s="10">
        <f t="shared" si="122"/>
        <v>55</v>
      </c>
    </row>
    <row r="1100" spans="1:12" x14ac:dyDescent="0.25">
      <c r="A1100" s="7">
        <v>45089</v>
      </c>
      <c r="B1100" t="s">
        <v>6</v>
      </c>
      <c r="C1100" s="6" t="s">
        <v>416</v>
      </c>
      <c r="D1100" s="1" t="s">
        <v>364</v>
      </c>
      <c r="E1100" s="1">
        <v>0.59583333333333333</v>
      </c>
      <c r="F1100" s="1">
        <v>0.6743055555555556</v>
      </c>
      <c r="G1100" s="9">
        <f t="shared" si="118"/>
        <v>45089</v>
      </c>
      <c r="H1100" s="11">
        <f t="shared" si="119"/>
        <v>1.9</v>
      </c>
      <c r="I1100" s="10">
        <f t="shared" si="120"/>
        <v>6.8000000000000007</v>
      </c>
      <c r="J1100" s="10">
        <f t="shared" si="121"/>
        <v>7.2</v>
      </c>
      <c r="K1100" s="10">
        <f t="shared" si="123"/>
        <v>6.8000000000000007</v>
      </c>
      <c r="L1100" s="10">
        <f t="shared" si="122"/>
        <v>56.9</v>
      </c>
    </row>
    <row r="1101" spans="1:12" x14ac:dyDescent="0.25">
      <c r="A1101" s="7">
        <v>45090</v>
      </c>
      <c r="B1101" t="s">
        <v>309</v>
      </c>
      <c r="C1101" s="6">
        <v>2805</v>
      </c>
      <c r="D1101" s="1" t="s">
        <v>357</v>
      </c>
      <c r="E1101" s="1">
        <v>0.27708333333333335</v>
      </c>
      <c r="F1101" s="1">
        <v>0.39583333333333331</v>
      </c>
      <c r="G1101" s="9">
        <f t="shared" si="118"/>
        <v>45089</v>
      </c>
      <c r="H1101" s="11">
        <f t="shared" si="119"/>
        <v>2.9</v>
      </c>
      <c r="I1101" s="10">
        <f t="shared" si="120"/>
        <v>2.9</v>
      </c>
      <c r="J1101" s="10">
        <f t="shared" si="121"/>
        <v>7.2</v>
      </c>
      <c r="K1101" s="10">
        <f t="shared" si="123"/>
        <v>9.6999999999999993</v>
      </c>
      <c r="L1101" s="10">
        <f t="shared" si="122"/>
        <v>59.8</v>
      </c>
    </row>
    <row r="1102" spans="1:12" x14ac:dyDescent="0.25">
      <c r="A1102" s="7">
        <v>45090</v>
      </c>
      <c r="B1102" t="s">
        <v>6</v>
      </c>
      <c r="C1102" s="6" t="s">
        <v>416</v>
      </c>
      <c r="D1102" s="5" t="s">
        <v>241</v>
      </c>
      <c r="E1102" s="1">
        <v>0.39583333333333331</v>
      </c>
      <c r="F1102" s="1">
        <v>0.41666666666666669</v>
      </c>
      <c r="G1102" s="9">
        <f t="shared" si="118"/>
        <v>45089</v>
      </c>
      <c r="H1102" s="11">
        <f t="shared" si="119"/>
        <v>0.5</v>
      </c>
      <c r="I1102" s="10">
        <f t="shared" si="120"/>
        <v>3.4</v>
      </c>
      <c r="J1102" s="10">
        <f t="shared" si="121"/>
        <v>7.2</v>
      </c>
      <c r="K1102" s="10">
        <f t="shared" si="123"/>
        <v>10.199999999999999</v>
      </c>
      <c r="L1102" s="10">
        <f t="shared" si="122"/>
        <v>60.3</v>
      </c>
    </row>
    <row r="1103" spans="1:12" x14ac:dyDescent="0.25">
      <c r="A1103" s="7">
        <v>45090</v>
      </c>
      <c r="B1103" t="s">
        <v>309</v>
      </c>
      <c r="C1103" s="6">
        <v>2805</v>
      </c>
      <c r="D1103" s="1" t="s">
        <v>357</v>
      </c>
      <c r="E1103" s="1">
        <v>0.41666666666666669</v>
      </c>
      <c r="F1103" s="1">
        <v>0.45833333333333331</v>
      </c>
      <c r="G1103" s="9">
        <f t="shared" si="118"/>
        <v>45089</v>
      </c>
      <c r="H1103" s="11">
        <f t="shared" si="119"/>
        <v>1</v>
      </c>
      <c r="I1103" s="10">
        <f t="shared" si="120"/>
        <v>4.4000000000000004</v>
      </c>
      <c r="J1103" s="10">
        <f t="shared" si="121"/>
        <v>7.2</v>
      </c>
      <c r="K1103" s="10">
        <f t="shared" si="123"/>
        <v>11.2</v>
      </c>
      <c r="L1103" s="10">
        <f t="shared" si="122"/>
        <v>61.3</v>
      </c>
    </row>
    <row r="1104" spans="1:12" x14ac:dyDescent="0.25">
      <c r="A1104" s="7">
        <v>45090</v>
      </c>
      <c r="B1104" t="s">
        <v>6</v>
      </c>
      <c r="C1104" s="6" t="s">
        <v>416</v>
      </c>
      <c r="D1104" s="5" t="s">
        <v>363</v>
      </c>
      <c r="E1104" s="1">
        <v>0.47430555555555554</v>
      </c>
      <c r="F1104" s="1">
        <v>0.50347222222222221</v>
      </c>
      <c r="G1104" s="9">
        <f t="shared" si="118"/>
        <v>45089</v>
      </c>
      <c r="H1104" s="11">
        <f t="shared" si="119"/>
        <v>0.7</v>
      </c>
      <c r="I1104" s="10">
        <f t="shared" si="120"/>
        <v>5.1000000000000005</v>
      </c>
      <c r="J1104" s="10">
        <f t="shared" si="121"/>
        <v>7.2</v>
      </c>
      <c r="K1104" s="10">
        <f t="shared" si="123"/>
        <v>11.899999999999999</v>
      </c>
      <c r="L1104" s="10">
        <f t="shared" si="122"/>
        <v>62</v>
      </c>
    </row>
    <row r="1105" spans="1:12" x14ac:dyDescent="0.25">
      <c r="A1105" s="7">
        <v>45090</v>
      </c>
      <c r="B1105" t="s">
        <v>309</v>
      </c>
      <c r="C1105" s="6">
        <v>2805</v>
      </c>
      <c r="D1105" s="1" t="s">
        <v>357</v>
      </c>
      <c r="E1105" s="1">
        <v>0.50347222222222221</v>
      </c>
      <c r="F1105" s="1">
        <v>0.55763888888888891</v>
      </c>
      <c r="G1105" s="9">
        <f t="shared" si="118"/>
        <v>45089</v>
      </c>
      <c r="H1105" s="11">
        <f t="shared" si="119"/>
        <v>1.3</v>
      </c>
      <c r="I1105" s="10">
        <f t="shared" si="120"/>
        <v>6.3999999999999995</v>
      </c>
      <c r="J1105" s="10">
        <f t="shared" si="121"/>
        <v>7.2</v>
      </c>
      <c r="K1105" s="10">
        <f t="shared" si="123"/>
        <v>13.200000000000001</v>
      </c>
      <c r="L1105" s="10">
        <f t="shared" si="122"/>
        <v>63.3</v>
      </c>
    </row>
    <row r="1106" spans="1:12" x14ac:dyDescent="0.25">
      <c r="A1106" s="7">
        <v>45090</v>
      </c>
      <c r="B1106" t="s">
        <v>309</v>
      </c>
      <c r="C1106" s="6">
        <v>2805</v>
      </c>
      <c r="D1106" s="1" t="s">
        <v>358</v>
      </c>
      <c r="E1106" s="1">
        <v>0.78888888888888886</v>
      </c>
      <c r="F1106" s="1">
        <v>0.84236111111111101</v>
      </c>
      <c r="G1106" s="9">
        <f t="shared" si="118"/>
        <v>45089</v>
      </c>
      <c r="H1106" s="11">
        <f t="shared" si="119"/>
        <v>1.3</v>
      </c>
      <c r="I1106" s="10">
        <f t="shared" si="120"/>
        <v>7.7</v>
      </c>
      <c r="J1106" s="10">
        <f t="shared" si="121"/>
        <v>7.2</v>
      </c>
      <c r="K1106" s="10">
        <f t="shared" si="123"/>
        <v>14.5</v>
      </c>
      <c r="L1106" s="10">
        <f t="shared" si="122"/>
        <v>64.599999999999994</v>
      </c>
    </row>
    <row r="1107" spans="1:12" x14ac:dyDescent="0.25">
      <c r="A1107" s="7">
        <v>45091</v>
      </c>
      <c r="B1107" t="s">
        <v>309</v>
      </c>
      <c r="C1107" s="6">
        <v>2805</v>
      </c>
      <c r="D1107" s="1" t="s">
        <v>359</v>
      </c>
      <c r="E1107" s="1">
        <v>0.30972222222222223</v>
      </c>
      <c r="F1107" s="1">
        <v>0.43333333333333335</v>
      </c>
      <c r="G1107" s="9">
        <f t="shared" si="118"/>
        <v>45089</v>
      </c>
      <c r="H1107" s="11">
        <f t="shared" si="119"/>
        <v>3</v>
      </c>
      <c r="I1107" s="10">
        <f t="shared" si="120"/>
        <v>3</v>
      </c>
      <c r="J1107" s="10">
        <f t="shared" si="121"/>
        <v>7.2</v>
      </c>
      <c r="K1107" s="10">
        <f t="shared" si="123"/>
        <v>17.5</v>
      </c>
      <c r="L1107" s="10">
        <f t="shared" si="122"/>
        <v>67.599999999999994</v>
      </c>
    </row>
    <row r="1108" spans="1:12" x14ac:dyDescent="0.25">
      <c r="A1108" s="7">
        <v>45091</v>
      </c>
      <c r="B1108" t="s">
        <v>309</v>
      </c>
      <c r="C1108" s="6">
        <v>2805</v>
      </c>
      <c r="D1108" s="1" t="s">
        <v>359</v>
      </c>
      <c r="E1108" s="1">
        <v>0.53125</v>
      </c>
      <c r="F1108" s="1">
        <v>0.72361111111111109</v>
      </c>
      <c r="G1108" s="9">
        <f t="shared" si="118"/>
        <v>45089</v>
      </c>
      <c r="H1108" s="11">
        <f t="shared" si="119"/>
        <v>4.5999999999999996</v>
      </c>
      <c r="I1108" s="10">
        <f t="shared" si="120"/>
        <v>7.6</v>
      </c>
      <c r="J1108" s="10">
        <f t="shared" si="121"/>
        <v>7.2</v>
      </c>
      <c r="K1108" s="10">
        <f t="shared" si="123"/>
        <v>22.1</v>
      </c>
      <c r="L1108" s="10">
        <f t="shared" si="122"/>
        <v>72.199999999999989</v>
      </c>
    </row>
    <row r="1109" spans="1:12" x14ac:dyDescent="0.25">
      <c r="A1109" s="7">
        <v>45092</v>
      </c>
      <c r="B1109" t="s">
        <v>309</v>
      </c>
      <c r="C1109" s="6">
        <v>2805</v>
      </c>
      <c r="D1109" s="1" t="s">
        <v>360</v>
      </c>
      <c r="E1109" s="1">
        <v>0.30763888888888891</v>
      </c>
      <c r="F1109" s="1">
        <v>0.47291666666666665</v>
      </c>
      <c r="G1109" s="9">
        <f t="shared" si="118"/>
        <v>45089</v>
      </c>
      <c r="H1109" s="11">
        <f t="shared" si="119"/>
        <v>4</v>
      </c>
      <c r="I1109" s="10">
        <f t="shared" si="120"/>
        <v>4</v>
      </c>
      <c r="J1109" s="10">
        <f t="shared" si="121"/>
        <v>7.2</v>
      </c>
      <c r="K1109" s="10">
        <f t="shared" si="123"/>
        <v>26.1</v>
      </c>
      <c r="L1109" s="10">
        <f t="shared" si="122"/>
        <v>76.2</v>
      </c>
    </row>
    <row r="1110" spans="1:12" x14ac:dyDescent="0.25">
      <c r="A1110" s="7">
        <v>45092</v>
      </c>
      <c r="B1110" t="s">
        <v>309</v>
      </c>
      <c r="C1110" s="6">
        <v>2805</v>
      </c>
      <c r="D1110" s="1" t="s">
        <v>360</v>
      </c>
      <c r="E1110" s="1">
        <v>0.5493055555555556</v>
      </c>
      <c r="F1110" s="1">
        <v>0.61041666666666672</v>
      </c>
      <c r="G1110" s="9">
        <f t="shared" si="118"/>
        <v>45089</v>
      </c>
      <c r="H1110" s="11">
        <f t="shared" si="119"/>
        <v>1.5</v>
      </c>
      <c r="I1110" s="10">
        <f t="shared" si="120"/>
        <v>5.5</v>
      </c>
      <c r="J1110" s="10">
        <f t="shared" si="121"/>
        <v>7.2</v>
      </c>
      <c r="K1110" s="10">
        <f t="shared" si="123"/>
        <v>27.6</v>
      </c>
      <c r="L1110" s="10">
        <f t="shared" si="122"/>
        <v>77.7</v>
      </c>
    </row>
    <row r="1111" spans="1:12" x14ac:dyDescent="0.25">
      <c r="A1111" s="7">
        <v>45092</v>
      </c>
      <c r="B1111" t="s">
        <v>6</v>
      </c>
      <c r="C1111" s="6" t="s">
        <v>416</v>
      </c>
      <c r="D1111" s="5" t="s">
        <v>20</v>
      </c>
      <c r="E1111" s="1">
        <v>0.61041666666666672</v>
      </c>
      <c r="F1111" s="1">
        <v>0.64374999999999993</v>
      </c>
      <c r="G1111" s="9">
        <f t="shared" si="118"/>
        <v>45089</v>
      </c>
      <c r="H1111" s="11">
        <f t="shared" si="119"/>
        <v>0.8</v>
      </c>
      <c r="I1111" s="10">
        <f t="shared" si="120"/>
        <v>6.3</v>
      </c>
      <c r="J1111" s="10">
        <f t="shared" si="121"/>
        <v>7.2</v>
      </c>
      <c r="K1111" s="10">
        <f t="shared" si="123"/>
        <v>28.400000000000002</v>
      </c>
      <c r="L1111" s="10">
        <f t="shared" si="122"/>
        <v>78.5</v>
      </c>
    </row>
    <row r="1112" spans="1:12" x14ac:dyDescent="0.25">
      <c r="A1112" s="7">
        <v>45092</v>
      </c>
      <c r="B1112" t="s">
        <v>309</v>
      </c>
      <c r="C1112" s="6">
        <v>2805</v>
      </c>
      <c r="D1112" s="1" t="s">
        <v>360</v>
      </c>
      <c r="E1112" s="1">
        <v>0.64374999999999993</v>
      </c>
      <c r="F1112" s="1">
        <v>0.68611111111111101</v>
      </c>
      <c r="G1112" s="9">
        <f t="shared" si="118"/>
        <v>45089</v>
      </c>
      <c r="H1112" s="11">
        <f t="shared" si="119"/>
        <v>1</v>
      </c>
      <c r="I1112" s="10">
        <f t="shared" si="120"/>
        <v>7.3</v>
      </c>
      <c r="J1112" s="10">
        <f t="shared" si="121"/>
        <v>7.2</v>
      </c>
      <c r="K1112" s="10">
        <f t="shared" si="123"/>
        <v>29.4</v>
      </c>
      <c r="L1112" s="10">
        <f t="shared" si="122"/>
        <v>79.5</v>
      </c>
    </row>
    <row r="1113" spans="1:12" x14ac:dyDescent="0.25">
      <c r="A1113" s="7">
        <v>45093</v>
      </c>
      <c r="B1113" t="s">
        <v>309</v>
      </c>
      <c r="C1113" s="6">
        <v>2805</v>
      </c>
      <c r="D1113" s="1" t="s">
        <v>361</v>
      </c>
      <c r="E1113" s="1">
        <v>0.3263888888888889</v>
      </c>
      <c r="F1113" s="1">
        <v>0.50624999999999998</v>
      </c>
      <c r="G1113" s="9">
        <f t="shared" si="118"/>
        <v>45089</v>
      </c>
      <c r="H1113" s="11">
        <f t="shared" si="119"/>
        <v>4.3</v>
      </c>
      <c r="I1113" s="10">
        <f t="shared" si="120"/>
        <v>4.3</v>
      </c>
      <c r="J1113" s="10">
        <f t="shared" si="121"/>
        <v>7.2</v>
      </c>
      <c r="K1113" s="10">
        <f t="shared" si="123"/>
        <v>33.699999999999996</v>
      </c>
      <c r="L1113" s="10">
        <f t="shared" si="122"/>
        <v>83.8</v>
      </c>
    </row>
    <row r="1114" spans="1:12" x14ac:dyDescent="0.25">
      <c r="A1114" s="7">
        <v>45093</v>
      </c>
      <c r="B1114" t="s">
        <v>309</v>
      </c>
      <c r="C1114" s="6">
        <v>2805</v>
      </c>
      <c r="D1114" s="1" t="s">
        <v>362</v>
      </c>
      <c r="E1114" s="1">
        <v>0.5444444444444444</v>
      </c>
      <c r="F1114" s="1">
        <v>0.6875</v>
      </c>
      <c r="G1114" s="9">
        <f t="shared" si="118"/>
        <v>45089</v>
      </c>
      <c r="H1114" s="11">
        <f t="shared" si="119"/>
        <v>3.4</v>
      </c>
      <c r="I1114" s="10">
        <f t="shared" si="120"/>
        <v>7.6999999999999993</v>
      </c>
      <c r="J1114" s="10">
        <f t="shared" si="121"/>
        <v>7.2</v>
      </c>
      <c r="K1114" s="10">
        <f t="shared" si="123"/>
        <v>37.1</v>
      </c>
      <c r="L1114" s="10">
        <f t="shared" si="122"/>
        <v>87.2</v>
      </c>
    </row>
    <row r="1115" spans="1:12" x14ac:dyDescent="0.25">
      <c r="A1115" s="7">
        <v>45096</v>
      </c>
      <c r="B1115" t="s">
        <v>6</v>
      </c>
      <c r="C1115" s="6" t="s">
        <v>416</v>
      </c>
      <c r="D1115" s="1" t="s">
        <v>104</v>
      </c>
      <c r="E1115" s="1">
        <v>0.35694444444444445</v>
      </c>
      <c r="F1115" s="1">
        <v>0.41666666666666669</v>
      </c>
      <c r="G1115" s="9">
        <f t="shared" si="118"/>
        <v>45096</v>
      </c>
      <c r="H1115" s="11">
        <f t="shared" si="119"/>
        <v>1.4</v>
      </c>
      <c r="I1115" s="10">
        <f t="shared" si="120"/>
        <v>1.4</v>
      </c>
      <c r="J1115" s="10">
        <f t="shared" si="121"/>
        <v>7.2</v>
      </c>
      <c r="K1115" s="10">
        <f t="shared" si="123"/>
        <v>1.4</v>
      </c>
      <c r="L1115" s="10">
        <f t="shared" si="122"/>
        <v>88.600000000000009</v>
      </c>
    </row>
    <row r="1116" spans="1:12" x14ac:dyDescent="0.25">
      <c r="A1116" s="7">
        <v>45096</v>
      </c>
      <c r="B1116" t="s">
        <v>6</v>
      </c>
      <c r="C1116" s="6" t="s">
        <v>416</v>
      </c>
      <c r="D1116" s="5" t="s">
        <v>112</v>
      </c>
      <c r="E1116" s="1">
        <v>0.41666666666666669</v>
      </c>
      <c r="F1116" s="1">
        <v>0.45833333333333331</v>
      </c>
      <c r="G1116" s="9">
        <f t="shared" si="118"/>
        <v>45096</v>
      </c>
      <c r="H1116" s="11">
        <f t="shared" si="119"/>
        <v>1</v>
      </c>
      <c r="I1116" s="10">
        <f t="shared" si="120"/>
        <v>2.4</v>
      </c>
      <c r="J1116" s="10">
        <f t="shared" si="121"/>
        <v>7.2</v>
      </c>
      <c r="K1116" s="10">
        <f t="shared" si="123"/>
        <v>2.4</v>
      </c>
      <c r="L1116" s="10">
        <f t="shared" si="122"/>
        <v>89.6</v>
      </c>
    </row>
    <row r="1117" spans="1:12" x14ac:dyDescent="0.25">
      <c r="A1117" s="7">
        <v>45096</v>
      </c>
      <c r="B1117" t="s">
        <v>19</v>
      </c>
      <c r="C1117" s="6">
        <v>2675</v>
      </c>
      <c r="D1117" s="1" t="s">
        <v>365</v>
      </c>
      <c r="E1117" s="1">
        <v>0.45833333333333331</v>
      </c>
      <c r="F1117" s="1">
        <v>0.50347222222222221</v>
      </c>
      <c r="G1117" s="9">
        <f t="shared" si="118"/>
        <v>45096</v>
      </c>
      <c r="H1117" s="11">
        <f t="shared" si="119"/>
        <v>1.1000000000000001</v>
      </c>
      <c r="I1117" s="10">
        <f t="shared" si="120"/>
        <v>3.5</v>
      </c>
      <c r="J1117" s="10">
        <f t="shared" si="121"/>
        <v>7.2</v>
      </c>
      <c r="K1117" s="10">
        <f t="shared" si="123"/>
        <v>3.5</v>
      </c>
      <c r="L1117" s="10">
        <f t="shared" si="122"/>
        <v>90.699999999999989</v>
      </c>
    </row>
    <row r="1118" spans="1:12" x14ac:dyDescent="0.25">
      <c r="A1118" s="7">
        <v>45096</v>
      </c>
      <c r="B1118" t="s">
        <v>19</v>
      </c>
      <c r="C1118" s="6">
        <v>2675</v>
      </c>
      <c r="D1118" s="1" t="s">
        <v>365</v>
      </c>
      <c r="E1118" s="1">
        <v>0.51944444444444449</v>
      </c>
      <c r="F1118" s="1">
        <v>0.54166666666666663</v>
      </c>
      <c r="G1118" s="9">
        <f t="shared" si="118"/>
        <v>45096</v>
      </c>
      <c r="H1118" s="11">
        <f t="shared" si="119"/>
        <v>0.5</v>
      </c>
      <c r="I1118" s="10">
        <f t="shared" si="120"/>
        <v>4</v>
      </c>
      <c r="J1118" s="10">
        <f t="shared" si="121"/>
        <v>7.2</v>
      </c>
      <c r="K1118" s="10">
        <f t="shared" si="123"/>
        <v>4</v>
      </c>
      <c r="L1118" s="10">
        <f t="shared" si="122"/>
        <v>91.2</v>
      </c>
    </row>
    <row r="1119" spans="1:12" x14ac:dyDescent="0.25">
      <c r="A1119" s="7">
        <v>45096</v>
      </c>
      <c r="B1119" t="s">
        <v>309</v>
      </c>
      <c r="C1119" s="6">
        <v>2805</v>
      </c>
      <c r="D1119" s="1" t="s">
        <v>44</v>
      </c>
      <c r="E1119" s="1">
        <v>0.54166666666666663</v>
      </c>
      <c r="F1119" s="1">
        <v>0.58472222222222225</v>
      </c>
      <c r="G1119" s="9">
        <f t="shared" si="118"/>
        <v>45096</v>
      </c>
      <c r="H1119" s="11">
        <f t="shared" si="119"/>
        <v>1</v>
      </c>
      <c r="I1119" s="10">
        <f t="shared" si="120"/>
        <v>5</v>
      </c>
      <c r="J1119" s="10">
        <f t="shared" si="121"/>
        <v>7.2</v>
      </c>
      <c r="K1119" s="10">
        <f t="shared" si="123"/>
        <v>5</v>
      </c>
      <c r="L1119" s="10">
        <f t="shared" si="122"/>
        <v>92.2</v>
      </c>
    </row>
    <row r="1120" spans="1:12" x14ac:dyDescent="0.25">
      <c r="A1120" s="7">
        <v>45096</v>
      </c>
      <c r="B1120" t="s">
        <v>19</v>
      </c>
      <c r="C1120" s="6">
        <v>2675</v>
      </c>
      <c r="D1120" s="1" t="s">
        <v>365</v>
      </c>
      <c r="E1120" s="1">
        <v>0.60486111111111118</v>
      </c>
      <c r="F1120" s="1">
        <v>0.7006944444444444</v>
      </c>
      <c r="G1120" s="9">
        <f t="shared" si="118"/>
        <v>45096</v>
      </c>
      <c r="H1120" s="11">
        <f t="shared" si="119"/>
        <v>2.2999999999999998</v>
      </c>
      <c r="I1120" s="10">
        <f t="shared" si="120"/>
        <v>7.3</v>
      </c>
      <c r="J1120" s="10">
        <f t="shared" si="121"/>
        <v>7.2</v>
      </c>
      <c r="K1120" s="10">
        <f t="shared" si="123"/>
        <v>7.3</v>
      </c>
      <c r="L1120" s="10">
        <f t="shared" si="122"/>
        <v>94.5</v>
      </c>
    </row>
    <row r="1121" spans="1:12" x14ac:dyDescent="0.25">
      <c r="A1121" s="7">
        <v>45097</v>
      </c>
      <c r="B1121" t="s">
        <v>309</v>
      </c>
      <c r="C1121" s="6">
        <v>2805</v>
      </c>
      <c r="D1121" s="1" t="s">
        <v>366</v>
      </c>
      <c r="E1121" s="1">
        <v>0.33263888888888887</v>
      </c>
      <c r="F1121" s="1">
        <v>0.375</v>
      </c>
      <c r="G1121" s="9">
        <f t="shared" si="118"/>
        <v>45096</v>
      </c>
      <c r="H1121" s="11">
        <f t="shared" si="119"/>
        <v>1</v>
      </c>
      <c r="I1121" s="10">
        <f t="shared" si="120"/>
        <v>1</v>
      </c>
      <c r="J1121" s="10">
        <f t="shared" si="121"/>
        <v>7.2</v>
      </c>
      <c r="K1121" s="10">
        <f t="shared" si="123"/>
        <v>8.3000000000000007</v>
      </c>
      <c r="L1121" s="10">
        <f t="shared" si="122"/>
        <v>95.5</v>
      </c>
    </row>
    <row r="1122" spans="1:12" x14ac:dyDescent="0.25">
      <c r="A1122" s="7">
        <v>45097</v>
      </c>
      <c r="B1122" t="s">
        <v>6</v>
      </c>
      <c r="C1122" s="6" t="s">
        <v>416</v>
      </c>
      <c r="D1122" s="1" t="s">
        <v>367</v>
      </c>
      <c r="E1122" s="1">
        <v>0.375</v>
      </c>
      <c r="F1122" s="1">
        <v>0.46319444444444446</v>
      </c>
      <c r="G1122" s="9">
        <f t="shared" si="118"/>
        <v>45096</v>
      </c>
      <c r="H1122" s="11">
        <f t="shared" si="119"/>
        <v>2.1</v>
      </c>
      <c r="I1122" s="10">
        <f t="shared" si="120"/>
        <v>3.1</v>
      </c>
      <c r="J1122" s="10">
        <f t="shared" si="121"/>
        <v>7.2</v>
      </c>
      <c r="K1122" s="10">
        <f t="shared" si="123"/>
        <v>10.4</v>
      </c>
      <c r="L1122" s="10">
        <f t="shared" si="122"/>
        <v>97.6</v>
      </c>
    </row>
    <row r="1123" spans="1:12" x14ac:dyDescent="0.25">
      <c r="A1123" s="7">
        <v>45097</v>
      </c>
      <c r="B1123" t="s">
        <v>309</v>
      </c>
      <c r="C1123" s="6">
        <v>2805</v>
      </c>
      <c r="D1123" s="1" t="s">
        <v>366</v>
      </c>
      <c r="E1123" s="1">
        <v>0.46319444444444446</v>
      </c>
      <c r="F1123" s="1">
        <v>0.50763888888888886</v>
      </c>
      <c r="G1123" s="9">
        <f t="shared" si="118"/>
        <v>45096</v>
      </c>
      <c r="H1123" s="11">
        <f t="shared" si="119"/>
        <v>1.1000000000000001</v>
      </c>
      <c r="I1123" s="10">
        <f t="shared" si="120"/>
        <v>4.2</v>
      </c>
      <c r="J1123" s="10">
        <f t="shared" si="121"/>
        <v>7.2</v>
      </c>
      <c r="K1123" s="10">
        <f t="shared" si="123"/>
        <v>11.5</v>
      </c>
      <c r="L1123" s="10">
        <f t="shared" si="122"/>
        <v>98.699999999999989</v>
      </c>
    </row>
    <row r="1124" spans="1:12" x14ac:dyDescent="0.25">
      <c r="A1124" s="7">
        <v>45097</v>
      </c>
      <c r="B1124" t="s">
        <v>309</v>
      </c>
      <c r="C1124" s="6">
        <v>2805</v>
      </c>
      <c r="D1124" s="1" t="s">
        <v>366</v>
      </c>
      <c r="E1124" s="1">
        <v>0.57291666666666663</v>
      </c>
      <c r="F1124" s="1">
        <v>0.6875</v>
      </c>
      <c r="G1124" s="9">
        <f t="shared" si="118"/>
        <v>45096</v>
      </c>
      <c r="H1124" s="11">
        <f t="shared" si="119"/>
        <v>2.8</v>
      </c>
      <c r="I1124" s="10">
        <f t="shared" si="120"/>
        <v>7</v>
      </c>
      <c r="J1124" s="10">
        <f t="shared" si="121"/>
        <v>7.2</v>
      </c>
      <c r="K1124" s="10">
        <f t="shared" si="123"/>
        <v>14.3</v>
      </c>
      <c r="L1124" s="10">
        <f t="shared" si="122"/>
        <v>101.5</v>
      </c>
    </row>
    <row r="1125" spans="1:12" x14ac:dyDescent="0.25">
      <c r="A1125" s="7">
        <v>45098</v>
      </c>
      <c r="B1125" t="s">
        <v>309</v>
      </c>
      <c r="C1125" s="6">
        <v>2805</v>
      </c>
      <c r="D1125" s="1" t="s">
        <v>366</v>
      </c>
      <c r="E1125" s="1">
        <v>0.37291666666666662</v>
      </c>
      <c r="F1125" s="1">
        <v>0.52986111111111112</v>
      </c>
      <c r="G1125" s="9">
        <f t="shared" si="118"/>
        <v>45096</v>
      </c>
      <c r="H1125" s="11">
        <f t="shared" si="119"/>
        <v>3.8</v>
      </c>
      <c r="I1125" s="10">
        <f t="shared" si="120"/>
        <v>3.8</v>
      </c>
      <c r="J1125" s="10">
        <f t="shared" si="121"/>
        <v>7.2</v>
      </c>
      <c r="K1125" s="10">
        <f t="shared" si="123"/>
        <v>18.100000000000001</v>
      </c>
      <c r="L1125" s="10">
        <f t="shared" si="122"/>
        <v>105.3</v>
      </c>
    </row>
    <row r="1126" spans="1:12" x14ac:dyDescent="0.25">
      <c r="A1126" s="7">
        <v>45098</v>
      </c>
      <c r="B1126" t="s">
        <v>6</v>
      </c>
      <c r="C1126" s="6" t="s">
        <v>416</v>
      </c>
      <c r="D1126" s="1" t="s">
        <v>368</v>
      </c>
      <c r="E1126" s="1">
        <v>0.56874999999999998</v>
      </c>
      <c r="F1126" s="1">
        <v>0.61527777777777781</v>
      </c>
      <c r="G1126" s="9">
        <f t="shared" si="118"/>
        <v>45096</v>
      </c>
      <c r="H1126" s="11">
        <f t="shared" si="119"/>
        <v>1.1000000000000001</v>
      </c>
      <c r="I1126" s="10">
        <f t="shared" si="120"/>
        <v>4.9000000000000004</v>
      </c>
      <c r="J1126" s="10">
        <f t="shared" si="121"/>
        <v>7.2</v>
      </c>
      <c r="K1126" s="10">
        <f t="shared" si="123"/>
        <v>19.200000000000003</v>
      </c>
      <c r="L1126" s="10">
        <f t="shared" si="122"/>
        <v>106.39999999999999</v>
      </c>
    </row>
    <row r="1127" spans="1:12" x14ac:dyDescent="0.25">
      <c r="A1127" s="7">
        <v>45098</v>
      </c>
      <c r="B1127" t="s">
        <v>309</v>
      </c>
      <c r="C1127" s="6">
        <v>2805</v>
      </c>
      <c r="D1127" s="1" t="s">
        <v>366</v>
      </c>
      <c r="E1127" s="1">
        <v>0.61527777777777781</v>
      </c>
      <c r="F1127" s="1">
        <v>0.70138888888888884</v>
      </c>
      <c r="G1127" s="9">
        <f t="shared" si="118"/>
        <v>45096</v>
      </c>
      <c r="H1127" s="11">
        <f t="shared" si="119"/>
        <v>2.1</v>
      </c>
      <c r="I1127" s="10">
        <f t="shared" si="120"/>
        <v>7</v>
      </c>
      <c r="J1127" s="10">
        <f t="shared" si="121"/>
        <v>7.2</v>
      </c>
      <c r="K1127" s="10">
        <f t="shared" si="123"/>
        <v>21.3</v>
      </c>
      <c r="L1127" s="10">
        <f t="shared" si="122"/>
        <v>108.5</v>
      </c>
    </row>
    <row r="1128" spans="1:12" x14ac:dyDescent="0.25">
      <c r="A1128" s="7">
        <v>45099</v>
      </c>
      <c r="B1128" t="s">
        <v>309</v>
      </c>
      <c r="C1128" s="6">
        <v>2805</v>
      </c>
      <c r="D1128" s="1" t="s">
        <v>366</v>
      </c>
      <c r="E1128" s="1">
        <v>0.32013888888888892</v>
      </c>
      <c r="F1128" s="1">
        <v>0.375</v>
      </c>
      <c r="G1128" s="9">
        <f t="shared" si="118"/>
        <v>45096</v>
      </c>
      <c r="H1128" s="11">
        <f t="shared" si="119"/>
        <v>1.3</v>
      </c>
      <c r="I1128" s="10">
        <f t="shared" si="120"/>
        <v>1.3</v>
      </c>
      <c r="J1128" s="10">
        <f t="shared" si="121"/>
        <v>7.2</v>
      </c>
      <c r="K1128" s="10">
        <f t="shared" si="123"/>
        <v>22.6</v>
      </c>
      <c r="L1128" s="10">
        <f t="shared" si="122"/>
        <v>109.8</v>
      </c>
    </row>
    <row r="1129" spans="1:12" x14ac:dyDescent="0.25">
      <c r="A1129" s="7">
        <v>45099</v>
      </c>
      <c r="B1129" t="s">
        <v>6</v>
      </c>
      <c r="C1129" s="6" t="s">
        <v>416</v>
      </c>
      <c r="D1129" s="1" t="s">
        <v>369</v>
      </c>
      <c r="E1129" s="1">
        <v>0.375</v>
      </c>
      <c r="F1129" s="1">
        <v>0.41388888888888892</v>
      </c>
      <c r="G1129" s="9">
        <f t="shared" si="118"/>
        <v>45096</v>
      </c>
      <c r="H1129" s="11">
        <f t="shared" si="119"/>
        <v>0.9</v>
      </c>
      <c r="I1129" s="10">
        <f t="shared" si="120"/>
        <v>2.2000000000000002</v>
      </c>
      <c r="J1129" s="10">
        <f t="shared" si="121"/>
        <v>7.2</v>
      </c>
      <c r="K1129" s="10">
        <f t="shared" si="123"/>
        <v>23.5</v>
      </c>
      <c r="L1129" s="10">
        <f t="shared" si="122"/>
        <v>110.7</v>
      </c>
    </row>
    <row r="1130" spans="1:12" x14ac:dyDescent="0.25">
      <c r="A1130" s="7">
        <v>45099</v>
      </c>
      <c r="B1130" t="s">
        <v>309</v>
      </c>
      <c r="C1130" s="6">
        <v>2805</v>
      </c>
      <c r="D1130" s="1" t="s">
        <v>366</v>
      </c>
      <c r="E1130" s="1">
        <v>0.41388888888888892</v>
      </c>
      <c r="F1130" s="1">
        <v>0.45833333333333331</v>
      </c>
      <c r="G1130" s="9">
        <f t="shared" si="118"/>
        <v>45096</v>
      </c>
      <c r="H1130" s="11">
        <f t="shared" si="119"/>
        <v>1.1000000000000001</v>
      </c>
      <c r="I1130" s="10">
        <f t="shared" si="120"/>
        <v>3.3000000000000003</v>
      </c>
      <c r="J1130" s="10">
        <f t="shared" si="121"/>
        <v>7.2</v>
      </c>
      <c r="K1130" s="10">
        <f t="shared" si="123"/>
        <v>24.6</v>
      </c>
      <c r="L1130" s="10">
        <f t="shared" si="122"/>
        <v>111.8</v>
      </c>
    </row>
    <row r="1131" spans="1:12" x14ac:dyDescent="0.25">
      <c r="A1131" s="7">
        <v>45099</v>
      </c>
      <c r="B1131" t="s">
        <v>6</v>
      </c>
      <c r="C1131" s="6" t="s">
        <v>416</v>
      </c>
      <c r="D1131" s="1" t="s">
        <v>103</v>
      </c>
      <c r="E1131" s="1">
        <v>0.45833333333333331</v>
      </c>
      <c r="F1131" s="1">
        <v>0.5</v>
      </c>
      <c r="G1131" s="9">
        <f t="shared" si="118"/>
        <v>45096</v>
      </c>
      <c r="H1131" s="11">
        <f t="shared" si="119"/>
        <v>1</v>
      </c>
      <c r="I1131" s="10">
        <f t="shared" si="120"/>
        <v>4.3</v>
      </c>
      <c r="J1131" s="10">
        <f t="shared" si="121"/>
        <v>7.2</v>
      </c>
      <c r="K1131" s="10">
        <f t="shared" si="123"/>
        <v>25.6</v>
      </c>
      <c r="L1131" s="10">
        <f t="shared" si="122"/>
        <v>112.8</v>
      </c>
    </row>
    <row r="1132" spans="1:12" x14ac:dyDescent="0.25">
      <c r="A1132" s="7">
        <v>45099</v>
      </c>
      <c r="B1132" t="s">
        <v>309</v>
      </c>
      <c r="C1132" s="6">
        <v>2805</v>
      </c>
      <c r="D1132" s="1" t="s">
        <v>366</v>
      </c>
      <c r="E1132" s="1">
        <v>0.5</v>
      </c>
      <c r="F1132" s="1">
        <v>0.54166666666666663</v>
      </c>
      <c r="G1132" s="9">
        <f t="shared" si="118"/>
        <v>45096</v>
      </c>
      <c r="H1132" s="11">
        <f t="shared" si="119"/>
        <v>1</v>
      </c>
      <c r="I1132" s="10">
        <f t="shared" si="120"/>
        <v>5.3</v>
      </c>
      <c r="J1132" s="10">
        <f t="shared" si="121"/>
        <v>7.2</v>
      </c>
      <c r="K1132" s="10">
        <f t="shared" si="123"/>
        <v>26.6</v>
      </c>
      <c r="L1132" s="10">
        <f t="shared" si="122"/>
        <v>113.8</v>
      </c>
    </row>
    <row r="1133" spans="1:12" x14ac:dyDescent="0.25">
      <c r="A1133" s="7">
        <v>45099</v>
      </c>
      <c r="B1133" t="s">
        <v>6</v>
      </c>
      <c r="C1133" s="6" t="s">
        <v>416</v>
      </c>
      <c r="D1133" s="1" t="s">
        <v>371</v>
      </c>
      <c r="E1133" s="1">
        <v>0.54166666666666663</v>
      </c>
      <c r="F1133" s="1">
        <v>0.59513888888888888</v>
      </c>
      <c r="G1133" s="9">
        <f t="shared" ref="G1133:G1196" si="124">IF(E1133&gt;0,INT((A1133-2)/7)*7+2,"")</f>
        <v>45096</v>
      </c>
      <c r="H1133" s="11">
        <f t="shared" ref="H1133:H1196" si="125">IF(E1133&gt;0,ROUND(24*(IF(F1133&gt;0,F1133,NowTime)-E1133),1),"")</f>
        <v>1.3</v>
      </c>
      <c r="I1133" s="10">
        <f t="shared" ref="I1133:I1196" si="126">IF(H1133="",H1133,H1133+IF(A1133=A1132,_xlfn.NUMBERVALUE(I1132),0))</f>
        <v>6.6</v>
      </c>
      <c r="J1133" s="10">
        <f t="shared" ref="J1133:J1196" si="127">IF(H1133="",H1133,7.2)</f>
        <v>7.2</v>
      </c>
      <c r="K1133" s="10">
        <f t="shared" si="123"/>
        <v>27.900000000000002</v>
      </c>
      <c r="L1133" s="10">
        <f t="shared" ref="L1133:L1196" si="128">IF(H1133="",H1133,H1133+IF(MONTH(A1133)=MONTH(A1132),_xlfn.NUMBERVALUE(L1132),0))</f>
        <v>115.1</v>
      </c>
    </row>
    <row r="1134" spans="1:12" x14ac:dyDescent="0.25">
      <c r="A1134" s="7">
        <v>45099</v>
      </c>
      <c r="B1134" t="s">
        <v>309</v>
      </c>
      <c r="C1134" s="6">
        <v>2805</v>
      </c>
      <c r="D1134" s="1" t="s">
        <v>366</v>
      </c>
      <c r="E1134" s="1">
        <v>0.59513888888888888</v>
      </c>
      <c r="F1134" s="1">
        <v>0.65694444444444444</v>
      </c>
      <c r="G1134" s="9">
        <f t="shared" si="124"/>
        <v>45096</v>
      </c>
      <c r="H1134" s="11">
        <f t="shared" si="125"/>
        <v>1.5</v>
      </c>
      <c r="I1134" s="10">
        <f t="shared" si="126"/>
        <v>8.1</v>
      </c>
      <c r="J1134" s="10">
        <f t="shared" si="127"/>
        <v>7.2</v>
      </c>
      <c r="K1134" s="10">
        <f t="shared" si="123"/>
        <v>29.4</v>
      </c>
      <c r="L1134" s="10">
        <f t="shared" si="128"/>
        <v>116.6</v>
      </c>
    </row>
    <row r="1135" spans="1:12" x14ac:dyDescent="0.25">
      <c r="A1135" s="7">
        <v>45100</v>
      </c>
      <c r="B1135" t="s">
        <v>309</v>
      </c>
      <c r="C1135" s="6">
        <v>2805</v>
      </c>
      <c r="D1135" s="1" t="s">
        <v>366</v>
      </c>
      <c r="E1135" s="1">
        <v>0.30277777777777776</v>
      </c>
      <c r="F1135" s="1">
        <v>0.48958333333333331</v>
      </c>
      <c r="G1135" s="9">
        <f t="shared" si="124"/>
        <v>45096</v>
      </c>
      <c r="H1135" s="11">
        <f t="shared" si="125"/>
        <v>4.5</v>
      </c>
      <c r="I1135" s="10">
        <f t="shared" si="126"/>
        <v>4.5</v>
      </c>
      <c r="J1135" s="10">
        <f t="shared" si="127"/>
        <v>7.2</v>
      </c>
      <c r="K1135" s="10">
        <f t="shared" si="123"/>
        <v>33.9</v>
      </c>
      <c r="L1135" s="10">
        <f t="shared" si="128"/>
        <v>121.1</v>
      </c>
    </row>
    <row r="1136" spans="1:12" x14ac:dyDescent="0.25">
      <c r="A1136" s="7">
        <v>45100</v>
      </c>
      <c r="B1136" t="s">
        <v>6</v>
      </c>
      <c r="C1136" s="6" t="s">
        <v>416</v>
      </c>
      <c r="D1136" s="1" t="s">
        <v>351</v>
      </c>
      <c r="E1136" s="1">
        <v>0.5444444444444444</v>
      </c>
      <c r="F1136" s="1">
        <v>0.58888888888888891</v>
      </c>
      <c r="G1136" s="9">
        <f t="shared" si="124"/>
        <v>45096</v>
      </c>
      <c r="H1136" s="11">
        <f t="shared" si="125"/>
        <v>1.1000000000000001</v>
      </c>
      <c r="I1136" s="10">
        <f t="shared" si="126"/>
        <v>5.6</v>
      </c>
      <c r="J1136" s="10">
        <f t="shared" si="127"/>
        <v>7.2</v>
      </c>
      <c r="K1136" s="10">
        <f t="shared" si="123"/>
        <v>35</v>
      </c>
      <c r="L1136" s="10">
        <f t="shared" si="128"/>
        <v>122.19999999999999</v>
      </c>
    </row>
    <row r="1137" spans="1:12" x14ac:dyDescent="0.25">
      <c r="A1137" s="7">
        <v>45103</v>
      </c>
      <c r="B1137" t="s">
        <v>309</v>
      </c>
      <c r="C1137" s="6">
        <v>2805</v>
      </c>
      <c r="D1137" s="1" t="s">
        <v>372</v>
      </c>
      <c r="E1137" s="1">
        <v>0.31666666666666665</v>
      </c>
      <c r="F1137" s="1">
        <v>0.41666666666666669</v>
      </c>
      <c r="G1137" s="9">
        <f t="shared" si="124"/>
        <v>45103</v>
      </c>
      <c r="H1137" s="11">
        <f t="shared" si="125"/>
        <v>2.4</v>
      </c>
      <c r="I1137" s="10">
        <f t="shared" si="126"/>
        <v>2.4</v>
      </c>
      <c r="J1137" s="10">
        <f t="shared" si="127"/>
        <v>7.2</v>
      </c>
      <c r="K1137" s="10">
        <f t="shared" si="123"/>
        <v>2.4</v>
      </c>
      <c r="L1137" s="10">
        <f t="shared" si="128"/>
        <v>124.60000000000001</v>
      </c>
    </row>
    <row r="1138" spans="1:12" x14ac:dyDescent="0.25">
      <c r="A1138" s="7">
        <v>45103</v>
      </c>
      <c r="B1138" t="s">
        <v>6</v>
      </c>
      <c r="C1138" s="6" t="s">
        <v>416</v>
      </c>
      <c r="D1138" s="1" t="s">
        <v>112</v>
      </c>
      <c r="E1138" s="1">
        <v>0.41666666666666669</v>
      </c>
      <c r="F1138" s="1">
        <v>0.45555555555555555</v>
      </c>
      <c r="G1138" s="9">
        <f t="shared" si="124"/>
        <v>45103</v>
      </c>
      <c r="H1138" s="11">
        <f t="shared" si="125"/>
        <v>0.9</v>
      </c>
      <c r="I1138" s="10">
        <f t="shared" si="126"/>
        <v>3.3</v>
      </c>
      <c r="J1138" s="10">
        <f t="shared" si="127"/>
        <v>7.2</v>
      </c>
      <c r="K1138" s="10">
        <f t="shared" si="123"/>
        <v>3.3</v>
      </c>
      <c r="L1138" s="10">
        <f t="shared" si="128"/>
        <v>125.5</v>
      </c>
    </row>
    <row r="1139" spans="1:12" x14ac:dyDescent="0.25">
      <c r="A1139" s="7">
        <v>45103</v>
      </c>
      <c r="B1139" t="s">
        <v>309</v>
      </c>
      <c r="C1139" s="6">
        <v>2805</v>
      </c>
      <c r="D1139" s="1" t="s">
        <v>275</v>
      </c>
      <c r="E1139" s="1">
        <v>0.45555555555555555</v>
      </c>
      <c r="F1139" s="1">
        <v>0.50347222222222221</v>
      </c>
      <c r="G1139" s="9">
        <f t="shared" si="124"/>
        <v>45103</v>
      </c>
      <c r="H1139" s="11">
        <f t="shared" si="125"/>
        <v>1.2</v>
      </c>
      <c r="I1139" s="10">
        <f t="shared" si="126"/>
        <v>4.5</v>
      </c>
      <c r="J1139" s="10">
        <f t="shared" si="127"/>
        <v>7.2</v>
      </c>
      <c r="K1139" s="10">
        <f t="shared" si="123"/>
        <v>4.5</v>
      </c>
      <c r="L1139" s="10">
        <f t="shared" si="128"/>
        <v>126.7</v>
      </c>
    </row>
    <row r="1140" spans="1:12" x14ac:dyDescent="0.25">
      <c r="A1140" s="7">
        <v>45103</v>
      </c>
      <c r="B1140" t="s">
        <v>309</v>
      </c>
      <c r="C1140" s="6">
        <v>2805</v>
      </c>
      <c r="D1140" s="1" t="s">
        <v>275</v>
      </c>
      <c r="E1140" s="1">
        <v>0.55069444444444449</v>
      </c>
      <c r="F1140" s="1">
        <v>0.68680555555555556</v>
      </c>
      <c r="G1140" s="9">
        <f t="shared" si="124"/>
        <v>45103</v>
      </c>
      <c r="H1140" s="11">
        <f t="shared" si="125"/>
        <v>3.3</v>
      </c>
      <c r="I1140" s="10">
        <f t="shared" si="126"/>
        <v>7.8</v>
      </c>
      <c r="J1140" s="10">
        <f t="shared" si="127"/>
        <v>7.2</v>
      </c>
      <c r="K1140" s="10">
        <f t="shared" si="123"/>
        <v>7.8</v>
      </c>
      <c r="L1140" s="10">
        <f t="shared" si="128"/>
        <v>130</v>
      </c>
    </row>
    <row r="1141" spans="1:12" x14ac:dyDescent="0.25">
      <c r="A1141" s="7">
        <v>45104</v>
      </c>
      <c r="B1141" t="s">
        <v>19</v>
      </c>
      <c r="C1141" s="6">
        <v>2675</v>
      </c>
      <c r="D1141" s="1" t="s">
        <v>373</v>
      </c>
      <c r="E1141" s="1">
        <v>0.2986111111111111</v>
      </c>
      <c r="F1141" s="1">
        <v>0.41666666666666669</v>
      </c>
      <c r="G1141" s="9">
        <f t="shared" si="124"/>
        <v>45103</v>
      </c>
      <c r="H1141" s="11">
        <f t="shared" si="125"/>
        <v>2.8</v>
      </c>
      <c r="I1141" s="10">
        <f t="shared" si="126"/>
        <v>2.8</v>
      </c>
      <c r="J1141" s="10">
        <f t="shared" si="127"/>
        <v>7.2</v>
      </c>
      <c r="K1141" s="10">
        <f t="shared" si="123"/>
        <v>10.6</v>
      </c>
      <c r="L1141" s="10">
        <f t="shared" si="128"/>
        <v>132.80000000000001</v>
      </c>
    </row>
    <row r="1142" spans="1:12" x14ac:dyDescent="0.25">
      <c r="A1142" s="7">
        <v>45104</v>
      </c>
      <c r="B1142" t="s">
        <v>6</v>
      </c>
      <c r="C1142" s="6" t="s">
        <v>416</v>
      </c>
      <c r="D1142" s="1" t="s">
        <v>241</v>
      </c>
      <c r="E1142" s="1">
        <v>0.41666666666666669</v>
      </c>
      <c r="F1142" s="1">
        <v>0.4375</v>
      </c>
      <c r="G1142" s="9">
        <f t="shared" si="124"/>
        <v>45103</v>
      </c>
      <c r="H1142" s="11">
        <f t="shared" si="125"/>
        <v>0.5</v>
      </c>
      <c r="I1142" s="10">
        <f t="shared" si="126"/>
        <v>3.3</v>
      </c>
      <c r="J1142" s="10">
        <f t="shared" si="127"/>
        <v>7.2</v>
      </c>
      <c r="K1142" s="10">
        <f t="shared" si="123"/>
        <v>11.1</v>
      </c>
      <c r="L1142" s="10">
        <f t="shared" si="128"/>
        <v>133.30000000000001</v>
      </c>
    </row>
    <row r="1143" spans="1:12" x14ac:dyDescent="0.25">
      <c r="A1143" s="7">
        <v>45104</v>
      </c>
      <c r="B1143" t="s">
        <v>19</v>
      </c>
      <c r="C1143" s="6">
        <v>2675</v>
      </c>
      <c r="D1143" s="1" t="s">
        <v>373</v>
      </c>
      <c r="E1143" s="1">
        <v>0.4375</v>
      </c>
      <c r="F1143" s="1">
        <v>0.4597222222222222</v>
      </c>
      <c r="G1143" s="9">
        <f t="shared" si="124"/>
        <v>45103</v>
      </c>
      <c r="H1143" s="11">
        <f t="shared" si="125"/>
        <v>0.5</v>
      </c>
      <c r="I1143" s="10">
        <f t="shared" si="126"/>
        <v>3.8</v>
      </c>
      <c r="J1143" s="10">
        <f t="shared" si="127"/>
        <v>7.2</v>
      </c>
      <c r="K1143" s="10">
        <f t="shared" si="123"/>
        <v>11.6</v>
      </c>
      <c r="L1143" s="10">
        <f t="shared" si="128"/>
        <v>133.80000000000001</v>
      </c>
    </row>
    <row r="1144" spans="1:12" x14ac:dyDescent="0.25">
      <c r="A1144" s="7">
        <v>45104</v>
      </c>
      <c r="B1144" t="s">
        <v>19</v>
      </c>
      <c r="C1144" s="6">
        <v>2675</v>
      </c>
      <c r="D1144" s="1" t="s">
        <v>373</v>
      </c>
      <c r="E1144" s="1">
        <v>0.49861111111111112</v>
      </c>
      <c r="F1144" s="1">
        <v>0.54166666666666663</v>
      </c>
      <c r="G1144" s="9">
        <f t="shared" si="124"/>
        <v>45103</v>
      </c>
      <c r="H1144" s="11">
        <f t="shared" si="125"/>
        <v>1</v>
      </c>
      <c r="I1144" s="10">
        <f t="shared" si="126"/>
        <v>4.8</v>
      </c>
      <c r="J1144" s="10">
        <f t="shared" si="127"/>
        <v>7.2</v>
      </c>
      <c r="K1144" s="10">
        <f t="shared" si="123"/>
        <v>12.6</v>
      </c>
      <c r="L1144" s="10">
        <f t="shared" si="128"/>
        <v>134.80000000000001</v>
      </c>
    </row>
    <row r="1145" spans="1:12" x14ac:dyDescent="0.25">
      <c r="A1145" s="7">
        <v>45104</v>
      </c>
      <c r="B1145" t="s">
        <v>6</v>
      </c>
      <c r="C1145" s="6" t="s">
        <v>416</v>
      </c>
      <c r="D1145" s="1" t="s">
        <v>20</v>
      </c>
      <c r="E1145" s="1">
        <v>0.54166666666666663</v>
      </c>
      <c r="F1145" s="1">
        <v>0.56180555555555556</v>
      </c>
      <c r="G1145" s="9">
        <f t="shared" si="124"/>
        <v>45103</v>
      </c>
      <c r="H1145" s="11">
        <f t="shared" si="125"/>
        <v>0.5</v>
      </c>
      <c r="I1145" s="10">
        <f t="shared" si="126"/>
        <v>5.3</v>
      </c>
      <c r="J1145" s="10">
        <f t="shared" si="127"/>
        <v>7.2</v>
      </c>
      <c r="K1145" s="10">
        <f t="shared" si="123"/>
        <v>13.1</v>
      </c>
      <c r="L1145" s="10">
        <f t="shared" si="128"/>
        <v>135.30000000000001</v>
      </c>
    </row>
    <row r="1146" spans="1:12" x14ac:dyDescent="0.25">
      <c r="A1146" s="7">
        <v>45104</v>
      </c>
      <c r="B1146" t="s">
        <v>19</v>
      </c>
      <c r="C1146" s="6">
        <v>2675</v>
      </c>
      <c r="D1146" s="1" t="s">
        <v>373</v>
      </c>
      <c r="E1146" s="1">
        <v>0.56180555555555556</v>
      </c>
      <c r="F1146" s="1">
        <v>0.64513888888888882</v>
      </c>
      <c r="G1146" s="9">
        <f t="shared" si="124"/>
        <v>45103</v>
      </c>
      <c r="H1146" s="11">
        <f t="shared" si="125"/>
        <v>2</v>
      </c>
      <c r="I1146" s="10">
        <f t="shared" si="126"/>
        <v>7.3</v>
      </c>
      <c r="J1146" s="10">
        <f t="shared" si="127"/>
        <v>7.2</v>
      </c>
      <c r="K1146" s="10">
        <f t="shared" si="123"/>
        <v>15.1</v>
      </c>
      <c r="L1146" s="10">
        <f t="shared" si="128"/>
        <v>137.30000000000001</v>
      </c>
    </row>
    <row r="1147" spans="1:12" x14ac:dyDescent="0.25">
      <c r="A1147" s="7">
        <v>45105</v>
      </c>
      <c r="B1147" t="s">
        <v>309</v>
      </c>
      <c r="C1147" s="6">
        <v>2805</v>
      </c>
      <c r="D1147" s="1" t="s">
        <v>275</v>
      </c>
      <c r="E1147" s="1">
        <v>0.32708333333333334</v>
      </c>
      <c r="F1147" s="1">
        <v>0.375</v>
      </c>
      <c r="G1147" s="9">
        <f t="shared" si="124"/>
        <v>45103</v>
      </c>
      <c r="H1147" s="11">
        <f t="shared" si="125"/>
        <v>1.2</v>
      </c>
      <c r="I1147" s="10">
        <f t="shared" si="126"/>
        <v>1.2</v>
      </c>
      <c r="J1147" s="10">
        <f t="shared" si="127"/>
        <v>7.2</v>
      </c>
      <c r="K1147" s="10">
        <f t="shared" si="123"/>
        <v>16.3</v>
      </c>
      <c r="L1147" s="10">
        <f t="shared" si="128"/>
        <v>138.5</v>
      </c>
    </row>
    <row r="1148" spans="1:12" x14ac:dyDescent="0.25">
      <c r="A1148" s="7">
        <v>45105</v>
      </c>
      <c r="B1148" t="s">
        <v>6</v>
      </c>
      <c r="C1148" s="6" t="s">
        <v>416</v>
      </c>
      <c r="D1148" s="1" t="s">
        <v>234</v>
      </c>
      <c r="E1148" s="1">
        <v>0.375</v>
      </c>
      <c r="F1148" s="1">
        <v>0.44861111111111113</v>
      </c>
      <c r="G1148" s="9">
        <f t="shared" si="124"/>
        <v>45103</v>
      </c>
      <c r="H1148" s="11">
        <f t="shared" si="125"/>
        <v>1.8</v>
      </c>
      <c r="I1148" s="10">
        <f t="shared" si="126"/>
        <v>3</v>
      </c>
      <c r="J1148" s="10">
        <f t="shared" si="127"/>
        <v>7.2</v>
      </c>
      <c r="K1148" s="10">
        <f t="shared" si="123"/>
        <v>18.100000000000001</v>
      </c>
      <c r="L1148" s="10">
        <f t="shared" si="128"/>
        <v>140.30000000000001</v>
      </c>
    </row>
    <row r="1149" spans="1:12" x14ac:dyDescent="0.25">
      <c r="A1149" s="7">
        <v>45105</v>
      </c>
      <c r="B1149" s="2" t="s">
        <v>6</v>
      </c>
      <c r="C1149" s="24" t="s">
        <v>416</v>
      </c>
      <c r="D1149" s="5" t="s">
        <v>370</v>
      </c>
      <c r="E1149" s="1">
        <v>0.44861111111111113</v>
      </c>
      <c r="F1149" s="1">
        <v>0.50763888888888886</v>
      </c>
      <c r="G1149" s="9">
        <f t="shared" si="124"/>
        <v>45103</v>
      </c>
      <c r="H1149" s="11">
        <f t="shared" si="125"/>
        <v>1.4</v>
      </c>
      <c r="I1149" s="10">
        <f t="shared" si="126"/>
        <v>4.4000000000000004</v>
      </c>
      <c r="J1149" s="10">
        <f t="shared" si="127"/>
        <v>7.2</v>
      </c>
      <c r="K1149" s="10">
        <f t="shared" si="123"/>
        <v>19.5</v>
      </c>
      <c r="L1149" s="10">
        <f t="shared" si="128"/>
        <v>141.70000000000002</v>
      </c>
    </row>
    <row r="1150" spans="1:12" x14ac:dyDescent="0.25">
      <c r="A1150" s="7">
        <v>45105</v>
      </c>
      <c r="B1150" t="s">
        <v>19</v>
      </c>
      <c r="C1150" s="6">
        <v>2675</v>
      </c>
      <c r="D1150" s="1" t="s">
        <v>373</v>
      </c>
      <c r="E1150" s="1">
        <v>0.54375000000000007</v>
      </c>
      <c r="F1150" s="1">
        <v>0.67569444444444438</v>
      </c>
      <c r="G1150" s="9">
        <f t="shared" si="124"/>
        <v>45103</v>
      </c>
      <c r="H1150" s="11">
        <f t="shared" si="125"/>
        <v>3.2</v>
      </c>
      <c r="I1150" s="10">
        <f t="shared" si="126"/>
        <v>7.6000000000000005</v>
      </c>
      <c r="J1150" s="10">
        <f t="shared" si="127"/>
        <v>7.2</v>
      </c>
      <c r="K1150" s="10">
        <f t="shared" si="123"/>
        <v>22.7</v>
      </c>
      <c r="L1150" s="10">
        <f t="shared" si="128"/>
        <v>144.89999999999998</v>
      </c>
    </row>
    <row r="1151" spans="1:12" x14ac:dyDescent="0.25">
      <c r="A1151" s="7">
        <v>45106</v>
      </c>
      <c r="B1151" t="s">
        <v>19</v>
      </c>
      <c r="C1151" s="6">
        <v>2675</v>
      </c>
      <c r="D1151" s="1" t="s">
        <v>373</v>
      </c>
      <c r="E1151" s="1">
        <v>0.30486111111111108</v>
      </c>
      <c r="F1151" s="1">
        <v>0.48333333333333334</v>
      </c>
      <c r="G1151" s="9">
        <f t="shared" si="124"/>
        <v>45103</v>
      </c>
      <c r="H1151" s="11">
        <f t="shared" si="125"/>
        <v>4.3</v>
      </c>
      <c r="I1151" s="10">
        <f t="shared" si="126"/>
        <v>4.3</v>
      </c>
      <c r="J1151" s="10">
        <f t="shared" si="127"/>
        <v>7.2</v>
      </c>
      <c r="K1151" s="10">
        <f t="shared" si="123"/>
        <v>27</v>
      </c>
      <c r="L1151" s="10">
        <f t="shared" si="128"/>
        <v>149.20000000000002</v>
      </c>
    </row>
    <row r="1152" spans="1:12" x14ac:dyDescent="0.25">
      <c r="A1152" s="7">
        <v>45106</v>
      </c>
      <c r="B1152" t="s">
        <v>19</v>
      </c>
      <c r="C1152" s="6">
        <v>2675</v>
      </c>
      <c r="D1152" s="1" t="s">
        <v>373</v>
      </c>
      <c r="E1152" s="1">
        <v>0.51250000000000007</v>
      </c>
      <c r="F1152" s="1">
        <v>0.59375</v>
      </c>
      <c r="G1152" s="9">
        <f t="shared" si="124"/>
        <v>45103</v>
      </c>
      <c r="H1152" s="11">
        <f t="shared" si="125"/>
        <v>2</v>
      </c>
      <c r="I1152" s="10">
        <f t="shared" si="126"/>
        <v>6.3</v>
      </c>
      <c r="J1152" s="10">
        <f t="shared" si="127"/>
        <v>7.2</v>
      </c>
      <c r="K1152" s="10">
        <f t="shared" si="123"/>
        <v>29</v>
      </c>
      <c r="L1152" s="10">
        <f t="shared" si="128"/>
        <v>151.19999999999999</v>
      </c>
    </row>
    <row r="1153" spans="1:12" x14ac:dyDescent="0.25">
      <c r="A1153" s="7">
        <v>45106</v>
      </c>
      <c r="B1153" t="s">
        <v>309</v>
      </c>
      <c r="C1153" s="6">
        <v>2805</v>
      </c>
      <c r="D1153" s="1" t="s">
        <v>275</v>
      </c>
      <c r="E1153" s="1">
        <v>0.59375</v>
      </c>
      <c r="F1153" s="1">
        <v>0.66388888888888886</v>
      </c>
      <c r="G1153" s="9">
        <f t="shared" si="124"/>
        <v>45103</v>
      </c>
      <c r="H1153" s="11">
        <f t="shared" si="125"/>
        <v>1.7</v>
      </c>
      <c r="I1153" s="10">
        <f t="shared" si="126"/>
        <v>8</v>
      </c>
      <c r="J1153" s="10">
        <f t="shared" si="127"/>
        <v>7.2</v>
      </c>
      <c r="K1153" s="10">
        <f t="shared" si="123"/>
        <v>30.7</v>
      </c>
      <c r="L1153" s="10">
        <f t="shared" si="128"/>
        <v>152.89999999999998</v>
      </c>
    </row>
    <row r="1154" spans="1:12" x14ac:dyDescent="0.25">
      <c r="A1154" s="7">
        <v>45107</v>
      </c>
      <c r="B1154" t="s">
        <v>19</v>
      </c>
      <c r="C1154" s="6">
        <v>2675</v>
      </c>
      <c r="D1154" s="1" t="s">
        <v>373</v>
      </c>
      <c r="E1154" s="1">
        <v>0.3430555555555555</v>
      </c>
      <c r="F1154" s="1">
        <v>0.41180555555555554</v>
      </c>
      <c r="G1154" s="9">
        <f t="shared" si="124"/>
        <v>45103</v>
      </c>
      <c r="H1154" s="11">
        <f t="shared" si="125"/>
        <v>1.7</v>
      </c>
      <c r="I1154" s="10">
        <f t="shared" si="126"/>
        <v>1.7</v>
      </c>
      <c r="J1154" s="10">
        <f t="shared" si="127"/>
        <v>7.2</v>
      </c>
      <c r="K1154" s="10">
        <f t="shared" si="123"/>
        <v>32.4</v>
      </c>
      <c r="L1154" s="10">
        <f t="shared" si="128"/>
        <v>154.6</v>
      </c>
    </row>
    <row r="1155" spans="1:12" x14ac:dyDescent="0.25">
      <c r="A1155" s="7">
        <v>45107</v>
      </c>
      <c r="B1155" s="2" t="s">
        <v>6</v>
      </c>
      <c r="C1155" s="24" t="s">
        <v>416</v>
      </c>
      <c r="D1155" s="5" t="s">
        <v>151</v>
      </c>
      <c r="E1155" s="1">
        <v>0.41180555555555554</v>
      </c>
      <c r="F1155" s="1">
        <v>0.47847222222222219</v>
      </c>
      <c r="G1155" s="9">
        <f t="shared" si="124"/>
        <v>45103</v>
      </c>
      <c r="H1155" s="11">
        <f t="shared" si="125"/>
        <v>1.6</v>
      </c>
      <c r="I1155" s="10">
        <f t="shared" si="126"/>
        <v>3.3</v>
      </c>
      <c r="J1155" s="10">
        <f t="shared" si="127"/>
        <v>7.2</v>
      </c>
      <c r="K1155" s="10">
        <f t="shared" ref="K1155:K1218" si="129">IF(H1155="",H1155,H1155+IF(G1155=G1154,_xlfn.NUMBERVALUE(K1154),0))</f>
        <v>34</v>
      </c>
      <c r="L1155" s="10">
        <f t="shared" si="128"/>
        <v>156.19999999999999</v>
      </c>
    </row>
    <row r="1156" spans="1:12" x14ac:dyDescent="0.25">
      <c r="A1156" s="7">
        <v>45107</v>
      </c>
      <c r="B1156" t="s">
        <v>19</v>
      </c>
      <c r="C1156" s="6">
        <v>2675</v>
      </c>
      <c r="D1156" s="1" t="s">
        <v>373</v>
      </c>
      <c r="E1156" s="1">
        <v>0.47847222222222219</v>
      </c>
      <c r="F1156" s="1">
        <v>0.53125</v>
      </c>
      <c r="G1156" s="9">
        <f t="shared" si="124"/>
        <v>45103</v>
      </c>
      <c r="H1156" s="11">
        <f t="shared" si="125"/>
        <v>1.3</v>
      </c>
      <c r="I1156" s="10">
        <f t="shared" si="126"/>
        <v>4.5999999999999996</v>
      </c>
      <c r="J1156" s="10">
        <f t="shared" si="127"/>
        <v>7.2</v>
      </c>
      <c r="K1156" s="10">
        <f t="shared" si="129"/>
        <v>35.299999999999997</v>
      </c>
      <c r="L1156" s="10">
        <f t="shared" si="128"/>
        <v>157.5</v>
      </c>
    </row>
    <row r="1157" spans="1:12" x14ac:dyDescent="0.25">
      <c r="A1157" s="7">
        <v>45107</v>
      </c>
      <c r="B1157" s="2" t="s">
        <v>6</v>
      </c>
      <c r="C1157" s="24" t="s">
        <v>416</v>
      </c>
      <c r="D1157" s="5" t="s">
        <v>374</v>
      </c>
      <c r="E1157" s="1">
        <v>0.53125</v>
      </c>
      <c r="F1157" s="1">
        <v>0.59375</v>
      </c>
      <c r="G1157" s="9">
        <f t="shared" si="124"/>
        <v>45103</v>
      </c>
      <c r="H1157" s="11">
        <f t="shared" si="125"/>
        <v>1.5</v>
      </c>
      <c r="I1157" s="10">
        <f t="shared" si="126"/>
        <v>6.1</v>
      </c>
      <c r="J1157" s="10">
        <f t="shared" si="127"/>
        <v>7.2</v>
      </c>
      <c r="K1157" s="10">
        <f t="shared" si="129"/>
        <v>36.799999999999997</v>
      </c>
      <c r="L1157" s="10">
        <f t="shared" si="128"/>
        <v>159</v>
      </c>
    </row>
    <row r="1158" spans="1:12" x14ac:dyDescent="0.25">
      <c r="A1158" s="7">
        <v>45107</v>
      </c>
      <c r="B1158" t="s">
        <v>19</v>
      </c>
      <c r="C1158" s="6">
        <v>2675</v>
      </c>
      <c r="D1158" s="1" t="s">
        <v>375</v>
      </c>
      <c r="E1158" s="1">
        <v>0.59375</v>
      </c>
      <c r="F1158" s="1">
        <v>0.69652777777777775</v>
      </c>
      <c r="G1158" s="9">
        <f t="shared" si="124"/>
        <v>45103</v>
      </c>
      <c r="H1158" s="11">
        <f t="shared" si="125"/>
        <v>2.5</v>
      </c>
      <c r="I1158" s="10">
        <f t="shared" si="126"/>
        <v>8.6</v>
      </c>
      <c r="J1158" s="10">
        <f t="shared" si="127"/>
        <v>7.2</v>
      </c>
      <c r="K1158" s="10">
        <f t="shared" si="129"/>
        <v>39.299999999999997</v>
      </c>
      <c r="L1158" s="10">
        <f t="shared" si="128"/>
        <v>161.5</v>
      </c>
    </row>
    <row r="1159" spans="1:12" x14ac:dyDescent="0.25">
      <c r="A1159" s="7">
        <v>45110</v>
      </c>
      <c r="B1159" s="2" t="s">
        <v>6</v>
      </c>
      <c r="C1159" s="24" t="s">
        <v>416</v>
      </c>
      <c r="D1159" s="5" t="s">
        <v>376</v>
      </c>
      <c r="E1159" s="1">
        <v>0.3125</v>
      </c>
      <c r="F1159" s="1">
        <v>0.44444444444444442</v>
      </c>
      <c r="G1159" s="9">
        <f t="shared" si="124"/>
        <v>45110</v>
      </c>
      <c r="H1159" s="11">
        <f t="shared" si="125"/>
        <v>3.2</v>
      </c>
      <c r="I1159" s="10">
        <f t="shared" si="126"/>
        <v>3.2</v>
      </c>
      <c r="J1159" s="10">
        <f t="shared" si="127"/>
        <v>7.2</v>
      </c>
      <c r="K1159" s="10">
        <f t="shared" si="129"/>
        <v>3.2</v>
      </c>
      <c r="L1159" s="10">
        <f t="shared" si="128"/>
        <v>3.2</v>
      </c>
    </row>
    <row r="1160" spans="1:12" x14ac:dyDescent="0.25">
      <c r="A1160" s="7">
        <v>45110</v>
      </c>
      <c r="B1160" s="2" t="s">
        <v>6</v>
      </c>
      <c r="C1160" s="24" t="s">
        <v>416</v>
      </c>
      <c r="D1160" s="5" t="s">
        <v>377</v>
      </c>
      <c r="E1160" s="1">
        <v>0.44444444444444442</v>
      </c>
      <c r="F1160" s="1">
        <v>0.625</v>
      </c>
      <c r="G1160" s="9">
        <f t="shared" si="124"/>
        <v>45110</v>
      </c>
      <c r="H1160" s="11">
        <f t="shared" si="125"/>
        <v>4.3</v>
      </c>
      <c r="I1160" s="10">
        <f t="shared" si="126"/>
        <v>7.5</v>
      </c>
      <c r="J1160" s="10">
        <f t="shared" si="127"/>
        <v>7.2</v>
      </c>
      <c r="K1160" s="10">
        <f t="shared" si="129"/>
        <v>7.5</v>
      </c>
      <c r="L1160" s="10">
        <f t="shared" si="128"/>
        <v>7.5</v>
      </c>
    </row>
    <row r="1161" spans="1:12" x14ac:dyDescent="0.25">
      <c r="A1161" s="7">
        <v>45110</v>
      </c>
      <c r="B1161" s="2" t="s">
        <v>17</v>
      </c>
      <c r="C1161" s="24">
        <v>2420</v>
      </c>
      <c r="D1161" t="s">
        <v>378</v>
      </c>
      <c r="E1161" s="1">
        <v>0.625</v>
      </c>
      <c r="F1161" s="1">
        <v>0.67083333333333339</v>
      </c>
      <c r="G1161" s="9">
        <f t="shared" si="124"/>
        <v>45110</v>
      </c>
      <c r="H1161" s="11">
        <f t="shared" si="125"/>
        <v>1.1000000000000001</v>
      </c>
      <c r="I1161" s="10">
        <f t="shared" si="126"/>
        <v>8.6</v>
      </c>
      <c r="J1161" s="10">
        <f t="shared" si="127"/>
        <v>7.2</v>
      </c>
      <c r="K1161" s="10">
        <f t="shared" si="129"/>
        <v>8.6</v>
      </c>
      <c r="L1161" s="10">
        <f t="shared" si="128"/>
        <v>8.6</v>
      </c>
    </row>
    <row r="1162" spans="1:12" x14ac:dyDescent="0.25">
      <c r="A1162" s="7">
        <v>45111</v>
      </c>
      <c r="B1162" s="2" t="s">
        <v>6</v>
      </c>
      <c r="C1162" s="24" t="s">
        <v>416</v>
      </c>
      <c r="D1162" s="5" t="s">
        <v>377</v>
      </c>
      <c r="E1162" s="1">
        <v>0.32291666666666669</v>
      </c>
      <c r="F1162" s="1">
        <v>0.3833333333333333</v>
      </c>
      <c r="G1162" s="9">
        <f t="shared" si="124"/>
        <v>45110</v>
      </c>
      <c r="H1162" s="11">
        <f t="shared" si="125"/>
        <v>1.5</v>
      </c>
      <c r="I1162" s="10">
        <f t="shared" si="126"/>
        <v>1.5</v>
      </c>
      <c r="J1162" s="10">
        <f t="shared" si="127"/>
        <v>7.2</v>
      </c>
      <c r="K1162" s="10">
        <f t="shared" si="129"/>
        <v>10.1</v>
      </c>
      <c r="L1162" s="10">
        <f t="shared" si="128"/>
        <v>10.1</v>
      </c>
    </row>
    <row r="1163" spans="1:12" x14ac:dyDescent="0.25">
      <c r="A1163" s="7">
        <v>45111</v>
      </c>
      <c r="B1163" t="s">
        <v>309</v>
      </c>
      <c r="C1163" s="6">
        <v>2805</v>
      </c>
      <c r="D1163" s="1" t="s">
        <v>275</v>
      </c>
      <c r="E1163" s="1">
        <v>0.3833333333333333</v>
      </c>
      <c r="F1163" s="1">
        <v>0.4375</v>
      </c>
      <c r="G1163" s="9">
        <f t="shared" si="124"/>
        <v>45110</v>
      </c>
      <c r="H1163" s="11">
        <f t="shared" si="125"/>
        <v>1.3</v>
      </c>
      <c r="I1163" s="10">
        <f t="shared" si="126"/>
        <v>2.8</v>
      </c>
      <c r="J1163" s="10">
        <f t="shared" si="127"/>
        <v>7.2</v>
      </c>
      <c r="K1163" s="10">
        <f t="shared" si="129"/>
        <v>11.4</v>
      </c>
      <c r="L1163" s="10">
        <f t="shared" si="128"/>
        <v>11.4</v>
      </c>
    </row>
    <row r="1164" spans="1:12" x14ac:dyDescent="0.25">
      <c r="A1164" s="7">
        <v>45111</v>
      </c>
      <c r="B1164" s="2" t="s">
        <v>6</v>
      </c>
      <c r="C1164" s="24" t="s">
        <v>416</v>
      </c>
      <c r="D1164" s="5" t="s">
        <v>379</v>
      </c>
      <c r="E1164" s="1">
        <v>0.4375</v>
      </c>
      <c r="F1164" s="1">
        <v>0.47291666666666665</v>
      </c>
      <c r="G1164" s="9">
        <f t="shared" si="124"/>
        <v>45110</v>
      </c>
      <c r="H1164" s="11">
        <f t="shared" si="125"/>
        <v>0.9</v>
      </c>
      <c r="I1164" s="10">
        <f t="shared" si="126"/>
        <v>3.6999999999999997</v>
      </c>
      <c r="J1164" s="10">
        <f t="shared" si="127"/>
        <v>7.2</v>
      </c>
      <c r="K1164" s="10">
        <f t="shared" si="129"/>
        <v>12.3</v>
      </c>
      <c r="L1164" s="10">
        <f t="shared" si="128"/>
        <v>12.3</v>
      </c>
    </row>
    <row r="1165" spans="1:12" x14ac:dyDescent="0.25">
      <c r="A1165" s="7">
        <v>45111</v>
      </c>
      <c r="B1165" t="s">
        <v>19</v>
      </c>
      <c r="C1165" s="6">
        <v>2675</v>
      </c>
      <c r="D1165" s="1" t="s">
        <v>380</v>
      </c>
      <c r="E1165" s="1">
        <v>0.47291666666666665</v>
      </c>
      <c r="F1165" s="1">
        <v>0.50138888888888888</v>
      </c>
      <c r="G1165" s="9">
        <f t="shared" si="124"/>
        <v>45110</v>
      </c>
      <c r="H1165" s="11">
        <f t="shared" si="125"/>
        <v>0.7</v>
      </c>
      <c r="I1165" s="10">
        <f t="shared" si="126"/>
        <v>4.4000000000000004</v>
      </c>
      <c r="J1165" s="10">
        <f t="shared" si="127"/>
        <v>7.2</v>
      </c>
      <c r="K1165" s="10">
        <f t="shared" si="129"/>
        <v>13</v>
      </c>
      <c r="L1165" s="10">
        <f t="shared" si="128"/>
        <v>13</v>
      </c>
    </row>
    <row r="1166" spans="1:12" x14ac:dyDescent="0.25">
      <c r="A1166" s="7">
        <v>45111</v>
      </c>
      <c r="B1166" t="s">
        <v>309</v>
      </c>
      <c r="C1166" s="6">
        <v>2805</v>
      </c>
      <c r="D1166" s="1" t="s">
        <v>275</v>
      </c>
      <c r="E1166" s="1">
        <v>0.52152777777777781</v>
      </c>
      <c r="F1166" s="1">
        <v>0.62986111111111109</v>
      </c>
      <c r="G1166" s="9">
        <f t="shared" si="124"/>
        <v>45110</v>
      </c>
      <c r="H1166" s="11">
        <f t="shared" si="125"/>
        <v>2.6</v>
      </c>
      <c r="I1166" s="10">
        <f t="shared" si="126"/>
        <v>7</v>
      </c>
      <c r="J1166" s="10">
        <f t="shared" si="127"/>
        <v>7.2</v>
      </c>
      <c r="K1166" s="10">
        <f t="shared" si="129"/>
        <v>15.6</v>
      </c>
      <c r="L1166" s="10">
        <f t="shared" si="128"/>
        <v>15.6</v>
      </c>
    </row>
    <row r="1167" spans="1:12" x14ac:dyDescent="0.25">
      <c r="A1167" s="7">
        <v>45112</v>
      </c>
      <c r="B1167" t="s">
        <v>381</v>
      </c>
      <c r="C1167" s="6">
        <v>6008</v>
      </c>
      <c r="D1167" s="1" t="s">
        <v>382</v>
      </c>
      <c r="E1167" s="1">
        <v>0.32847222222222222</v>
      </c>
      <c r="F1167" s="1">
        <v>0.47361111111111115</v>
      </c>
      <c r="G1167" s="9">
        <f t="shared" si="124"/>
        <v>45110</v>
      </c>
      <c r="H1167" s="11">
        <f t="shared" si="125"/>
        <v>3.5</v>
      </c>
      <c r="I1167" s="10">
        <f t="shared" si="126"/>
        <v>3.5</v>
      </c>
      <c r="J1167" s="10">
        <f t="shared" si="127"/>
        <v>7.2</v>
      </c>
      <c r="K1167" s="10">
        <f t="shared" si="129"/>
        <v>19.100000000000001</v>
      </c>
      <c r="L1167" s="10">
        <f t="shared" si="128"/>
        <v>19.100000000000001</v>
      </c>
    </row>
    <row r="1168" spans="1:12" x14ac:dyDescent="0.25">
      <c r="A1168" s="7">
        <v>45112</v>
      </c>
      <c r="B1168" t="s">
        <v>309</v>
      </c>
      <c r="C1168" s="6">
        <v>2805</v>
      </c>
      <c r="D1168" s="1" t="s">
        <v>275</v>
      </c>
      <c r="E1168" s="1">
        <v>0.47361111111111115</v>
      </c>
      <c r="F1168" s="1">
        <v>0.52361111111111114</v>
      </c>
      <c r="G1168" s="9">
        <f t="shared" si="124"/>
        <v>45110</v>
      </c>
      <c r="H1168" s="11">
        <f t="shared" si="125"/>
        <v>1.2</v>
      </c>
      <c r="I1168" s="10">
        <f t="shared" si="126"/>
        <v>4.7</v>
      </c>
      <c r="J1168" s="10">
        <f t="shared" si="127"/>
        <v>7.2</v>
      </c>
      <c r="K1168" s="10">
        <f t="shared" si="129"/>
        <v>20.3</v>
      </c>
      <c r="L1168" s="10">
        <f t="shared" si="128"/>
        <v>20.3</v>
      </c>
    </row>
    <row r="1169" spans="1:12" x14ac:dyDescent="0.25">
      <c r="A1169" s="7">
        <v>45112</v>
      </c>
      <c r="B1169" t="s">
        <v>309</v>
      </c>
      <c r="C1169" s="6">
        <v>2805</v>
      </c>
      <c r="D1169" s="1" t="s">
        <v>275</v>
      </c>
      <c r="E1169" s="1">
        <v>0.54236111111111118</v>
      </c>
      <c r="F1169" s="1">
        <v>0.64374999999999993</v>
      </c>
      <c r="G1169" s="9">
        <f t="shared" si="124"/>
        <v>45110</v>
      </c>
      <c r="H1169" s="11">
        <f t="shared" si="125"/>
        <v>2.4</v>
      </c>
      <c r="I1169" s="10">
        <f t="shared" si="126"/>
        <v>7.1</v>
      </c>
      <c r="J1169" s="10">
        <f t="shared" si="127"/>
        <v>7.2</v>
      </c>
      <c r="K1169" s="10">
        <f t="shared" si="129"/>
        <v>22.7</v>
      </c>
      <c r="L1169" s="10">
        <f t="shared" si="128"/>
        <v>22.7</v>
      </c>
    </row>
    <row r="1170" spans="1:12" x14ac:dyDescent="0.25">
      <c r="A1170" s="7">
        <v>45113</v>
      </c>
      <c r="B1170" t="s">
        <v>309</v>
      </c>
      <c r="C1170" s="6">
        <v>2805</v>
      </c>
      <c r="D1170" s="1" t="s">
        <v>275</v>
      </c>
      <c r="E1170" s="1">
        <v>0.30277777777777776</v>
      </c>
      <c r="F1170" s="1">
        <v>0.38541666666666669</v>
      </c>
      <c r="G1170" s="9">
        <f t="shared" si="124"/>
        <v>45110</v>
      </c>
      <c r="H1170" s="11">
        <f t="shared" si="125"/>
        <v>2</v>
      </c>
      <c r="I1170" s="10">
        <f t="shared" si="126"/>
        <v>2</v>
      </c>
      <c r="J1170" s="10">
        <f t="shared" si="127"/>
        <v>7.2</v>
      </c>
      <c r="K1170" s="10">
        <f t="shared" si="129"/>
        <v>24.7</v>
      </c>
      <c r="L1170" s="10">
        <f t="shared" si="128"/>
        <v>24.7</v>
      </c>
    </row>
    <row r="1171" spans="1:12" x14ac:dyDescent="0.25">
      <c r="A1171" s="7">
        <v>45113</v>
      </c>
      <c r="B1171" t="s">
        <v>381</v>
      </c>
      <c r="C1171" s="6">
        <v>6008</v>
      </c>
      <c r="D1171" s="1" t="s">
        <v>383</v>
      </c>
      <c r="E1171" s="1">
        <v>0.38541666666666669</v>
      </c>
      <c r="F1171" s="1">
        <v>0.42708333333333331</v>
      </c>
      <c r="G1171" s="9">
        <f t="shared" si="124"/>
        <v>45110</v>
      </c>
      <c r="H1171" s="11">
        <f t="shared" si="125"/>
        <v>1</v>
      </c>
      <c r="I1171" s="10">
        <f t="shared" si="126"/>
        <v>3</v>
      </c>
      <c r="J1171" s="10">
        <f t="shared" si="127"/>
        <v>7.2</v>
      </c>
      <c r="K1171" s="10">
        <f t="shared" si="129"/>
        <v>25.7</v>
      </c>
      <c r="L1171" s="10">
        <f t="shared" si="128"/>
        <v>25.7</v>
      </c>
    </row>
    <row r="1172" spans="1:12" x14ac:dyDescent="0.25">
      <c r="A1172" s="7">
        <v>45113</v>
      </c>
      <c r="B1172" t="s">
        <v>309</v>
      </c>
      <c r="C1172" s="6">
        <v>2805</v>
      </c>
      <c r="D1172" s="1" t="s">
        <v>275</v>
      </c>
      <c r="E1172" s="1">
        <v>0.42708333333333331</v>
      </c>
      <c r="F1172" s="1">
        <v>0.47986111111111113</v>
      </c>
      <c r="G1172" s="9">
        <f t="shared" si="124"/>
        <v>45110</v>
      </c>
      <c r="H1172" s="11">
        <f t="shared" si="125"/>
        <v>1.3</v>
      </c>
      <c r="I1172" s="10">
        <f t="shared" si="126"/>
        <v>4.3</v>
      </c>
      <c r="J1172" s="10">
        <f t="shared" si="127"/>
        <v>7.2</v>
      </c>
      <c r="K1172" s="10">
        <f t="shared" si="129"/>
        <v>27</v>
      </c>
      <c r="L1172" s="10">
        <f t="shared" si="128"/>
        <v>27</v>
      </c>
    </row>
    <row r="1173" spans="1:12" x14ac:dyDescent="0.25">
      <c r="A1173" s="7">
        <v>45113</v>
      </c>
      <c r="B1173" t="s">
        <v>309</v>
      </c>
      <c r="C1173" s="6">
        <v>2805</v>
      </c>
      <c r="D1173" s="1" t="s">
        <v>275</v>
      </c>
      <c r="E1173" s="1">
        <v>0.50277777777777777</v>
      </c>
      <c r="F1173" s="1">
        <v>0.56874999999999998</v>
      </c>
      <c r="G1173" s="9">
        <f t="shared" si="124"/>
        <v>45110</v>
      </c>
      <c r="H1173" s="11">
        <f t="shared" si="125"/>
        <v>1.6</v>
      </c>
      <c r="I1173" s="10">
        <f t="shared" si="126"/>
        <v>5.9</v>
      </c>
      <c r="J1173" s="10">
        <f t="shared" si="127"/>
        <v>7.2</v>
      </c>
      <c r="K1173" s="10">
        <f t="shared" si="129"/>
        <v>28.6</v>
      </c>
      <c r="L1173" s="10">
        <f t="shared" si="128"/>
        <v>28.6</v>
      </c>
    </row>
    <row r="1174" spans="1:12" x14ac:dyDescent="0.25">
      <c r="A1174" s="7">
        <v>45113</v>
      </c>
      <c r="B1174" t="s">
        <v>17</v>
      </c>
      <c r="C1174" s="6">
        <v>2420</v>
      </c>
      <c r="D1174" t="s">
        <v>384</v>
      </c>
      <c r="E1174" s="1">
        <v>0.56874999999999998</v>
      </c>
      <c r="F1174" s="1">
        <v>0.61319444444444449</v>
      </c>
      <c r="G1174" s="9">
        <f t="shared" si="124"/>
        <v>45110</v>
      </c>
      <c r="H1174" s="11">
        <f t="shared" si="125"/>
        <v>1.1000000000000001</v>
      </c>
      <c r="I1174" s="10">
        <f t="shared" si="126"/>
        <v>7</v>
      </c>
      <c r="J1174" s="10">
        <f t="shared" si="127"/>
        <v>7.2</v>
      </c>
      <c r="K1174" s="10">
        <f t="shared" si="129"/>
        <v>29.700000000000003</v>
      </c>
      <c r="L1174" s="10">
        <f t="shared" si="128"/>
        <v>29.700000000000003</v>
      </c>
    </row>
    <row r="1175" spans="1:12" x14ac:dyDescent="0.25">
      <c r="A1175" s="7">
        <v>45113</v>
      </c>
      <c r="B1175" t="s">
        <v>311</v>
      </c>
      <c r="C1175" s="6">
        <v>2008</v>
      </c>
      <c r="D1175" t="s">
        <v>44</v>
      </c>
      <c r="E1175" s="1">
        <v>0.625</v>
      </c>
      <c r="F1175" s="1">
        <v>0.6694444444444444</v>
      </c>
      <c r="G1175" s="9">
        <f t="shared" si="124"/>
        <v>45110</v>
      </c>
      <c r="H1175" s="11">
        <f t="shared" si="125"/>
        <v>1.1000000000000001</v>
      </c>
      <c r="I1175" s="10">
        <f t="shared" si="126"/>
        <v>8.1</v>
      </c>
      <c r="J1175" s="10">
        <f t="shared" si="127"/>
        <v>7.2</v>
      </c>
      <c r="K1175" s="10">
        <f t="shared" si="129"/>
        <v>30.8</v>
      </c>
      <c r="L1175" s="10">
        <f t="shared" si="128"/>
        <v>30.8</v>
      </c>
    </row>
    <row r="1176" spans="1:12" x14ac:dyDescent="0.25">
      <c r="A1176" s="7">
        <v>45114</v>
      </c>
      <c r="B1176" t="s">
        <v>309</v>
      </c>
      <c r="C1176" s="6">
        <v>2805</v>
      </c>
      <c r="D1176" s="1" t="s">
        <v>385</v>
      </c>
      <c r="E1176" s="1">
        <v>0.34027777777777773</v>
      </c>
      <c r="F1176" s="1">
        <v>0.45833333333333331</v>
      </c>
      <c r="G1176" s="9">
        <f t="shared" si="124"/>
        <v>45110</v>
      </c>
      <c r="H1176" s="11">
        <f t="shared" si="125"/>
        <v>2.8</v>
      </c>
      <c r="I1176" s="10">
        <f t="shared" si="126"/>
        <v>2.8</v>
      </c>
      <c r="J1176" s="10">
        <f t="shared" si="127"/>
        <v>7.2</v>
      </c>
      <c r="K1176" s="10">
        <f t="shared" si="129"/>
        <v>33.6</v>
      </c>
      <c r="L1176" s="10">
        <f t="shared" si="128"/>
        <v>33.6</v>
      </c>
    </row>
    <row r="1177" spans="1:12" x14ac:dyDescent="0.25">
      <c r="A1177" s="7">
        <v>45114</v>
      </c>
      <c r="B1177" t="s">
        <v>17</v>
      </c>
      <c r="C1177" s="6">
        <v>2420</v>
      </c>
      <c r="D1177" t="s">
        <v>44</v>
      </c>
      <c r="E1177" s="1">
        <v>0.45833333333333331</v>
      </c>
      <c r="F1177" s="1">
        <v>0.54166666666666663</v>
      </c>
      <c r="G1177" s="9">
        <f t="shared" si="124"/>
        <v>45110</v>
      </c>
      <c r="H1177" s="11">
        <f t="shared" si="125"/>
        <v>2</v>
      </c>
      <c r="I1177" s="10">
        <f t="shared" si="126"/>
        <v>4.8</v>
      </c>
      <c r="J1177" s="10">
        <f t="shared" si="127"/>
        <v>7.2</v>
      </c>
      <c r="K1177" s="10">
        <f t="shared" si="129"/>
        <v>35.6</v>
      </c>
      <c r="L1177" s="10">
        <f t="shared" si="128"/>
        <v>35.6</v>
      </c>
    </row>
    <row r="1178" spans="1:12" x14ac:dyDescent="0.25">
      <c r="A1178" s="7">
        <v>45114</v>
      </c>
      <c r="B1178" t="s">
        <v>381</v>
      </c>
      <c r="C1178" s="6">
        <v>6008</v>
      </c>
      <c r="D1178" s="1" t="s">
        <v>386</v>
      </c>
      <c r="E1178" s="1">
        <v>0.55347222222222225</v>
      </c>
      <c r="F1178" s="1">
        <v>0.61875000000000002</v>
      </c>
      <c r="G1178" s="9">
        <f t="shared" si="124"/>
        <v>45110</v>
      </c>
      <c r="H1178" s="11">
        <f t="shared" si="125"/>
        <v>1.6</v>
      </c>
      <c r="I1178" s="10">
        <f t="shared" si="126"/>
        <v>6.4</v>
      </c>
      <c r="J1178" s="10">
        <f t="shared" si="127"/>
        <v>7.2</v>
      </c>
      <c r="K1178" s="10">
        <f t="shared" si="129"/>
        <v>37.200000000000003</v>
      </c>
      <c r="L1178" s="10">
        <f t="shared" si="128"/>
        <v>37.200000000000003</v>
      </c>
    </row>
    <row r="1179" spans="1:12" x14ac:dyDescent="0.25">
      <c r="A1179" s="7">
        <v>45117</v>
      </c>
      <c r="B1179" t="s">
        <v>6</v>
      </c>
      <c r="C1179" s="6" t="s">
        <v>416</v>
      </c>
      <c r="D1179" s="1" t="s">
        <v>387</v>
      </c>
      <c r="E1179" s="1">
        <v>0.37708333333333338</v>
      </c>
      <c r="F1179" s="1">
        <v>0.45833333333333331</v>
      </c>
      <c r="G1179" s="9">
        <f t="shared" si="124"/>
        <v>45117</v>
      </c>
      <c r="H1179" s="11">
        <f t="shared" si="125"/>
        <v>2</v>
      </c>
      <c r="I1179" s="10">
        <f t="shared" si="126"/>
        <v>2</v>
      </c>
      <c r="J1179" s="10">
        <f t="shared" si="127"/>
        <v>7.2</v>
      </c>
      <c r="K1179" s="10">
        <f t="shared" si="129"/>
        <v>2</v>
      </c>
      <c r="L1179" s="10">
        <f t="shared" si="128"/>
        <v>39.200000000000003</v>
      </c>
    </row>
    <row r="1180" spans="1:12" x14ac:dyDescent="0.25">
      <c r="A1180" s="7">
        <v>45117</v>
      </c>
      <c r="B1180" t="s">
        <v>309</v>
      </c>
      <c r="C1180" s="6">
        <v>2805</v>
      </c>
      <c r="D1180" s="1" t="s">
        <v>44</v>
      </c>
      <c r="E1180" s="1">
        <v>0.45833333333333331</v>
      </c>
      <c r="F1180" s="1">
        <v>0.52500000000000002</v>
      </c>
      <c r="G1180" s="9">
        <f t="shared" si="124"/>
        <v>45117</v>
      </c>
      <c r="H1180" s="11">
        <f t="shared" si="125"/>
        <v>1.6</v>
      </c>
      <c r="I1180" s="10">
        <f t="shared" si="126"/>
        <v>3.6</v>
      </c>
      <c r="J1180" s="10">
        <f t="shared" si="127"/>
        <v>7.2</v>
      </c>
      <c r="K1180" s="10">
        <f t="shared" si="129"/>
        <v>3.6</v>
      </c>
      <c r="L1180" s="10">
        <f t="shared" si="128"/>
        <v>40.800000000000004</v>
      </c>
    </row>
    <row r="1181" spans="1:12" x14ac:dyDescent="0.25">
      <c r="A1181" s="7">
        <v>45117</v>
      </c>
      <c r="B1181" t="s">
        <v>309</v>
      </c>
      <c r="C1181" s="6">
        <v>2805</v>
      </c>
      <c r="D1181" s="1" t="s">
        <v>388</v>
      </c>
      <c r="E1181" s="1">
        <v>0.53541666666666665</v>
      </c>
      <c r="F1181" s="1">
        <v>0.63958333333333328</v>
      </c>
      <c r="G1181" s="9">
        <f t="shared" si="124"/>
        <v>45117</v>
      </c>
      <c r="H1181" s="11">
        <f t="shared" si="125"/>
        <v>2.5</v>
      </c>
      <c r="I1181" s="10">
        <f t="shared" si="126"/>
        <v>6.1</v>
      </c>
      <c r="J1181" s="10">
        <f t="shared" si="127"/>
        <v>7.2</v>
      </c>
      <c r="K1181" s="10">
        <f t="shared" si="129"/>
        <v>6.1</v>
      </c>
      <c r="L1181" s="10">
        <f t="shared" si="128"/>
        <v>43.3</v>
      </c>
    </row>
    <row r="1182" spans="1:12" x14ac:dyDescent="0.25">
      <c r="A1182" s="7">
        <v>45117</v>
      </c>
      <c r="B1182" t="s">
        <v>17</v>
      </c>
      <c r="C1182" s="6">
        <v>2420</v>
      </c>
      <c r="D1182" t="s">
        <v>389</v>
      </c>
      <c r="E1182" s="1">
        <v>0.63958333333333328</v>
      </c>
      <c r="F1182" s="1">
        <v>0.66388888888888886</v>
      </c>
      <c r="G1182" s="9">
        <f t="shared" si="124"/>
        <v>45117</v>
      </c>
      <c r="H1182" s="11">
        <f t="shared" si="125"/>
        <v>0.6</v>
      </c>
      <c r="I1182" s="10">
        <f t="shared" si="126"/>
        <v>6.6999999999999993</v>
      </c>
      <c r="J1182" s="10">
        <f t="shared" si="127"/>
        <v>7.2</v>
      </c>
      <c r="K1182" s="10">
        <f t="shared" si="129"/>
        <v>6.6999999999999993</v>
      </c>
      <c r="L1182" s="10">
        <f t="shared" si="128"/>
        <v>43.9</v>
      </c>
    </row>
    <row r="1183" spans="1:12" x14ac:dyDescent="0.25">
      <c r="A1183" s="7">
        <v>45118</v>
      </c>
      <c r="B1183" t="s">
        <v>17</v>
      </c>
      <c r="C1183" s="6">
        <v>2420</v>
      </c>
      <c r="D1183" t="s">
        <v>390</v>
      </c>
      <c r="E1183" s="1">
        <v>0.3298611111111111</v>
      </c>
      <c r="F1183" s="1">
        <v>0.47361111111111115</v>
      </c>
      <c r="G1183" s="9">
        <f t="shared" si="124"/>
        <v>45117</v>
      </c>
      <c r="H1183" s="11">
        <f t="shared" si="125"/>
        <v>3.5</v>
      </c>
      <c r="I1183" s="10">
        <f t="shared" si="126"/>
        <v>3.5</v>
      </c>
      <c r="J1183" s="10">
        <f t="shared" si="127"/>
        <v>7.2</v>
      </c>
      <c r="K1183" s="10">
        <f t="shared" si="129"/>
        <v>10.199999999999999</v>
      </c>
      <c r="L1183" s="10">
        <f t="shared" si="128"/>
        <v>47.4</v>
      </c>
    </row>
    <row r="1184" spans="1:12" x14ac:dyDescent="0.25">
      <c r="A1184" s="7">
        <v>45118</v>
      </c>
      <c r="B1184" t="s">
        <v>17</v>
      </c>
      <c r="C1184" s="6">
        <v>2420</v>
      </c>
      <c r="D1184" t="s">
        <v>390</v>
      </c>
      <c r="E1184" s="1">
        <v>0.49027777777777781</v>
      </c>
      <c r="F1184" s="1">
        <v>0.52083333333333337</v>
      </c>
      <c r="G1184" s="9">
        <f t="shared" si="124"/>
        <v>45117</v>
      </c>
      <c r="H1184" s="11">
        <f t="shared" si="125"/>
        <v>0.7</v>
      </c>
      <c r="I1184" s="10">
        <f t="shared" si="126"/>
        <v>4.2</v>
      </c>
      <c r="J1184" s="10">
        <f t="shared" si="127"/>
        <v>7.2</v>
      </c>
      <c r="K1184" s="10">
        <f t="shared" si="129"/>
        <v>10.899999999999999</v>
      </c>
      <c r="L1184" s="10">
        <f t="shared" si="128"/>
        <v>48.1</v>
      </c>
    </row>
    <row r="1185" spans="1:12" x14ac:dyDescent="0.25">
      <c r="A1185" s="7">
        <v>45118</v>
      </c>
      <c r="B1185" t="s">
        <v>6</v>
      </c>
      <c r="C1185" s="6" t="s">
        <v>416</v>
      </c>
      <c r="D1185" t="s">
        <v>391</v>
      </c>
      <c r="E1185" s="1">
        <v>0.52083333333333337</v>
      </c>
      <c r="F1185" s="1">
        <v>0.54166666666666663</v>
      </c>
      <c r="G1185" s="9">
        <f t="shared" si="124"/>
        <v>45117</v>
      </c>
      <c r="H1185" s="11">
        <f t="shared" si="125"/>
        <v>0.5</v>
      </c>
      <c r="I1185" s="10">
        <f t="shared" si="126"/>
        <v>4.7</v>
      </c>
      <c r="J1185" s="10">
        <f t="shared" si="127"/>
        <v>7.2</v>
      </c>
      <c r="K1185" s="10">
        <f t="shared" si="129"/>
        <v>11.4</v>
      </c>
      <c r="L1185" s="10">
        <f t="shared" si="128"/>
        <v>48.6</v>
      </c>
    </row>
    <row r="1186" spans="1:12" x14ac:dyDescent="0.25">
      <c r="A1186" s="7">
        <v>45118</v>
      </c>
      <c r="B1186" t="s">
        <v>17</v>
      </c>
      <c r="C1186" s="6">
        <v>2420</v>
      </c>
      <c r="D1186" t="s">
        <v>44</v>
      </c>
      <c r="E1186" s="1">
        <v>0.54166666666666663</v>
      </c>
      <c r="F1186" s="1">
        <v>0.60069444444444442</v>
      </c>
      <c r="G1186" s="9">
        <f t="shared" si="124"/>
        <v>45117</v>
      </c>
      <c r="H1186" s="11">
        <f t="shared" si="125"/>
        <v>1.4</v>
      </c>
      <c r="I1186" s="10">
        <f t="shared" si="126"/>
        <v>6.1</v>
      </c>
      <c r="J1186" s="10">
        <f t="shared" si="127"/>
        <v>7.2</v>
      </c>
      <c r="K1186" s="10">
        <f t="shared" si="129"/>
        <v>12.8</v>
      </c>
      <c r="L1186" s="10">
        <f t="shared" si="128"/>
        <v>50</v>
      </c>
    </row>
    <row r="1187" spans="1:12" x14ac:dyDescent="0.25">
      <c r="A1187" s="7">
        <v>45118</v>
      </c>
      <c r="B1187" t="s">
        <v>17</v>
      </c>
      <c r="C1187" s="6">
        <v>2420</v>
      </c>
      <c r="D1187" t="s">
        <v>5</v>
      </c>
      <c r="E1187" s="1">
        <v>0.60069444444444442</v>
      </c>
      <c r="F1187" s="1">
        <v>0.64583333333333337</v>
      </c>
      <c r="G1187" s="9">
        <f t="shared" si="124"/>
        <v>45117</v>
      </c>
      <c r="H1187" s="11">
        <f t="shared" si="125"/>
        <v>1.1000000000000001</v>
      </c>
      <c r="I1187" s="10">
        <f t="shared" si="126"/>
        <v>7.1999999999999993</v>
      </c>
      <c r="J1187" s="10">
        <f t="shared" si="127"/>
        <v>7.2</v>
      </c>
      <c r="K1187" s="10">
        <f t="shared" si="129"/>
        <v>13.9</v>
      </c>
      <c r="L1187" s="10">
        <f t="shared" si="128"/>
        <v>51.1</v>
      </c>
    </row>
    <row r="1188" spans="1:12" x14ac:dyDescent="0.25">
      <c r="A1188" s="7">
        <v>45119</v>
      </c>
      <c r="B1188" t="s">
        <v>381</v>
      </c>
      <c r="C1188" s="6">
        <v>6008</v>
      </c>
      <c r="D1188" s="1" t="s">
        <v>386</v>
      </c>
      <c r="E1188" s="1">
        <v>0.25555555555555559</v>
      </c>
      <c r="F1188" s="1">
        <v>0.35625000000000001</v>
      </c>
      <c r="G1188" s="9">
        <f t="shared" si="124"/>
        <v>45117</v>
      </c>
      <c r="H1188" s="11">
        <f t="shared" si="125"/>
        <v>2.4</v>
      </c>
      <c r="I1188" s="10">
        <f t="shared" si="126"/>
        <v>2.4</v>
      </c>
      <c r="J1188" s="10">
        <f t="shared" si="127"/>
        <v>7.2</v>
      </c>
      <c r="K1188" s="10">
        <f t="shared" si="129"/>
        <v>16.3</v>
      </c>
      <c r="L1188" s="10">
        <f t="shared" si="128"/>
        <v>53.5</v>
      </c>
    </row>
    <row r="1189" spans="1:12" x14ac:dyDescent="0.25">
      <c r="A1189" s="7">
        <v>45119</v>
      </c>
      <c r="B1189" t="s">
        <v>381</v>
      </c>
      <c r="C1189" s="6">
        <v>6008</v>
      </c>
      <c r="D1189" t="s">
        <v>392</v>
      </c>
      <c r="E1189" s="1">
        <v>0.35625000000000001</v>
      </c>
      <c r="F1189" s="1">
        <v>0.48541666666666666</v>
      </c>
      <c r="G1189" s="9">
        <f t="shared" si="124"/>
        <v>45117</v>
      </c>
      <c r="H1189" s="11">
        <f t="shared" si="125"/>
        <v>3.1</v>
      </c>
      <c r="I1189" s="10">
        <f t="shared" si="126"/>
        <v>5.5</v>
      </c>
      <c r="J1189" s="10">
        <f t="shared" si="127"/>
        <v>7.2</v>
      </c>
      <c r="K1189" s="10">
        <f t="shared" si="129"/>
        <v>19.400000000000002</v>
      </c>
      <c r="L1189" s="10">
        <f t="shared" si="128"/>
        <v>56.6</v>
      </c>
    </row>
    <row r="1190" spans="1:12" x14ac:dyDescent="0.25">
      <c r="A1190" s="7">
        <v>45119</v>
      </c>
      <c r="B1190" t="s">
        <v>309</v>
      </c>
      <c r="C1190" s="6">
        <v>2805</v>
      </c>
      <c r="D1190" t="s">
        <v>393</v>
      </c>
      <c r="E1190" s="1">
        <v>0.48541666666666666</v>
      </c>
      <c r="F1190" s="1">
        <v>0.5229166666666667</v>
      </c>
      <c r="G1190" s="9">
        <f t="shared" si="124"/>
        <v>45117</v>
      </c>
      <c r="H1190" s="11">
        <f t="shared" si="125"/>
        <v>0.9</v>
      </c>
      <c r="I1190" s="10">
        <f t="shared" si="126"/>
        <v>6.4</v>
      </c>
      <c r="J1190" s="10">
        <f t="shared" si="127"/>
        <v>7.2</v>
      </c>
      <c r="K1190" s="10">
        <f t="shared" si="129"/>
        <v>20.299999999999997</v>
      </c>
      <c r="L1190" s="10">
        <f t="shared" si="128"/>
        <v>57.5</v>
      </c>
    </row>
    <row r="1191" spans="1:12" x14ac:dyDescent="0.25">
      <c r="A1191" s="7">
        <v>45119</v>
      </c>
      <c r="B1191" t="s">
        <v>309</v>
      </c>
      <c r="C1191" s="6">
        <v>2805</v>
      </c>
      <c r="D1191" t="s">
        <v>393</v>
      </c>
      <c r="E1191" s="1">
        <v>0.54097222222222219</v>
      </c>
      <c r="F1191" s="1">
        <v>0.64374999999999993</v>
      </c>
      <c r="G1191" s="9">
        <f t="shared" si="124"/>
        <v>45117</v>
      </c>
      <c r="H1191" s="11">
        <f t="shared" si="125"/>
        <v>2.5</v>
      </c>
      <c r="I1191" s="10">
        <f t="shared" si="126"/>
        <v>8.9</v>
      </c>
      <c r="J1191" s="10">
        <f t="shared" si="127"/>
        <v>7.2</v>
      </c>
      <c r="K1191" s="10">
        <f t="shared" si="129"/>
        <v>22.8</v>
      </c>
      <c r="L1191" s="10">
        <f t="shared" si="128"/>
        <v>60</v>
      </c>
    </row>
    <row r="1192" spans="1:12" x14ac:dyDescent="0.25">
      <c r="A1192" s="7">
        <v>45120</v>
      </c>
      <c r="B1192" t="s">
        <v>309</v>
      </c>
      <c r="C1192" s="6">
        <v>2805</v>
      </c>
      <c r="D1192" t="s">
        <v>393</v>
      </c>
      <c r="E1192" s="1">
        <v>0.34166666666666662</v>
      </c>
      <c r="F1192" s="1">
        <v>0.61111111111111105</v>
      </c>
      <c r="G1192" s="9">
        <f t="shared" si="124"/>
        <v>45117</v>
      </c>
      <c r="H1192" s="11">
        <f t="shared" si="125"/>
        <v>6.5</v>
      </c>
      <c r="I1192" s="10">
        <f t="shared" si="126"/>
        <v>6.5</v>
      </c>
      <c r="J1192" s="10">
        <f t="shared" si="127"/>
        <v>7.2</v>
      </c>
      <c r="K1192" s="10">
        <f t="shared" si="129"/>
        <v>29.3</v>
      </c>
      <c r="L1192" s="10">
        <f t="shared" si="128"/>
        <v>66.5</v>
      </c>
    </row>
    <row r="1193" spans="1:12" x14ac:dyDescent="0.25">
      <c r="A1193" s="7">
        <v>45121</v>
      </c>
      <c r="B1193" t="s">
        <v>7</v>
      </c>
      <c r="C1193" s="6" t="s">
        <v>22</v>
      </c>
      <c r="D1193" s="5" t="s">
        <v>394</v>
      </c>
      <c r="E1193" s="1">
        <v>0.40972222222222227</v>
      </c>
      <c r="F1193" s="1">
        <v>0.70833333333333337</v>
      </c>
      <c r="G1193" s="9">
        <f t="shared" si="124"/>
        <v>45117</v>
      </c>
      <c r="H1193" s="11">
        <f t="shared" si="125"/>
        <v>7.2</v>
      </c>
      <c r="I1193" s="10">
        <f t="shared" si="126"/>
        <v>7.2</v>
      </c>
      <c r="J1193" s="10">
        <f t="shared" si="127"/>
        <v>7.2</v>
      </c>
      <c r="K1193" s="10">
        <f t="shared" si="129"/>
        <v>36.5</v>
      </c>
      <c r="L1193" s="10">
        <f t="shared" si="128"/>
        <v>73.7</v>
      </c>
    </row>
    <row r="1194" spans="1:12" x14ac:dyDescent="0.25">
      <c r="A1194" s="7">
        <v>45124</v>
      </c>
      <c r="B1194" t="s">
        <v>6</v>
      </c>
      <c r="C1194" s="6" t="s">
        <v>416</v>
      </c>
      <c r="D1194" t="s">
        <v>387</v>
      </c>
      <c r="E1194" s="1">
        <v>0.34236111111111112</v>
      </c>
      <c r="F1194" s="1">
        <v>0.45763888888888887</v>
      </c>
      <c r="G1194" s="9">
        <f t="shared" si="124"/>
        <v>45124</v>
      </c>
      <c r="H1194" s="11">
        <f t="shared" si="125"/>
        <v>2.8</v>
      </c>
      <c r="I1194" s="10">
        <f t="shared" si="126"/>
        <v>2.8</v>
      </c>
      <c r="J1194" s="10">
        <f t="shared" si="127"/>
        <v>7.2</v>
      </c>
      <c r="K1194" s="10">
        <f t="shared" si="129"/>
        <v>2.8</v>
      </c>
      <c r="L1194" s="10">
        <f t="shared" si="128"/>
        <v>76.5</v>
      </c>
    </row>
    <row r="1195" spans="1:12" x14ac:dyDescent="0.25">
      <c r="A1195" s="7">
        <v>45124</v>
      </c>
      <c r="B1195" t="s">
        <v>381</v>
      </c>
      <c r="C1195" s="6">
        <v>6008</v>
      </c>
      <c r="D1195" t="s">
        <v>44</v>
      </c>
      <c r="E1195" s="1">
        <v>0.47013888888888888</v>
      </c>
      <c r="F1195" s="1">
        <v>0.52222222222222225</v>
      </c>
      <c r="G1195" s="9">
        <f t="shared" si="124"/>
        <v>45124</v>
      </c>
      <c r="H1195" s="11">
        <f t="shared" si="125"/>
        <v>1.3</v>
      </c>
      <c r="I1195" s="10">
        <f t="shared" si="126"/>
        <v>4.0999999999999996</v>
      </c>
      <c r="J1195" s="10">
        <f t="shared" si="127"/>
        <v>7.2</v>
      </c>
      <c r="K1195" s="10">
        <f t="shared" si="129"/>
        <v>4.0999999999999996</v>
      </c>
      <c r="L1195" s="10">
        <f t="shared" si="128"/>
        <v>77.8</v>
      </c>
    </row>
    <row r="1196" spans="1:12" x14ac:dyDescent="0.25">
      <c r="A1196" s="7">
        <v>45124</v>
      </c>
      <c r="B1196" t="s">
        <v>381</v>
      </c>
      <c r="C1196" s="6">
        <v>6008</v>
      </c>
      <c r="D1196" s="1" t="s">
        <v>395</v>
      </c>
      <c r="E1196" s="1">
        <v>0.52222222222222225</v>
      </c>
      <c r="F1196" s="1">
        <v>0.61319444444444449</v>
      </c>
      <c r="G1196" s="9">
        <f t="shared" si="124"/>
        <v>45124</v>
      </c>
      <c r="H1196" s="11">
        <f t="shared" si="125"/>
        <v>2.2000000000000002</v>
      </c>
      <c r="I1196" s="10">
        <f t="shared" si="126"/>
        <v>6.3</v>
      </c>
      <c r="J1196" s="10">
        <f t="shared" si="127"/>
        <v>7.2</v>
      </c>
      <c r="K1196" s="10">
        <f t="shared" si="129"/>
        <v>6.3</v>
      </c>
      <c r="L1196" s="10">
        <f t="shared" si="128"/>
        <v>80</v>
      </c>
    </row>
    <row r="1197" spans="1:12" x14ac:dyDescent="0.25">
      <c r="A1197" s="7">
        <v>45124</v>
      </c>
      <c r="B1197" t="s">
        <v>309</v>
      </c>
      <c r="C1197" s="6">
        <v>2805</v>
      </c>
      <c r="D1197" t="s">
        <v>393</v>
      </c>
      <c r="E1197" s="1">
        <v>0.61319444444444449</v>
      </c>
      <c r="F1197" s="1">
        <v>0.66666666666666663</v>
      </c>
      <c r="G1197" s="9">
        <f t="shared" ref="G1197:G1260" si="130">IF(E1197&gt;0,INT((A1197-2)/7)*7+2,"")</f>
        <v>45124</v>
      </c>
      <c r="H1197" s="11">
        <f t="shared" ref="H1197:H1260" si="131">IF(E1197&gt;0,ROUND(24*(IF(F1197&gt;0,F1197,NowTime)-E1197),1),"")</f>
        <v>1.3</v>
      </c>
      <c r="I1197" s="10">
        <f t="shared" ref="I1197:I1260" si="132">IF(H1197="",H1197,H1197+IF(A1197=A1196,_xlfn.NUMBERVALUE(I1196),0))</f>
        <v>7.6</v>
      </c>
      <c r="J1197" s="10">
        <f t="shared" ref="J1197:J1260" si="133">IF(H1197="",H1197,7.2)</f>
        <v>7.2</v>
      </c>
      <c r="K1197" s="10">
        <f t="shared" si="129"/>
        <v>7.6</v>
      </c>
      <c r="L1197" s="10">
        <f t="shared" ref="L1197:L1260" si="134">IF(H1197="",H1197,H1197+IF(MONTH(A1197)=MONTH(A1196),_xlfn.NUMBERVALUE(L1196),0))</f>
        <v>81.3</v>
      </c>
    </row>
    <row r="1198" spans="1:12" x14ac:dyDescent="0.25">
      <c r="A1198" s="7">
        <v>45124</v>
      </c>
      <c r="B1198" t="s">
        <v>19</v>
      </c>
      <c r="C1198" s="6">
        <v>2675</v>
      </c>
      <c r="D1198" t="s">
        <v>396</v>
      </c>
      <c r="E1198" s="1">
        <v>0.66666666666666663</v>
      </c>
      <c r="F1198" s="1">
        <v>0.70000000000000007</v>
      </c>
      <c r="G1198" s="9">
        <f t="shared" si="130"/>
        <v>45124</v>
      </c>
      <c r="H1198" s="11">
        <f t="shared" si="131"/>
        <v>0.8</v>
      </c>
      <c r="I1198" s="10">
        <f t="shared" si="132"/>
        <v>8.4</v>
      </c>
      <c r="J1198" s="10">
        <f t="shared" si="133"/>
        <v>7.2</v>
      </c>
      <c r="K1198" s="10">
        <f t="shared" si="129"/>
        <v>8.4</v>
      </c>
      <c r="L1198" s="10">
        <f t="shared" si="134"/>
        <v>82.1</v>
      </c>
    </row>
    <row r="1199" spans="1:12" x14ac:dyDescent="0.25">
      <c r="A1199" s="7">
        <v>45125</v>
      </c>
      <c r="B1199" t="s">
        <v>381</v>
      </c>
      <c r="C1199" s="6">
        <v>6008</v>
      </c>
      <c r="D1199" s="1" t="s">
        <v>397</v>
      </c>
      <c r="E1199" s="1">
        <v>0.32083333333333336</v>
      </c>
      <c r="F1199" s="1">
        <v>0.375</v>
      </c>
      <c r="G1199" s="9">
        <f t="shared" si="130"/>
        <v>45124</v>
      </c>
      <c r="H1199" s="11">
        <f t="shared" si="131"/>
        <v>1.3</v>
      </c>
      <c r="I1199" s="10">
        <f t="shared" si="132"/>
        <v>1.3</v>
      </c>
      <c r="J1199" s="10">
        <f t="shared" si="133"/>
        <v>7.2</v>
      </c>
      <c r="K1199" s="10">
        <f t="shared" si="129"/>
        <v>9.7000000000000011</v>
      </c>
      <c r="L1199" s="10">
        <f t="shared" si="134"/>
        <v>83.399999999999991</v>
      </c>
    </row>
    <row r="1200" spans="1:12" x14ac:dyDescent="0.25">
      <c r="A1200" s="7">
        <v>45125</v>
      </c>
      <c r="B1200" t="s">
        <v>6</v>
      </c>
      <c r="C1200" s="6" t="s">
        <v>416</v>
      </c>
      <c r="D1200" t="s">
        <v>398</v>
      </c>
      <c r="E1200" s="1">
        <v>0.375</v>
      </c>
      <c r="F1200" s="1">
        <v>0.5</v>
      </c>
      <c r="G1200" s="9">
        <f t="shared" si="130"/>
        <v>45124</v>
      </c>
      <c r="H1200" s="11">
        <f t="shared" si="131"/>
        <v>3</v>
      </c>
      <c r="I1200" s="10">
        <f t="shared" si="132"/>
        <v>4.3</v>
      </c>
      <c r="J1200" s="10">
        <f t="shared" si="133"/>
        <v>7.2</v>
      </c>
      <c r="K1200" s="10">
        <f t="shared" si="129"/>
        <v>12.7</v>
      </c>
      <c r="L1200" s="10">
        <f t="shared" si="134"/>
        <v>86.4</v>
      </c>
    </row>
    <row r="1201" spans="1:12" x14ac:dyDescent="0.25">
      <c r="A1201" s="7">
        <v>45125</v>
      </c>
      <c r="B1201" t="s">
        <v>17</v>
      </c>
      <c r="C1201" s="6">
        <v>2420</v>
      </c>
      <c r="D1201" t="s">
        <v>44</v>
      </c>
      <c r="E1201" s="1">
        <v>0.5</v>
      </c>
      <c r="F1201" s="1">
        <v>0.54513888888888895</v>
      </c>
      <c r="G1201" s="9">
        <f t="shared" si="130"/>
        <v>45124</v>
      </c>
      <c r="H1201" s="11">
        <f t="shared" si="131"/>
        <v>1.1000000000000001</v>
      </c>
      <c r="I1201" s="10">
        <f t="shared" si="132"/>
        <v>5.4</v>
      </c>
      <c r="J1201" s="10">
        <f t="shared" si="133"/>
        <v>7.2</v>
      </c>
      <c r="K1201" s="10">
        <f t="shared" si="129"/>
        <v>13.799999999999999</v>
      </c>
      <c r="L1201" s="10">
        <f t="shared" si="134"/>
        <v>87.5</v>
      </c>
    </row>
    <row r="1202" spans="1:12" x14ac:dyDescent="0.25">
      <c r="A1202" s="7">
        <v>45125</v>
      </c>
      <c r="B1202" t="s">
        <v>381</v>
      </c>
      <c r="C1202" s="6">
        <v>6008</v>
      </c>
      <c r="D1202" s="1" t="s">
        <v>397</v>
      </c>
      <c r="E1202" s="1">
        <v>0.54513888888888895</v>
      </c>
      <c r="F1202" s="1">
        <v>0.60416666666666663</v>
      </c>
      <c r="G1202" s="9">
        <f t="shared" si="130"/>
        <v>45124</v>
      </c>
      <c r="H1202" s="11">
        <f t="shared" si="131"/>
        <v>1.4</v>
      </c>
      <c r="I1202" s="10">
        <f t="shared" si="132"/>
        <v>6.8000000000000007</v>
      </c>
      <c r="J1202" s="10">
        <f t="shared" si="133"/>
        <v>7.2</v>
      </c>
      <c r="K1202" s="10">
        <f t="shared" si="129"/>
        <v>15.200000000000001</v>
      </c>
      <c r="L1202" s="10">
        <f t="shared" si="134"/>
        <v>88.9</v>
      </c>
    </row>
    <row r="1203" spans="1:12" x14ac:dyDescent="0.25">
      <c r="A1203" s="7">
        <v>45125</v>
      </c>
      <c r="B1203" t="s">
        <v>6</v>
      </c>
      <c r="C1203" s="6" t="s">
        <v>416</v>
      </c>
      <c r="D1203" t="s">
        <v>112</v>
      </c>
      <c r="E1203" s="1">
        <v>0.60416666666666663</v>
      </c>
      <c r="F1203" s="1">
        <v>0.62777777777777777</v>
      </c>
      <c r="G1203" s="9">
        <f t="shared" si="130"/>
        <v>45124</v>
      </c>
      <c r="H1203" s="11">
        <f t="shared" si="131"/>
        <v>0.6</v>
      </c>
      <c r="I1203" s="10">
        <f t="shared" si="132"/>
        <v>7.3999999999999995</v>
      </c>
      <c r="J1203" s="10">
        <f t="shared" si="133"/>
        <v>7.2</v>
      </c>
      <c r="K1203" s="10">
        <f t="shared" si="129"/>
        <v>15.799999999999999</v>
      </c>
      <c r="L1203" s="10">
        <f t="shared" si="134"/>
        <v>89.5</v>
      </c>
    </row>
    <row r="1204" spans="1:12" x14ac:dyDescent="0.25">
      <c r="A1204" s="7">
        <v>45125</v>
      </c>
      <c r="B1204" t="s">
        <v>381</v>
      </c>
      <c r="C1204" s="6">
        <v>6008</v>
      </c>
      <c r="D1204" s="1" t="s">
        <v>397</v>
      </c>
      <c r="E1204" s="1">
        <v>0.62777777777777777</v>
      </c>
      <c r="F1204" s="1">
        <v>0.72083333333333333</v>
      </c>
      <c r="G1204" s="9">
        <f t="shared" si="130"/>
        <v>45124</v>
      </c>
      <c r="H1204" s="11">
        <f t="shared" si="131"/>
        <v>2.2000000000000002</v>
      </c>
      <c r="I1204" s="10">
        <f t="shared" si="132"/>
        <v>9.6000000000000014</v>
      </c>
      <c r="J1204" s="10">
        <f t="shared" si="133"/>
        <v>7.2</v>
      </c>
      <c r="K1204" s="10">
        <f t="shared" si="129"/>
        <v>18</v>
      </c>
      <c r="L1204" s="10">
        <f t="shared" si="134"/>
        <v>91.7</v>
      </c>
    </row>
    <row r="1205" spans="1:12" x14ac:dyDescent="0.25">
      <c r="A1205" s="7">
        <v>45126</v>
      </c>
      <c r="B1205" t="s">
        <v>381</v>
      </c>
      <c r="C1205" s="6">
        <v>6008</v>
      </c>
      <c r="D1205" s="1" t="s">
        <v>339</v>
      </c>
      <c r="E1205" s="1">
        <v>0.32916666666666666</v>
      </c>
      <c r="F1205" s="1">
        <v>0.46736111111111112</v>
      </c>
      <c r="G1205" s="9">
        <f t="shared" si="130"/>
        <v>45124</v>
      </c>
      <c r="H1205" s="11">
        <f t="shared" si="131"/>
        <v>3.3</v>
      </c>
      <c r="I1205" s="10">
        <f t="shared" si="132"/>
        <v>3.3</v>
      </c>
      <c r="J1205" s="10">
        <f t="shared" si="133"/>
        <v>7.2</v>
      </c>
      <c r="K1205" s="10">
        <f t="shared" si="129"/>
        <v>21.3</v>
      </c>
      <c r="L1205" s="10">
        <f t="shared" si="134"/>
        <v>95</v>
      </c>
    </row>
    <row r="1206" spans="1:12" x14ac:dyDescent="0.25">
      <c r="A1206" s="7">
        <v>45126</v>
      </c>
      <c r="B1206" t="s">
        <v>309</v>
      </c>
      <c r="C1206" s="6">
        <v>2805</v>
      </c>
      <c r="D1206" t="s">
        <v>275</v>
      </c>
      <c r="E1206" s="1">
        <v>0.55694444444444446</v>
      </c>
      <c r="F1206" s="1">
        <v>0.58333333333333337</v>
      </c>
      <c r="G1206" s="9">
        <f t="shared" si="130"/>
        <v>45124</v>
      </c>
      <c r="H1206" s="11">
        <f t="shared" si="131"/>
        <v>0.6</v>
      </c>
      <c r="I1206" s="10">
        <f t="shared" si="132"/>
        <v>3.9</v>
      </c>
      <c r="J1206" s="10">
        <f t="shared" si="133"/>
        <v>7.2</v>
      </c>
      <c r="K1206" s="10">
        <f t="shared" si="129"/>
        <v>21.900000000000002</v>
      </c>
      <c r="L1206" s="10">
        <f t="shared" si="134"/>
        <v>95.6</v>
      </c>
    </row>
    <row r="1207" spans="1:12" x14ac:dyDescent="0.25">
      <c r="A1207" s="7">
        <v>45126</v>
      </c>
      <c r="B1207" t="s">
        <v>381</v>
      </c>
      <c r="C1207" s="6">
        <v>6008</v>
      </c>
      <c r="D1207" s="1" t="s">
        <v>44</v>
      </c>
      <c r="E1207" s="1">
        <v>0.58333333333333337</v>
      </c>
      <c r="F1207" s="1">
        <v>0.59166666666666667</v>
      </c>
      <c r="G1207" s="9">
        <f t="shared" si="130"/>
        <v>45124</v>
      </c>
      <c r="H1207" s="11">
        <f t="shared" si="131"/>
        <v>0.2</v>
      </c>
      <c r="I1207" s="10">
        <f t="shared" si="132"/>
        <v>4.0999999999999996</v>
      </c>
      <c r="J1207" s="10">
        <f t="shared" si="133"/>
        <v>7.2</v>
      </c>
      <c r="K1207" s="10">
        <f t="shared" si="129"/>
        <v>22.099999999999998</v>
      </c>
      <c r="L1207" s="10">
        <f t="shared" si="134"/>
        <v>95.8</v>
      </c>
    </row>
    <row r="1208" spans="1:12" x14ac:dyDescent="0.25">
      <c r="A1208" s="7">
        <v>45126</v>
      </c>
      <c r="B1208" t="s">
        <v>309</v>
      </c>
      <c r="C1208" s="6">
        <v>2805</v>
      </c>
      <c r="D1208" t="s">
        <v>275</v>
      </c>
      <c r="E1208" s="1">
        <v>0.59166666666666667</v>
      </c>
      <c r="F1208" s="1">
        <v>0.62986111111111109</v>
      </c>
      <c r="G1208" s="9">
        <f t="shared" si="130"/>
        <v>45124</v>
      </c>
      <c r="H1208" s="11">
        <f t="shared" si="131"/>
        <v>0.9</v>
      </c>
      <c r="I1208" s="10">
        <f t="shared" si="132"/>
        <v>5</v>
      </c>
      <c r="J1208" s="10">
        <f t="shared" si="133"/>
        <v>7.2</v>
      </c>
      <c r="K1208" s="10">
        <f t="shared" si="129"/>
        <v>23</v>
      </c>
      <c r="L1208" s="10">
        <f t="shared" si="134"/>
        <v>96.7</v>
      </c>
    </row>
    <row r="1209" spans="1:12" x14ac:dyDescent="0.25">
      <c r="A1209" s="7">
        <v>45127</v>
      </c>
      <c r="B1209" t="s">
        <v>309</v>
      </c>
      <c r="C1209" s="6">
        <v>2805</v>
      </c>
      <c r="D1209" t="s">
        <v>275</v>
      </c>
      <c r="E1209" s="1">
        <v>0.33680555555555558</v>
      </c>
      <c r="F1209" s="1">
        <v>0.48055555555555557</v>
      </c>
      <c r="G1209" s="9">
        <f t="shared" si="130"/>
        <v>45124</v>
      </c>
      <c r="H1209" s="11">
        <f t="shared" si="131"/>
        <v>3.5</v>
      </c>
      <c r="I1209" s="10">
        <f t="shared" si="132"/>
        <v>3.5</v>
      </c>
      <c r="J1209" s="10">
        <f t="shared" si="133"/>
        <v>7.2</v>
      </c>
      <c r="K1209" s="10">
        <f t="shared" si="129"/>
        <v>26.5</v>
      </c>
      <c r="L1209" s="10">
        <f t="shared" si="134"/>
        <v>100.2</v>
      </c>
    </row>
    <row r="1210" spans="1:12" x14ac:dyDescent="0.25">
      <c r="A1210" s="7">
        <v>45127</v>
      </c>
      <c r="B1210" t="s">
        <v>309</v>
      </c>
      <c r="C1210" s="6">
        <v>2805</v>
      </c>
      <c r="D1210" t="s">
        <v>275</v>
      </c>
      <c r="E1210" s="1">
        <v>0.53194444444444444</v>
      </c>
      <c r="F1210" s="1">
        <v>0.54166666666666663</v>
      </c>
      <c r="G1210" s="9">
        <f t="shared" si="130"/>
        <v>45124</v>
      </c>
      <c r="H1210" s="11">
        <f t="shared" si="131"/>
        <v>0.2</v>
      </c>
      <c r="I1210" s="10">
        <f t="shared" si="132"/>
        <v>3.7</v>
      </c>
      <c r="J1210" s="10">
        <f t="shared" si="133"/>
        <v>7.2</v>
      </c>
      <c r="K1210" s="10">
        <f t="shared" si="129"/>
        <v>26.7</v>
      </c>
      <c r="L1210" s="10">
        <f t="shared" si="134"/>
        <v>100.4</v>
      </c>
    </row>
    <row r="1211" spans="1:12" x14ac:dyDescent="0.25">
      <c r="A1211" s="7">
        <v>45127</v>
      </c>
      <c r="B1211" t="s">
        <v>17</v>
      </c>
      <c r="C1211" s="6">
        <v>2420</v>
      </c>
      <c r="D1211" t="s">
        <v>399</v>
      </c>
      <c r="E1211" s="1">
        <v>0.54166666666666663</v>
      </c>
      <c r="F1211" s="1">
        <v>0.62430555555555556</v>
      </c>
      <c r="G1211" s="9">
        <f t="shared" si="130"/>
        <v>45124</v>
      </c>
      <c r="H1211" s="11">
        <f t="shared" si="131"/>
        <v>2</v>
      </c>
      <c r="I1211" s="10">
        <f t="shared" si="132"/>
        <v>5.7</v>
      </c>
      <c r="J1211" s="10">
        <f t="shared" si="133"/>
        <v>7.2</v>
      </c>
      <c r="K1211" s="10">
        <f t="shared" si="129"/>
        <v>28.7</v>
      </c>
      <c r="L1211" s="10">
        <f t="shared" si="134"/>
        <v>102.4</v>
      </c>
    </row>
    <row r="1212" spans="1:12" x14ac:dyDescent="0.25">
      <c r="A1212" s="7">
        <v>45127</v>
      </c>
      <c r="B1212" t="s">
        <v>309</v>
      </c>
      <c r="C1212" s="6">
        <v>2805</v>
      </c>
      <c r="D1212" t="s">
        <v>275</v>
      </c>
      <c r="E1212" s="1">
        <v>0.62430555555555556</v>
      </c>
      <c r="F1212" s="1">
        <v>0.7055555555555556</v>
      </c>
      <c r="G1212" s="9">
        <f t="shared" si="130"/>
        <v>45124</v>
      </c>
      <c r="H1212" s="11">
        <f t="shared" si="131"/>
        <v>2</v>
      </c>
      <c r="I1212" s="10">
        <f t="shared" si="132"/>
        <v>7.7</v>
      </c>
      <c r="J1212" s="10">
        <f t="shared" si="133"/>
        <v>7.2</v>
      </c>
      <c r="K1212" s="10">
        <f t="shared" si="129"/>
        <v>30.7</v>
      </c>
      <c r="L1212" s="10">
        <f t="shared" si="134"/>
        <v>104.4</v>
      </c>
    </row>
    <row r="1213" spans="1:12" x14ac:dyDescent="0.25">
      <c r="A1213" s="7">
        <v>45128</v>
      </c>
      <c r="B1213" t="s">
        <v>309</v>
      </c>
      <c r="C1213" s="6">
        <v>2805</v>
      </c>
      <c r="D1213" t="s">
        <v>275</v>
      </c>
      <c r="E1213" s="1">
        <v>0.33263888888888887</v>
      </c>
      <c r="F1213" s="1">
        <v>0.48194444444444445</v>
      </c>
      <c r="G1213" s="9">
        <f t="shared" si="130"/>
        <v>45124</v>
      </c>
      <c r="H1213" s="11">
        <f t="shared" si="131"/>
        <v>3.6</v>
      </c>
      <c r="I1213" s="10">
        <f t="shared" si="132"/>
        <v>3.6</v>
      </c>
      <c r="J1213" s="10">
        <f t="shared" si="133"/>
        <v>7.2</v>
      </c>
      <c r="K1213" s="10">
        <f t="shared" si="129"/>
        <v>34.299999999999997</v>
      </c>
      <c r="L1213" s="10">
        <f t="shared" si="134"/>
        <v>108</v>
      </c>
    </row>
    <row r="1214" spans="1:12" x14ac:dyDescent="0.25">
      <c r="A1214" s="7">
        <v>45128</v>
      </c>
      <c r="B1214" t="s">
        <v>309</v>
      </c>
      <c r="C1214" s="6">
        <v>2805</v>
      </c>
      <c r="D1214" t="s">
        <v>275</v>
      </c>
      <c r="E1214" s="1">
        <v>0.53819444444444442</v>
      </c>
      <c r="F1214" s="1">
        <v>0.61388888888888882</v>
      </c>
      <c r="G1214" s="9">
        <f t="shared" si="130"/>
        <v>45124</v>
      </c>
      <c r="H1214" s="11">
        <f t="shared" si="131"/>
        <v>1.8</v>
      </c>
      <c r="I1214" s="10">
        <f t="shared" si="132"/>
        <v>5.4</v>
      </c>
      <c r="J1214" s="10">
        <f t="shared" si="133"/>
        <v>7.2</v>
      </c>
      <c r="K1214" s="10">
        <f t="shared" si="129"/>
        <v>36.099999999999994</v>
      </c>
      <c r="L1214" s="10">
        <f t="shared" si="134"/>
        <v>109.8</v>
      </c>
    </row>
    <row r="1215" spans="1:12" x14ac:dyDescent="0.25">
      <c r="A1215" s="7">
        <v>45131</v>
      </c>
      <c r="B1215" t="s">
        <v>6</v>
      </c>
      <c r="C1215" s="6" t="s">
        <v>416</v>
      </c>
      <c r="D1215" t="s">
        <v>387</v>
      </c>
      <c r="E1215" s="1">
        <v>0.3263888888888889</v>
      </c>
      <c r="F1215" s="1">
        <v>0.47916666666666669</v>
      </c>
      <c r="G1215" s="9">
        <f t="shared" si="130"/>
        <v>45131</v>
      </c>
      <c r="H1215" s="11">
        <f t="shared" si="131"/>
        <v>3.7</v>
      </c>
      <c r="I1215" s="10">
        <f t="shared" si="132"/>
        <v>3.7</v>
      </c>
      <c r="J1215" s="10">
        <f t="shared" si="133"/>
        <v>7.2</v>
      </c>
      <c r="K1215" s="10">
        <f t="shared" si="129"/>
        <v>3.7</v>
      </c>
      <c r="L1215" s="10">
        <f t="shared" si="134"/>
        <v>113.5</v>
      </c>
    </row>
    <row r="1216" spans="1:12" x14ac:dyDescent="0.25">
      <c r="A1216" s="7">
        <v>45131</v>
      </c>
      <c r="B1216" t="s">
        <v>381</v>
      </c>
      <c r="C1216" s="6">
        <v>6008</v>
      </c>
      <c r="D1216" s="1" t="s">
        <v>44</v>
      </c>
      <c r="E1216" s="1">
        <v>0.47916666666666669</v>
      </c>
      <c r="F1216" s="1">
        <v>0.50902777777777775</v>
      </c>
      <c r="G1216" s="9">
        <f t="shared" si="130"/>
        <v>45131</v>
      </c>
      <c r="H1216" s="11">
        <f t="shared" si="131"/>
        <v>0.7</v>
      </c>
      <c r="I1216" s="10">
        <f t="shared" si="132"/>
        <v>4.4000000000000004</v>
      </c>
      <c r="J1216" s="10">
        <f t="shared" si="133"/>
        <v>7.2</v>
      </c>
      <c r="K1216" s="10">
        <f t="shared" si="129"/>
        <v>4.4000000000000004</v>
      </c>
      <c r="L1216" s="10">
        <f t="shared" si="134"/>
        <v>114.2</v>
      </c>
    </row>
    <row r="1217" spans="1:12" x14ac:dyDescent="0.25">
      <c r="A1217" s="7">
        <v>45131</v>
      </c>
      <c r="B1217" t="s">
        <v>309</v>
      </c>
      <c r="C1217" s="6">
        <v>2805</v>
      </c>
      <c r="D1217" t="s">
        <v>275</v>
      </c>
      <c r="E1217" s="1">
        <v>0.50902777777777775</v>
      </c>
      <c r="F1217" s="1">
        <v>0.52152777777777781</v>
      </c>
      <c r="G1217" s="9">
        <f t="shared" si="130"/>
        <v>45131</v>
      </c>
      <c r="H1217" s="11">
        <f t="shared" si="131"/>
        <v>0.3</v>
      </c>
      <c r="I1217" s="10">
        <f t="shared" si="132"/>
        <v>4.7</v>
      </c>
      <c r="J1217" s="10">
        <f t="shared" si="133"/>
        <v>7.2</v>
      </c>
      <c r="K1217" s="10">
        <f t="shared" si="129"/>
        <v>4.7</v>
      </c>
      <c r="L1217" s="10">
        <f t="shared" si="134"/>
        <v>114.5</v>
      </c>
    </row>
    <row r="1218" spans="1:12" x14ac:dyDescent="0.25">
      <c r="A1218" s="7">
        <v>45131</v>
      </c>
      <c r="B1218" t="s">
        <v>309</v>
      </c>
      <c r="C1218" s="6">
        <v>2805</v>
      </c>
      <c r="D1218" t="s">
        <v>275</v>
      </c>
      <c r="E1218" s="1">
        <v>0.54166666666666663</v>
      </c>
      <c r="F1218" s="1">
        <v>0.65069444444444446</v>
      </c>
      <c r="G1218" s="9">
        <f t="shared" si="130"/>
        <v>45131</v>
      </c>
      <c r="H1218" s="11">
        <f t="shared" si="131"/>
        <v>2.6</v>
      </c>
      <c r="I1218" s="10">
        <f t="shared" si="132"/>
        <v>7.3000000000000007</v>
      </c>
      <c r="J1218" s="10">
        <f t="shared" si="133"/>
        <v>7.2</v>
      </c>
      <c r="K1218" s="10">
        <f t="shared" si="129"/>
        <v>7.3000000000000007</v>
      </c>
      <c r="L1218" s="10">
        <f t="shared" si="134"/>
        <v>117.1</v>
      </c>
    </row>
    <row r="1219" spans="1:12" x14ac:dyDescent="0.25">
      <c r="A1219" s="7">
        <v>45132</v>
      </c>
      <c r="B1219" t="s">
        <v>6</v>
      </c>
      <c r="C1219" s="6" t="s">
        <v>416</v>
      </c>
      <c r="D1219" t="s">
        <v>400</v>
      </c>
      <c r="E1219" s="1">
        <v>0.3430555555555555</v>
      </c>
      <c r="F1219" s="1">
        <v>0.45069444444444445</v>
      </c>
      <c r="G1219" s="9">
        <f t="shared" si="130"/>
        <v>45131</v>
      </c>
      <c r="H1219" s="11">
        <f t="shared" si="131"/>
        <v>2.6</v>
      </c>
      <c r="I1219" s="10">
        <f t="shared" si="132"/>
        <v>2.6</v>
      </c>
      <c r="J1219" s="10">
        <f t="shared" si="133"/>
        <v>7.2</v>
      </c>
      <c r="K1219" s="10">
        <f t="shared" ref="K1219:K1282" si="135">IF(H1219="",H1219,H1219+IF(G1219=G1218,_xlfn.NUMBERVALUE(K1218),0))</f>
        <v>9.9</v>
      </c>
      <c r="L1219" s="10">
        <f t="shared" si="134"/>
        <v>119.69999999999999</v>
      </c>
    </row>
    <row r="1220" spans="1:12" x14ac:dyDescent="0.25">
      <c r="A1220" s="7">
        <v>45132</v>
      </c>
      <c r="B1220" t="s">
        <v>309</v>
      </c>
      <c r="C1220" s="6">
        <v>2805</v>
      </c>
      <c r="D1220" t="s">
        <v>275</v>
      </c>
      <c r="E1220" s="1">
        <v>0.45069444444444445</v>
      </c>
      <c r="F1220" s="1">
        <v>0.47291666666666665</v>
      </c>
      <c r="G1220" s="9">
        <f t="shared" si="130"/>
        <v>45131</v>
      </c>
      <c r="H1220" s="11">
        <f t="shared" si="131"/>
        <v>0.5</v>
      </c>
      <c r="I1220" s="10">
        <f t="shared" si="132"/>
        <v>3.1</v>
      </c>
      <c r="J1220" s="10">
        <f t="shared" si="133"/>
        <v>7.2</v>
      </c>
      <c r="K1220" s="10">
        <f t="shared" si="135"/>
        <v>10.4</v>
      </c>
      <c r="L1220" s="10">
        <f t="shared" si="134"/>
        <v>120.2</v>
      </c>
    </row>
    <row r="1221" spans="1:12" x14ac:dyDescent="0.25">
      <c r="A1221" s="7">
        <v>45132</v>
      </c>
      <c r="B1221" t="s">
        <v>309</v>
      </c>
      <c r="C1221" s="6">
        <v>2805</v>
      </c>
      <c r="D1221" t="s">
        <v>275</v>
      </c>
      <c r="E1221" s="1">
        <v>0.48472222222222222</v>
      </c>
      <c r="F1221" s="1">
        <v>0.65694444444444444</v>
      </c>
      <c r="G1221" s="9">
        <f t="shared" si="130"/>
        <v>45131</v>
      </c>
      <c r="H1221" s="11">
        <f t="shared" si="131"/>
        <v>4.0999999999999996</v>
      </c>
      <c r="I1221" s="10">
        <f t="shared" si="132"/>
        <v>7.1999999999999993</v>
      </c>
      <c r="J1221" s="10">
        <f t="shared" si="133"/>
        <v>7.2</v>
      </c>
      <c r="K1221" s="10">
        <f t="shared" si="135"/>
        <v>14.5</v>
      </c>
      <c r="L1221" s="10">
        <f t="shared" si="134"/>
        <v>124.3</v>
      </c>
    </row>
    <row r="1222" spans="1:12" x14ac:dyDescent="0.25">
      <c r="A1222" s="7">
        <v>45133</v>
      </c>
      <c r="B1222" t="s">
        <v>309</v>
      </c>
      <c r="C1222" s="6">
        <v>2805</v>
      </c>
      <c r="D1222" t="s">
        <v>275</v>
      </c>
      <c r="E1222" s="1">
        <v>0.34166666666666662</v>
      </c>
      <c r="F1222" s="1">
        <v>0.375</v>
      </c>
      <c r="G1222" s="9">
        <f t="shared" si="130"/>
        <v>45131</v>
      </c>
      <c r="H1222" s="11">
        <f t="shared" si="131"/>
        <v>0.8</v>
      </c>
      <c r="I1222" s="10">
        <f t="shared" si="132"/>
        <v>0.8</v>
      </c>
      <c r="J1222" s="10">
        <f t="shared" si="133"/>
        <v>7.2</v>
      </c>
      <c r="K1222" s="10">
        <f t="shared" si="135"/>
        <v>15.3</v>
      </c>
      <c r="L1222" s="10">
        <f t="shared" si="134"/>
        <v>125.1</v>
      </c>
    </row>
    <row r="1223" spans="1:12" x14ac:dyDescent="0.25">
      <c r="A1223" s="7">
        <v>45133</v>
      </c>
      <c r="B1223" t="s">
        <v>6</v>
      </c>
      <c r="C1223" s="6" t="s">
        <v>416</v>
      </c>
      <c r="D1223" t="s">
        <v>173</v>
      </c>
      <c r="E1223" s="1">
        <v>0.375</v>
      </c>
      <c r="F1223" s="1">
        <v>0.48819444444444443</v>
      </c>
      <c r="G1223" s="9">
        <f t="shared" si="130"/>
        <v>45131</v>
      </c>
      <c r="H1223" s="11">
        <f t="shared" si="131"/>
        <v>2.7</v>
      </c>
      <c r="I1223" s="10">
        <f t="shared" si="132"/>
        <v>3.5</v>
      </c>
      <c r="J1223" s="10">
        <f t="shared" si="133"/>
        <v>7.2</v>
      </c>
      <c r="K1223" s="10">
        <f t="shared" si="135"/>
        <v>18</v>
      </c>
      <c r="L1223" s="10">
        <f t="shared" si="134"/>
        <v>127.8</v>
      </c>
    </row>
    <row r="1224" spans="1:12" x14ac:dyDescent="0.25">
      <c r="A1224" s="7">
        <v>45133</v>
      </c>
      <c r="B1224" t="s">
        <v>309</v>
      </c>
      <c r="C1224" s="6">
        <v>2805</v>
      </c>
      <c r="D1224" t="s">
        <v>275</v>
      </c>
      <c r="E1224" s="1">
        <v>0.48888888888888887</v>
      </c>
      <c r="F1224" s="1">
        <v>0.49444444444444446</v>
      </c>
      <c r="G1224" s="9">
        <f t="shared" si="130"/>
        <v>45131</v>
      </c>
      <c r="H1224" s="11">
        <f t="shared" si="131"/>
        <v>0.1</v>
      </c>
      <c r="I1224" s="10">
        <f t="shared" si="132"/>
        <v>3.6</v>
      </c>
      <c r="J1224" s="10">
        <f t="shared" si="133"/>
        <v>7.2</v>
      </c>
      <c r="K1224" s="10">
        <f t="shared" si="135"/>
        <v>18.100000000000001</v>
      </c>
      <c r="L1224" s="10">
        <f t="shared" si="134"/>
        <v>127.89999999999999</v>
      </c>
    </row>
    <row r="1225" spans="1:12" x14ac:dyDescent="0.25">
      <c r="A1225" s="7">
        <v>45133</v>
      </c>
      <c r="B1225" t="s">
        <v>6</v>
      </c>
      <c r="C1225" s="6" t="s">
        <v>416</v>
      </c>
      <c r="D1225" t="s">
        <v>401</v>
      </c>
      <c r="E1225" s="1">
        <v>0.50486111111111109</v>
      </c>
      <c r="F1225" s="1">
        <v>0.53680555555555554</v>
      </c>
      <c r="G1225" s="9">
        <f t="shared" si="130"/>
        <v>45131</v>
      </c>
      <c r="H1225" s="11">
        <f t="shared" si="131"/>
        <v>0.8</v>
      </c>
      <c r="I1225" s="10">
        <f t="shared" si="132"/>
        <v>4.4000000000000004</v>
      </c>
      <c r="J1225" s="10">
        <f t="shared" si="133"/>
        <v>7.2</v>
      </c>
      <c r="K1225" s="10">
        <f t="shared" si="135"/>
        <v>18.900000000000002</v>
      </c>
      <c r="L1225" s="10">
        <f t="shared" si="134"/>
        <v>128.70000000000002</v>
      </c>
    </row>
    <row r="1226" spans="1:12" x14ac:dyDescent="0.25">
      <c r="A1226" s="7">
        <v>45133</v>
      </c>
      <c r="B1226" t="s">
        <v>17</v>
      </c>
      <c r="C1226" s="6">
        <v>2420</v>
      </c>
      <c r="D1226" t="s">
        <v>402</v>
      </c>
      <c r="E1226" s="1">
        <v>0.53680555555555554</v>
      </c>
      <c r="F1226" s="1">
        <v>0.67361111111111116</v>
      </c>
      <c r="G1226" s="9">
        <f t="shared" si="130"/>
        <v>45131</v>
      </c>
      <c r="H1226" s="11">
        <f t="shared" si="131"/>
        <v>3.3</v>
      </c>
      <c r="I1226" s="10">
        <f t="shared" si="132"/>
        <v>7.7</v>
      </c>
      <c r="J1226" s="10">
        <f t="shared" si="133"/>
        <v>7.2</v>
      </c>
      <c r="K1226" s="10">
        <f t="shared" si="135"/>
        <v>22.2</v>
      </c>
      <c r="L1226" s="10">
        <f t="shared" si="134"/>
        <v>132</v>
      </c>
    </row>
    <row r="1227" spans="1:12" x14ac:dyDescent="0.25">
      <c r="A1227" s="7">
        <v>45134</v>
      </c>
      <c r="B1227" t="s">
        <v>309</v>
      </c>
      <c r="C1227" s="6">
        <v>2805</v>
      </c>
      <c r="D1227" t="s">
        <v>329</v>
      </c>
      <c r="E1227" s="1">
        <v>0.33888888888888885</v>
      </c>
      <c r="F1227" s="1">
        <v>0.45833333333333331</v>
      </c>
      <c r="G1227" s="9">
        <f t="shared" si="130"/>
        <v>45131</v>
      </c>
      <c r="H1227" s="11">
        <f t="shared" si="131"/>
        <v>2.9</v>
      </c>
      <c r="I1227" s="10">
        <f t="shared" si="132"/>
        <v>2.9</v>
      </c>
      <c r="J1227" s="10">
        <f t="shared" si="133"/>
        <v>7.2</v>
      </c>
      <c r="K1227" s="10">
        <f t="shared" si="135"/>
        <v>25.099999999999998</v>
      </c>
      <c r="L1227" s="10">
        <f t="shared" si="134"/>
        <v>134.9</v>
      </c>
    </row>
    <row r="1228" spans="1:12" x14ac:dyDescent="0.25">
      <c r="A1228" s="7">
        <v>45134</v>
      </c>
      <c r="B1228" t="s">
        <v>309</v>
      </c>
      <c r="C1228" s="6">
        <v>2805</v>
      </c>
      <c r="D1228" t="s">
        <v>44</v>
      </c>
      <c r="E1228" s="1">
        <v>0.45833333333333331</v>
      </c>
      <c r="F1228" s="1">
        <v>0.51458333333333328</v>
      </c>
      <c r="G1228" s="9">
        <f t="shared" si="130"/>
        <v>45131</v>
      </c>
      <c r="H1228" s="11">
        <f t="shared" si="131"/>
        <v>1.4</v>
      </c>
      <c r="I1228" s="10">
        <f t="shared" si="132"/>
        <v>4.3</v>
      </c>
      <c r="J1228" s="10">
        <f t="shared" si="133"/>
        <v>7.2</v>
      </c>
      <c r="K1228" s="10">
        <f t="shared" si="135"/>
        <v>26.5</v>
      </c>
      <c r="L1228" s="10">
        <f t="shared" si="134"/>
        <v>136.30000000000001</v>
      </c>
    </row>
    <row r="1229" spans="1:12" x14ac:dyDescent="0.25">
      <c r="A1229" s="7">
        <v>45134</v>
      </c>
      <c r="B1229" t="s">
        <v>309</v>
      </c>
      <c r="C1229" s="6">
        <v>2805</v>
      </c>
      <c r="D1229" t="s">
        <v>403</v>
      </c>
      <c r="E1229" s="1">
        <v>0.51458333333333328</v>
      </c>
      <c r="F1229" s="1">
        <v>0.62708333333333333</v>
      </c>
      <c r="G1229" s="9">
        <f t="shared" si="130"/>
        <v>45131</v>
      </c>
      <c r="H1229" s="11">
        <f t="shared" si="131"/>
        <v>2.7</v>
      </c>
      <c r="I1229" s="10">
        <f t="shared" si="132"/>
        <v>7</v>
      </c>
      <c r="J1229" s="10">
        <f t="shared" si="133"/>
        <v>7.2</v>
      </c>
      <c r="K1229" s="10">
        <f t="shared" si="135"/>
        <v>29.2</v>
      </c>
      <c r="L1229" s="10">
        <f t="shared" si="134"/>
        <v>139</v>
      </c>
    </row>
    <row r="1230" spans="1:12" x14ac:dyDescent="0.25">
      <c r="A1230" s="7">
        <v>45135</v>
      </c>
      <c r="B1230" t="s">
        <v>17</v>
      </c>
      <c r="C1230" s="6">
        <v>2420</v>
      </c>
      <c r="D1230" t="s">
        <v>404</v>
      </c>
      <c r="E1230" s="1">
        <v>0.34166666666666662</v>
      </c>
      <c r="F1230" s="1">
        <v>0.50694444444444442</v>
      </c>
      <c r="G1230" s="9">
        <f t="shared" si="130"/>
        <v>45131</v>
      </c>
      <c r="H1230" s="11">
        <f t="shared" si="131"/>
        <v>4</v>
      </c>
      <c r="I1230" s="10">
        <f t="shared" si="132"/>
        <v>4</v>
      </c>
      <c r="J1230" s="10">
        <f t="shared" si="133"/>
        <v>7.2</v>
      </c>
      <c r="K1230" s="10">
        <f t="shared" si="135"/>
        <v>33.200000000000003</v>
      </c>
      <c r="L1230" s="10">
        <f t="shared" si="134"/>
        <v>143</v>
      </c>
    </row>
    <row r="1231" spans="1:12" x14ac:dyDescent="0.25">
      <c r="A1231" s="7">
        <v>45135</v>
      </c>
      <c r="B1231" t="s">
        <v>17</v>
      </c>
      <c r="C1231" s="6">
        <v>2420</v>
      </c>
      <c r="D1231" t="s">
        <v>405</v>
      </c>
      <c r="E1231" s="1">
        <v>0.52083333333333337</v>
      </c>
      <c r="F1231" s="1">
        <v>0.61944444444444446</v>
      </c>
      <c r="G1231" s="9">
        <f t="shared" si="130"/>
        <v>45131</v>
      </c>
      <c r="H1231" s="11">
        <f t="shared" si="131"/>
        <v>2.4</v>
      </c>
      <c r="I1231" s="10">
        <f t="shared" si="132"/>
        <v>6.4</v>
      </c>
      <c r="J1231" s="10">
        <f t="shared" si="133"/>
        <v>7.2</v>
      </c>
      <c r="K1231" s="10">
        <f t="shared" si="135"/>
        <v>35.6</v>
      </c>
      <c r="L1231" s="10">
        <f t="shared" si="134"/>
        <v>145.4</v>
      </c>
    </row>
    <row r="1232" spans="1:12" x14ac:dyDescent="0.25">
      <c r="A1232" s="7">
        <v>45135</v>
      </c>
      <c r="B1232" t="s">
        <v>6</v>
      </c>
      <c r="C1232" s="6" t="s">
        <v>416</v>
      </c>
      <c r="D1232" t="s">
        <v>374</v>
      </c>
      <c r="E1232" s="1">
        <v>0.61944444444444446</v>
      </c>
      <c r="F1232" s="1">
        <v>0.67986111111111114</v>
      </c>
      <c r="G1232" s="9">
        <f t="shared" si="130"/>
        <v>45131</v>
      </c>
      <c r="H1232" s="11">
        <f t="shared" si="131"/>
        <v>1.5</v>
      </c>
      <c r="I1232" s="10">
        <f t="shared" si="132"/>
        <v>7.9</v>
      </c>
      <c r="J1232" s="10">
        <f t="shared" si="133"/>
        <v>7.2</v>
      </c>
      <c r="K1232" s="10">
        <f t="shared" si="135"/>
        <v>37.1</v>
      </c>
      <c r="L1232" s="10">
        <f t="shared" si="134"/>
        <v>146.9</v>
      </c>
    </row>
    <row r="1233" spans="1:12" x14ac:dyDescent="0.25">
      <c r="A1233" s="7">
        <v>45138</v>
      </c>
      <c r="B1233" t="s">
        <v>17</v>
      </c>
      <c r="C1233" s="6">
        <v>2420</v>
      </c>
      <c r="D1233" t="s">
        <v>404</v>
      </c>
      <c r="E1233" s="1">
        <v>0.29930555555555555</v>
      </c>
      <c r="F1233" s="1">
        <v>0.41666666666666669</v>
      </c>
      <c r="G1233" s="9">
        <f t="shared" si="130"/>
        <v>45138</v>
      </c>
      <c r="H1233" s="11">
        <f t="shared" si="131"/>
        <v>2.8</v>
      </c>
      <c r="I1233" s="10">
        <f t="shared" si="132"/>
        <v>2.8</v>
      </c>
      <c r="J1233" s="10">
        <f t="shared" si="133"/>
        <v>7.2</v>
      </c>
      <c r="K1233" s="10">
        <f t="shared" si="135"/>
        <v>2.8</v>
      </c>
      <c r="L1233" s="10">
        <f t="shared" si="134"/>
        <v>149.70000000000002</v>
      </c>
    </row>
    <row r="1234" spans="1:12" x14ac:dyDescent="0.25">
      <c r="A1234" s="7">
        <v>45138</v>
      </c>
      <c r="B1234" t="s">
        <v>6</v>
      </c>
      <c r="C1234" s="6" t="s">
        <v>416</v>
      </c>
      <c r="D1234" t="s">
        <v>112</v>
      </c>
      <c r="E1234" s="1">
        <v>0.41666666666666669</v>
      </c>
      <c r="F1234" s="1">
        <v>0.45416666666666666</v>
      </c>
      <c r="G1234" s="9">
        <f t="shared" si="130"/>
        <v>45138</v>
      </c>
      <c r="H1234" s="11">
        <f t="shared" si="131"/>
        <v>0.9</v>
      </c>
      <c r="I1234" s="10">
        <f t="shared" si="132"/>
        <v>3.6999999999999997</v>
      </c>
      <c r="J1234" s="10">
        <f t="shared" si="133"/>
        <v>7.2</v>
      </c>
      <c r="K1234" s="10">
        <f t="shared" si="135"/>
        <v>3.6999999999999997</v>
      </c>
      <c r="L1234" s="10">
        <f t="shared" si="134"/>
        <v>150.6</v>
      </c>
    </row>
    <row r="1235" spans="1:12" x14ac:dyDescent="0.25">
      <c r="A1235" s="7">
        <v>45138</v>
      </c>
      <c r="B1235" t="s">
        <v>17</v>
      </c>
      <c r="C1235" s="6">
        <v>2420</v>
      </c>
      <c r="D1235" t="s">
        <v>404</v>
      </c>
      <c r="E1235" s="1">
        <v>0.45416666666666666</v>
      </c>
      <c r="F1235" s="1">
        <v>0.48958333333333331</v>
      </c>
      <c r="G1235" s="9">
        <f t="shared" si="130"/>
        <v>45138</v>
      </c>
      <c r="H1235" s="11">
        <f t="shared" si="131"/>
        <v>0.9</v>
      </c>
      <c r="I1235" s="10">
        <f t="shared" si="132"/>
        <v>4.6000000000000005</v>
      </c>
      <c r="J1235" s="10">
        <f t="shared" si="133"/>
        <v>7.2</v>
      </c>
      <c r="K1235" s="10">
        <f t="shared" si="135"/>
        <v>4.6000000000000005</v>
      </c>
      <c r="L1235" s="10">
        <f t="shared" si="134"/>
        <v>151.5</v>
      </c>
    </row>
    <row r="1236" spans="1:12" x14ac:dyDescent="0.25">
      <c r="A1236" s="7">
        <v>45138</v>
      </c>
      <c r="B1236" t="s">
        <v>17</v>
      </c>
      <c r="C1236" s="6">
        <v>2420</v>
      </c>
      <c r="D1236" t="s">
        <v>404</v>
      </c>
      <c r="E1236" s="1">
        <v>0.51388888888888895</v>
      </c>
      <c r="F1236" s="1">
        <v>0.55138888888888882</v>
      </c>
      <c r="G1236" s="9">
        <f t="shared" si="130"/>
        <v>45138</v>
      </c>
      <c r="H1236" s="11">
        <f t="shared" si="131"/>
        <v>0.9</v>
      </c>
      <c r="I1236" s="10">
        <f t="shared" si="132"/>
        <v>5.5</v>
      </c>
      <c r="J1236" s="10">
        <f t="shared" si="133"/>
        <v>7.2</v>
      </c>
      <c r="K1236" s="10">
        <f t="shared" si="135"/>
        <v>5.5</v>
      </c>
      <c r="L1236" s="10">
        <f t="shared" si="134"/>
        <v>152.4</v>
      </c>
    </row>
    <row r="1237" spans="1:12" x14ac:dyDescent="0.25">
      <c r="A1237" s="7">
        <v>45138</v>
      </c>
      <c r="B1237" t="s">
        <v>6</v>
      </c>
      <c r="C1237" s="6" t="s">
        <v>416</v>
      </c>
      <c r="D1237" t="s">
        <v>406</v>
      </c>
      <c r="E1237" s="1">
        <v>0.55138888888888882</v>
      </c>
      <c r="F1237" s="1">
        <v>0.58333333333333337</v>
      </c>
      <c r="G1237" s="9">
        <f t="shared" si="130"/>
        <v>45138</v>
      </c>
      <c r="H1237" s="11">
        <f t="shared" si="131"/>
        <v>0.8</v>
      </c>
      <c r="I1237" s="10">
        <f t="shared" si="132"/>
        <v>6.3</v>
      </c>
      <c r="J1237" s="10">
        <f t="shared" si="133"/>
        <v>7.2</v>
      </c>
      <c r="K1237" s="10">
        <f t="shared" si="135"/>
        <v>6.3</v>
      </c>
      <c r="L1237" s="10">
        <f t="shared" si="134"/>
        <v>153.20000000000002</v>
      </c>
    </row>
    <row r="1238" spans="1:12" x14ac:dyDescent="0.25">
      <c r="A1238" s="7">
        <v>45138</v>
      </c>
      <c r="B1238" t="s">
        <v>381</v>
      </c>
      <c r="C1238" s="6">
        <v>6008</v>
      </c>
      <c r="D1238" s="1" t="s">
        <v>44</v>
      </c>
      <c r="E1238" s="1">
        <v>0.58333333333333337</v>
      </c>
      <c r="F1238" s="1">
        <v>0.64166666666666672</v>
      </c>
      <c r="G1238" s="9">
        <f t="shared" si="130"/>
        <v>45138</v>
      </c>
      <c r="H1238" s="11">
        <f t="shared" si="131"/>
        <v>1.4</v>
      </c>
      <c r="I1238" s="10">
        <f t="shared" si="132"/>
        <v>7.6999999999999993</v>
      </c>
      <c r="J1238" s="10">
        <f t="shared" si="133"/>
        <v>7.2</v>
      </c>
      <c r="K1238" s="10">
        <f t="shared" si="135"/>
        <v>7.6999999999999993</v>
      </c>
      <c r="L1238" s="10">
        <f t="shared" si="134"/>
        <v>154.6</v>
      </c>
    </row>
    <row r="1239" spans="1:12" x14ac:dyDescent="0.25">
      <c r="A1239" s="7">
        <v>45139</v>
      </c>
      <c r="B1239" t="s">
        <v>309</v>
      </c>
      <c r="C1239" s="6">
        <v>2805</v>
      </c>
      <c r="D1239" t="s">
        <v>407</v>
      </c>
      <c r="E1239" s="1">
        <v>0.29166666666666669</v>
      </c>
      <c r="F1239" s="1">
        <v>0.375</v>
      </c>
      <c r="G1239" s="9">
        <f t="shared" si="130"/>
        <v>45138</v>
      </c>
      <c r="H1239" s="11">
        <f t="shared" si="131"/>
        <v>2</v>
      </c>
      <c r="I1239" s="10">
        <f t="shared" si="132"/>
        <v>2</v>
      </c>
      <c r="J1239" s="10">
        <f t="shared" si="133"/>
        <v>7.2</v>
      </c>
      <c r="K1239" s="10">
        <f t="shared" si="135"/>
        <v>9.6999999999999993</v>
      </c>
      <c r="L1239" s="10">
        <f t="shared" si="134"/>
        <v>2</v>
      </c>
    </row>
    <row r="1240" spans="1:12" x14ac:dyDescent="0.25">
      <c r="A1240" s="7">
        <v>45139</v>
      </c>
      <c r="B1240" t="s">
        <v>411</v>
      </c>
      <c r="C1240" s="6">
        <v>6181</v>
      </c>
      <c r="D1240" t="s">
        <v>408</v>
      </c>
      <c r="E1240" s="1">
        <v>0.375</v>
      </c>
      <c r="F1240" s="1">
        <v>0.66666666666666663</v>
      </c>
      <c r="G1240" s="9">
        <f t="shared" si="130"/>
        <v>45138</v>
      </c>
      <c r="H1240" s="11">
        <f t="shared" si="131"/>
        <v>7</v>
      </c>
      <c r="I1240" s="10">
        <f t="shared" si="132"/>
        <v>9</v>
      </c>
      <c r="J1240" s="10">
        <f t="shared" si="133"/>
        <v>7.2</v>
      </c>
      <c r="K1240" s="10">
        <f t="shared" si="135"/>
        <v>16.7</v>
      </c>
      <c r="L1240" s="10">
        <f t="shared" si="134"/>
        <v>9</v>
      </c>
    </row>
    <row r="1241" spans="1:12" x14ac:dyDescent="0.25">
      <c r="A1241" s="7">
        <v>45140</v>
      </c>
      <c r="B1241" t="s">
        <v>381</v>
      </c>
      <c r="C1241" s="6">
        <v>6008</v>
      </c>
      <c r="D1241" s="1" t="s">
        <v>409</v>
      </c>
      <c r="E1241" s="1">
        <v>0.3034722222222222</v>
      </c>
      <c r="F1241" s="1">
        <v>0.45833333333333331</v>
      </c>
      <c r="G1241" s="9">
        <f t="shared" si="130"/>
        <v>45138</v>
      </c>
      <c r="H1241" s="11">
        <f t="shared" si="131"/>
        <v>3.7</v>
      </c>
      <c r="I1241" s="10">
        <f t="shared" si="132"/>
        <v>3.7</v>
      </c>
      <c r="J1241" s="10">
        <f t="shared" si="133"/>
        <v>7.2</v>
      </c>
      <c r="K1241" s="10">
        <f t="shared" si="135"/>
        <v>20.399999999999999</v>
      </c>
      <c r="L1241" s="10">
        <f t="shared" si="134"/>
        <v>12.7</v>
      </c>
    </row>
    <row r="1242" spans="1:12" x14ac:dyDescent="0.25">
      <c r="A1242" s="7">
        <v>45140</v>
      </c>
      <c r="B1242" t="s">
        <v>17</v>
      </c>
      <c r="C1242" s="6">
        <v>2420</v>
      </c>
      <c r="D1242" t="s">
        <v>410</v>
      </c>
      <c r="E1242" s="1">
        <v>0.45833333333333331</v>
      </c>
      <c r="F1242" s="1">
        <v>0.50902777777777775</v>
      </c>
      <c r="G1242" s="9">
        <f t="shared" si="130"/>
        <v>45138</v>
      </c>
      <c r="H1242" s="11">
        <f t="shared" si="131"/>
        <v>1.2</v>
      </c>
      <c r="I1242" s="10">
        <f t="shared" si="132"/>
        <v>4.9000000000000004</v>
      </c>
      <c r="J1242" s="10">
        <f t="shared" si="133"/>
        <v>7.2</v>
      </c>
      <c r="K1242" s="10">
        <f t="shared" si="135"/>
        <v>21.599999999999998</v>
      </c>
      <c r="L1242" s="10">
        <f t="shared" si="134"/>
        <v>13.899999999999999</v>
      </c>
    </row>
    <row r="1243" spans="1:12" x14ac:dyDescent="0.25">
      <c r="A1243" s="7">
        <v>45140</v>
      </c>
      <c r="B1243" t="s">
        <v>381</v>
      </c>
      <c r="C1243" s="6">
        <v>6008</v>
      </c>
      <c r="D1243" s="1" t="s">
        <v>409</v>
      </c>
      <c r="E1243" s="1">
        <v>0.52916666666666667</v>
      </c>
      <c r="F1243" s="1">
        <v>0.58402777777777781</v>
      </c>
      <c r="G1243" s="9">
        <f t="shared" si="130"/>
        <v>45138</v>
      </c>
      <c r="H1243" s="11">
        <f t="shared" si="131"/>
        <v>1.3</v>
      </c>
      <c r="I1243" s="10">
        <f t="shared" si="132"/>
        <v>6.2</v>
      </c>
      <c r="J1243" s="10">
        <f t="shared" si="133"/>
        <v>7.2</v>
      </c>
      <c r="K1243" s="10">
        <f t="shared" si="135"/>
        <v>22.900000000000002</v>
      </c>
      <c r="L1243" s="10">
        <f t="shared" si="134"/>
        <v>15.200000000000001</v>
      </c>
    </row>
    <row r="1244" spans="1:12" x14ac:dyDescent="0.25">
      <c r="A1244" s="7">
        <v>45141</v>
      </c>
      <c r="B1244" t="s">
        <v>309</v>
      </c>
      <c r="C1244" s="6">
        <v>2805</v>
      </c>
      <c r="D1244" t="s">
        <v>407</v>
      </c>
      <c r="E1244" s="1">
        <v>0.33888888888888885</v>
      </c>
      <c r="F1244" s="1">
        <v>0.63472222222222219</v>
      </c>
      <c r="G1244" s="9">
        <f t="shared" si="130"/>
        <v>45138</v>
      </c>
      <c r="H1244" s="11">
        <f t="shared" si="131"/>
        <v>7.1</v>
      </c>
      <c r="I1244" s="10">
        <f t="shared" si="132"/>
        <v>7.1</v>
      </c>
      <c r="J1244" s="10">
        <f t="shared" si="133"/>
        <v>7.2</v>
      </c>
      <c r="K1244" s="10">
        <f t="shared" si="135"/>
        <v>30</v>
      </c>
      <c r="L1244" s="10">
        <f t="shared" si="134"/>
        <v>22.299999999999997</v>
      </c>
    </row>
    <row r="1245" spans="1:12" x14ac:dyDescent="0.25">
      <c r="A1245" s="7">
        <v>45142</v>
      </c>
      <c r="B1245" t="s">
        <v>309</v>
      </c>
      <c r="C1245" s="6">
        <v>2805</v>
      </c>
      <c r="D1245" t="s">
        <v>366</v>
      </c>
      <c r="E1245" s="1">
        <v>0.32430555555555557</v>
      </c>
      <c r="F1245" s="1">
        <v>0.4694444444444445</v>
      </c>
      <c r="G1245" s="9">
        <f t="shared" si="130"/>
        <v>45138</v>
      </c>
      <c r="H1245" s="11">
        <f t="shared" si="131"/>
        <v>3.5</v>
      </c>
      <c r="I1245" s="10">
        <f t="shared" si="132"/>
        <v>3.5</v>
      </c>
      <c r="J1245" s="10">
        <f t="shared" si="133"/>
        <v>7.2</v>
      </c>
      <c r="K1245" s="10">
        <f t="shared" si="135"/>
        <v>33.5</v>
      </c>
      <c r="L1245" s="10">
        <f t="shared" si="134"/>
        <v>25.8</v>
      </c>
    </row>
    <row r="1246" spans="1:12" x14ac:dyDescent="0.25">
      <c r="A1246" s="7">
        <v>45142</v>
      </c>
      <c r="B1246" t="s">
        <v>309</v>
      </c>
      <c r="C1246" s="6">
        <v>2805</v>
      </c>
      <c r="D1246" t="s">
        <v>366</v>
      </c>
      <c r="E1246" s="1">
        <v>0.55347222222222225</v>
      </c>
      <c r="F1246" s="1">
        <v>0.66041666666666665</v>
      </c>
      <c r="G1246" s="9">
        <f t="shared" si="130"/>
        <v>45138</v>
      </c>
      <c r="H1246" s="11">
        <f t="shared" si="131"/>
        <v>2.6</v>
      </c>
      <c r="I1246" s="10">
        <f t="shared" si="132"/>
        <v>6.1</v>
      </c>
      <c r="J1246" s="10">
        <f t="shared" si="133"/>
        <v>7.2</v>
      </c>
      <c r="K1246" s="10">
        <f t="shared" si="135"/>
        <v>36.1</v>
      </c>
      <c r="L1246" s="10">
        <f t="shared" si="134"/>
        <v>28.400000000000002</v>
      </c>
    </row>
    <row r="1247" spans="1:12" x14ac:dyDescent="0.25">
      <c r="A1247" s="7">
        <v>45145</v>
      </c>
      <c r="B1247" t="s">
        <v>6</v>
      </c>
      <c r="C1247" s="6" t="s">
        <v>416</v>
      </c>
      <c r="D1247" t="s">
        <v>412</v>
      </c>
      <c r="E1247" s="1">
        <v>0.32916666666666666</v>
      </c>
      <c r="F1247" s="1">
        <v>0.38472222222222219</v>
      </c>
      <c r="G1247" s="9">
        <f t="shared" si="130"/>
        <v>45145</v>
      </c>
      <c r="H1247" s="11">
        <f t="shared" si="131"/>
        <v>1.3</v>
      </c>
      <c r="I1247" s="10">
        <f t="shared" si="132"/>
        <v>1.3</v>
      </c>
      <c r="J1247" s="10">
        <f t="shared" si="133"/>
        <v>7.2</v>
      </c>
      <c r="K1247" s="10">
        <f t="shared" si="135"/>
        <v>1.3</v>
      </c>
      <c r="L1247" s="10">
        <f t="shared" si="134"/>
        <v>29.7</v>
      </c>
    </row>
    <row r="1248" spans="1:12" x14ac:dyDescent="0.25">
      <c r="A1248" s="7">
        <v>45145</v>
      </c>
      <c r="B1248" t="s">
        <v>309</v>
      </c>
      <c r="C1248" s="6">
        <v>2805</v>
      </c>
      <c r="D1248" t="s">
        <v>413</v>
      </c>
      <c r="E1248" s="1">
        <v>0.38472222222222219</v>
      </c>
      <c r="F1248" s="1">
        <v>0.41666666666666669</v>
      </c>
      <c r="G1248" s="9">
        <f t="shared" si="130"/>
        <v>45145</v>
      </c>
      <c r="H1248" s="11">
        <f t="shared" si="131"/>
        <v>0.8</v>
      </c>
      <c r="I1248" s="10">
        <f t="shared" si="132"/>
        <v>2.1</v>
      </c>
      <c r="J1248" s="10">
        <f t="shared" si="133"/>
        <v>7.2</v>
      </c>
      <c r="K1248" s="10">
        <f t="shared" si="135"/>
        <v>2.1</v>
      </c>
      <c r="L1248" s="10">
        <f t="shared" si="134"/>
        <v>30.5</v>
      </c>
    </row>
    <row r="1249" spans="1:12" x14ac:dyDescent="0.25">
      <c r="A1249" s="7">
        <v>45145</v>
      </c>
      <c r="B1249" t="s">
        <v>6</v>
      </c>
      <c r="C1249" s="6" t="s">
        <v>416</v>
      </c>
      <c r="D1249" t="s">
        <v>112</v>
      </c>
      <c r="E1249" s="1">
        <v>0.41666666666666669</v>
      </c>
      <c r="F1249" s="1">
        <v>0.48680555555555555</v>
      </c>
      <c r="G1249" s="9">
        <f t="shared" si="130"/>
        <v>45145</v>
      </c>
      <c r="H1249" s="11">
        <f t="shared" si="131"/>
        <v>1.7</v>
      </c>
      <c r="I1249" s="10">
        <f t="shared" si="132"/>
        <v>3.8</v>
      </c>
      <c r="J1249" s="10">
        <f t="shared" si="133"/>
        <v>7.2</v>
      </c>
      <c r="K1249" s="10">
        <f t="shared" si="135"/>
        <v>3.8</v>
      </c>
      <c r="L1249" s="10">
        <f t="shared" si="134"/>
        <v>32.200000000000003</v>
      </c>
    </row>
    <row r="1250" spans="1:12" x14ac:dyDescent="0.25">
      <c r="A1250" s="7">
        <v>45145</v>
      </c>
      <c r="B1250" t="s">
        <v>309</v>
      </c>
      <c r="C1250" s="6">
        <v>2805</v>
      </c>
      <c r="D1250" t="s">
        <v>413</v>
      </c>
      <c r="E1250" s="1">
        <v>0.48680555555555555</v>
      </c>
      <c r="F1250" s="1">
        <v>0.65694444444444444</v>
      </c>
      <c r="G1250" s="9">
        <f t="shared" si="130"/>
        <v>45145</v>
      </c>
      <c r="H1250" s="11">
        <f t="shared" si="131"/>
        <v>4.0999999999999996</v>
      </c>
      <c r="I1250" s="10">
        <f t="shared" si="132"/>
        <v>7.8999999999999995</v>
      </c>
      <c r="J1250" s="10">
        <f t="shared" si="133"/>
        <v>7.2</v>
      </c>
      <c r="K1250" s="10">
        <f t="shared" si="135"/>
        <v>7.8999999999999995</v>
      </c>
      <c r="L1250" s="10">
        <f t="shared" si="134"/>
        <v>36.300000000000004</v>
      </c>
    </row>
    <row r="1251" spans="1:12" x14ac:dyDescent="0.25">
      <c r="A1251" s="7">
        <v>45146</v>
      </c>
      <c r="B1251" t="s">
        <v>6</v>
      </c>
      <c r="C1251" s="6" t="s">
        <v>416</v>
      </c>
      <c r="D1251" t="s">
        <v>414</v>
      </c>
      <c r="E1251" s="1">
        <v>0.35902777777777778</v>
      </c>
      <c r="F1251" s="1">
        <v>0.375</v>
      </c>
      <c r="G1251" s="9">
        <f t="shared" si="130"/>
        <v>45145</v>
      </c>
      <c r="H1251" s="11">
        <f t="shared" si="131"/>
        <v>0.4</v>
      </c>
      <c r="I1251" s="10">
        <f t="shared" si="132"/>
        <v>0.4</v>
      </c>
      <c r="J1251" s="10">
        <f t="shared" si="133"/>
        <v>7.2</v>
      </c>
      <c r="K1251" s="10">
        <f t="shared" si="135"/>
        <v>8.3000000000000007</v>
      </c>
      <c r="L1251" s="10">
        <f t="shared" si="134"/>
        <v>36.699999999999996</v>
      </c>
    </row>
    <row r="1252" spans="1:12" x14ac:dyDescent="0.25">
      <c r="A1252" s="7">
        <v>45146</v>
      </c>
      <c r="B1252" t="s">
        <v>309</v>
      </c>
      <c r="C1252" s="6">
        <v>2805</v>
      </c>
      <c r="D1252" t="s">
        <v>413</v>
      </c>
      <c r="E1252" s="1">
        <v>0.375</v>
      </c>
      <c r="F1252" s="1">
        <v>0.41666666666666669</v>
      </c>
      <c r="G1252" s="9">
        <f t="shared" si="130"/>
        <v>45145</v>
      </c>
      <c r="H1252" s="11">
        <f t="shared" si="131"/>
        <v>1</v>
      </c>
      <c r="I1252" s="10">
        <f t="shared" si="132"/>
        <v>1.4</v>
      </c>
      <c r="J1252" s="10">
        <f t="shared" si="133"/>
        <v>7.2</v>
      </c>
      <c r="K1252" s="10">
        <f t="shared" si="135"/>
        <v>9.3000000000000007</v>
      </c>
      <c r="L1252" s="10">
        <f t="shared" si="134"/>
        <v>37.700000000000003</v>
      </c>
    </row>
    <row r="1253" spans="1:12" x14ac:dyDescent="0.25">
      <c r="A1253" s="7">
        <v>45146</v>
      </c>
      <c r="B1253" t="s">
        <v>6</v>
      </c>
      <c r="C1253" s="6" t="s">
        <v>416</v>
      </c>
      <c r="D1253" t="s">
        <v>241</v>
      </c>
      <c r="E1253" s="1">
        <v>0.41666666666666669</v>
      </c>
      <c r="F1253" s="1">
        <v>0.44791666666666669</v>
      </c>
      <c r="G1253" s="9">
        <f t="shared" si="130"/>
        <v>45145</v>
      </c>
      <c r="H1253" s="11">
        <f t="shared" si="131"/>
        <v>0.8</v>
      </c>
      <c r="I1253" s="10">
        <f t="shared" si="132"/>
        <v>2.2000000000000002</v>
      </c>
      <c r="J1253" s="10">
        <f t="shared" si="133"/>
        <v>7.2</v>
      </c>
      <c r="K1253" s="10">
        <f t="shared" si="135"/>
        <v>10.100000000000001</v>
      </c>
      <c r="L1253" s="10">
        <f t="shared" si="134"/>
        <v>38.5</v>
      </c>
    </row>
    <row r="1254" spans="1:12" x14ac:dyDescent="0.25">
      <c r="A1254" s="7">
        <v>45146</v>
      </c>
      <c r="B1254" t="s">
        <v>309</v>
      </c>
      <c r="C1254" s="6">
        <v>2805</v>
      </c>
      <c r="D1254" t="s">
        <v>413</v>
      </c>
      <c r="E1254" s="1">
        <v>0.44791666666666669</v>
      </c>
      <c r="F1254" s="1">
        <v>0.54166666666666663</v>
      </c>
      <c r="G1254" s="9">
        <f t="shared" si="130"/>
        <v>45145</v>
      </c>
      <c r="H1254" s="11">
        <f t="shared" si="131"/>
        <v>2.2999999999999998</v>
      </c>
      <c r="I1254" s="10">
        <f t="shared" si="132"/>
        <v>4.5</v>
      </c>
      <c r="J1254" s="10">
        <f t="shared" si="133"/>
        <v>7.2</v>
      </c>
      <c r="K1254" s="10">
        <f t="shared" si="135"/>
        <v>12.399999999999999</v>
      </c>
      <c r="L1254" s="10">
        <f t="shared" si="134"/>
        <v>40.799999999999997</v>
      </c>
    </row>
    <row r="1255" spans="1:12" x14ac:dyDescent="0.25">
      <c r="A1255" s="7">
        <v>45146</v>
      </c>
      <c r="B1255" t="s">
        <v>309</v>
      </c>
      <c r="C1255" s="6">
        <v>2805</v>
      </c>
      <c r="D1255" t="s">
        <v>44</v>
      </c>
      <c r="E1255" s="1">
        <v>0.54166666666666663</v>
      </c>
      <c r="F1255" s="1">
        <v>0.58333333333333337</v>
      </c>
      <c r="G1255" s="9">
        <f t="shared" si="130"/>
        <v>45145</v>
      </c>
      <c r="H1255" s="11">
        <f t="shared" si="131"/>
        <v>1</v>
      </c>
      <c r="I1255" s="10">
        <f t="shared" si="132"/>
        <v>5.5</v>
      </c>
      <c r="J1255" s="10">
        <f t="shared" si="133"/>
        <v>7.2</v>
      </c>
      <c r="K1255" s="10">
        <f t="shared" si="135"/>
        <v>13.4</v>
      </c>
      <c r="L1255" s="10">
        <f t="shared" si="134"/>
        <v>41.8</v>
      </c>
    </row>
    <row r="1256" spans="1:12" x14ac:dyDescent="0.25">
      <c r="A1256" s="7">
        <v>45146</v>
      </c>
      <c r="B1256" t="s">
        <v>309</v>
      </c>
      <c r="C1256" s="6">
        <v>2805</v>
      </c>
      <c r="D1256" t="s">
        <v>413</v>
      </c>
      <c r="E1256" s="1">
        <v>0.58333333333333337</v>
      </c>
      <c r="F1256" s="1">
        <v>0.67013888888888884</v>
      </c>
      <c r="G1256" s="9">
        <f t="shared" si="130"/>
        <v>45145</v>
      </c>
      <c r="H1256" s="11">
        <f t="shared" si="131"/>
        <v>2.1</v>
      </c>
      <c r="I1256" s="10">
        <f t="shared" si="132"/>
        <v>7.6</v>
      </c>
      <c r="J1256" s="10">
        <f t="shared" si="133"/>
        <v>7.2</v>
      </c>
      <c r="K1256" s="10">
        <f t="shared" si="135"/>
        <v>15.5</v>
      </c>
      <c r="L1256" s="10">
        <f t="shared" si="134"/>
        <v>43.9</v>
      </c>
    </row>
    <row r="1257" spans="1:12" x14ac:dyDescent="0.25">
      <c r="A1257" s="7">
        <v>45147</v>
      </c>
      <c r="B1257" t="s">
        <v>309</v>
      </c>
      <c r="C1257" s="6">
        <v>2805</v>
      </c>
      <c r="D1257" t="s">
        <v>413</v>
      </c>
      <c r="E1257" s="1">
        <v>0.31875000000000003</v>
      </c>
      <c r="F1257" s="1">
        <v>0.4770833333333333</v>
      </c>
      <c r="G1257" s="9">
        <f t="shared" si="130"/>
        <v>45145</v>
      </c>
      <c r="H1257" s="11">
        <f t="shared" si="131"/>
        <v>3.8</v>
      </c>
      <c r="I1257" s="10">
        <f t="shared" si="132"/>
        <v>3.8</v>
      </c>
      <c r="J1257" s="10">
        <f t="shared" si="133"/>
        <v>7.2</v>
      </c>
      <c r="K1257" s="10">
        <f t="shared" si="135"/>
        <v>19.3</v>
      </c>
      <c r="L1257" s="10">
        <f t="shared" si="134"/>
        <v>47.699999999999996</v>
      </c>
    </row>
    <row r="1258" spans="1:12" x14ac:dyDescent="0.25">
      <c r="A1258" s="7">
        <v>45147</v>
      </c>
      <c r="B1258" t="s">
        <v>309</v>
      </c>
      <c r="C1258" s="6">
        <v>2805</v>
      </c>
      <c r="D1258" t="s">
        <v>413</v>
      </c>
      <c r="E1258" s="1">
        <v>0.4861111111111111</v>
      </c>
      <c r="F1258" s="1">
        <v>0.62152777777777779</v>
      </c>
      <c r="G1258" s="9">
        <f t="shared" si="130"/>
        <v>45145</v>
      </c>
      <c r="H1258" s="11">
        <f t="shared" si="131"/>
        <v>3.3</v>
      </c>
      <c r="I1258" s="10">
        <f t="shared" si="132"/>
        <v>7.1</v>
      </c>
      <c r="J1258" s="10">
        <f t="shared" si="133"/>
        <v>7.2</v>
      </c>
      <c r="K1258" s="10">
        <f t="shared" si="135"/>
        <v>22.6</v>
      </c>
      <c r="L1258" s="10">
        <f t="shared" si="134"/>
        <v>51</v>
      </c>
    </row>
    <row r="1259" spans="1:12" x14ac:dyDescent="0.25">
      <c r="A1259" s="7">
        <v>45148</v>
      </c>
      <c r="B1259" t="s">
        <v>309</v>
      </c>
      <c r="C1259" s="6">
        <v>2805</v>
      </c>
      <c r="D1259" t="s">
        <v>413</v>
      </c>
      <c r="E1259" s="1">
        <v>0.3298611111111111</v>
      </c>
      <c r="F1259" s="1">
        <v>0.48958333333333331</v>
      </c>
      <c r="G1259" s="9">
        <f t="shared" si="130"/>
        <v>45145</v>
      </c>
      <c r="H1259" s="11">
        <f t="shared" si="131"/>
        <v>3.8</v>
      </c>
      <c r="I1259" s="10">
        <f t="shared" si="132"/>
        <v>3.8</v>
      </c>
      <c r="J1259" s="10">
        <f t="shared" si="133"/>
        <v>7.2</v>
      </c>
      <c r="K1259" s="10">
        <f t="shared" si="135"/>
        <v>26.400000000000002</v>
      </c>
      <c r="L1259" s="10">
        <f t="shared" si="134"/>
        <v>54.8</v>
      </c>
    </row>
    <row r="1260" spans="1:12" x14ac:dyDescent="0.25">
      <c r="A1260" s="7">
        <v>45148</v>
      </c>
      <c r="B1260" t="s">
        <v>6</v>
      </c>
      <c r="C1260" s="6" t="s">
        <v>416</v>
      </c>
      <c r="D1260" t="s">
        <v>415</v>
      </c>
      <c r="E1260" s="1">
        <v>0.48958333333333331</v>
      </c>
      <c r="F1260" s="1">
        <v>0.52986111111111112</v>
      </c>
      <c r="G1260" s="9">
        <f t="shared" si="130"/>
        <v>45145</v>
      </c>
      <c r="H1260" s="11">
        <f t="shared" si="131"/>
        <v>1</v>
      </c>
      <c r="I1260" s="10">
        <f t="shared" si="132"/>
        <v>4.8</v>
      </c>
      <c r="J1260" s="10">
        <f t="shared" si="133"/>
        <v>7.2</v>
      </c>
      <c r="K1260" s="10">
        <f t="shared" si="135"/>
        <v>27.4</v>
      </c>
      <c r="L1260" s="10">
        <f t="shared" si="134"/>
        <v>55.8</v>
      </c>
    </row>
    <row r="1261" spans="1:12" x14ac:dyDescent="0.25">
      <c r="A1261" s="7">
        <v>45148</v>
      </c>
      <c r="B1261" t="s">
        <v>309</v>
      </c>
      <c r="C1261" s="6">
        <v>2805</v>
      </c>
      <c r="D1261" t="s">
        <v>413</v>
      </c>
      <c r="E1261" s="1">
        <v>0.54791666666666672</v>
      </c>
      <c r="F1261" s="1">
        <v>0.64027777777777783</v>
      </c>
      <c r="G1261" s="9">
        <f t="shared" ref="G1261:G1324" si="136">IF(E1261&gt;0,INT((A1261-2)/7)*7+2,"")</f>
        <v>45145</v>
      </c>
      <c r="H1261" s="11">
        <f t="shared" ref="H1261:H1324" si="137">IF(E1261&gt;0,ROUND(24*(IF(F1261&gt;0,F1261,NowTime)-E1261),1),"")</f>
        <v>2.2000000000000002</v>
      </c>
      <c r="I1261" s="10">
        <f t="shared" ref="I1261:I1324" si="138">IF(H1261="",H1261,H1261+IF(A1261=A1260,_xlfn.NUMBERVALUE(I1260),0))</f>
        <v>7</v>
      </c>
      <c r="J1261" s="10">
        <f t="shared" ref="J1261:J1324" si="139">IF(H1261="",H1261,7.2)</f>
        <v>7.2</v>
      </c>
      <c r="K1261" s="10">
        <f t="shared" si="135"/>
        <v>29.599999999999998</v>
      </c>
      <c r="L1261" s="10">
        <f t="shared" ref="L1261:L1324" si="140">IF(H1261="",H1261,H1261+IF(MONTH(A1261)=MONTH(A1260),_xlfn.NUMBERVALUE(L1260),0))</f>
        <v>58</v>
      </c>
    </row>
    <row r="1262" spans="1:12" x14ac:dyDescent="0.25">
      <c r="A1262" s="7">
        <v>45149</v>
      </c>
      <c r="B1262" t="s">
        <v>309</v>
      </c>
      <c r="C1262" s="6">
        <v>2805</v>
      </c>
      <c r="D1262" t="s">
        <v>413</v>
      </c>
      <c r="E1262" s="1">
        <v>0.33333333333333331</v>
      </c>
      <c r="F1262" s="1">
        <v>0.625</v>
      </c>
      <c r="G1262" s="9">
        <f t="shared" si="136"/>
        <v>45145</v>
      </c>
      <c r="H1262" s="11">
        <f t="shared" si="137"/>
        <v>7</v>
      </c>
      <c r="I1262" s="10">
        <f t="shared" si="138"/>
        <v>7</v>
      </c>
      <c r="J1262" s="10">
        <f t="shared" si="139"/>
        <v>7.2</v>
      </c>
      <c r="K1262" s="10">
        <f t="shared" si="135"/>
        <v>36.6</v>
      </c>
      <c r="L1262" s="10">
        <f t="shared" si="140"/>
        <v>65</v>
      </c>
    </row>
    <row r="1263" spans="1:12" x14ac:dyDescent="0.25">
      <c r="A1263" s="7">
        <v>45152</v>
      </c>
      <c r="B1263" t="s">
        <v>309</v>
      </c>
      <c r="C1263" s="6">
        <v>2805</v>
      </c>
      <c r="D1263" t="s">
        <v>413</v>
      </c>
      <c r="E1263" s="1">
        <v>0.32291666666666669</v>
      </c>
      <c r="F1263" s="1">
        <v>0.41666666666666669</v>
      </c>
      <c r="G1263" s="9">
        <f t="shared" si="136"/>
        <v>45152</v>
      </c>
      <c r="H1263" s="11">
        <f t="shared" si="137"/>
        <v>2.2999999999999998</v>
      </c>
      <c r="I1263" s="10">
        <f t="shared" si="138"/>
        <v>2.2999999999999998</v>
      </c>
      <c r="J1263" s="10">
        <f t="shared" si="139"/>
        <v>7.2</v>
      </c>
      <c r="K1263" s="10">
        <f t="shared" si="135"/>
        <v>2.2999999999999998</v>
      </c>
      <c r="L1263" s="10">
        <f t="shared" si="140"/>
        <v>67.3</v>
      </c>
    </row>
    <row r="1264" spans="1:12" x14ac:dyDescent="0.25">
      <c r="A1264" s="7">
        <v>45152</v>
      </c>
      <c r="B1264" t="s">
        <v>6</v>
      </c>
      <c r="C1264" s="6" t="s">
        <v>416</v>
      </c>
      <c r="D1264" t="s">
        <v>112</v>
      </c>
      <c r="E1264" s="1">
        <v>0.41666666666666669</v>
      </c>
      <c r="F1264" s="1">
        <v>0.4597222222222222</v>
      </c>
      <c r="G1264" s="9">
        <f t="shared" si="136"/>
        <v>45152</v>
      </c>
      <c r="H1264" s="11">
        <f t="shared" si="137"/>
        <v>1</v>
      </c>
      <c r="I1264" s="10">
        <f t="shared" si="138"/>
        <v>3.3</v>
      </c>
      <c r="J1264" s="10">
        <f t="shared" si="139"/>
        <v>7.2</v>
      </c>
      <c r="K1264" s="10">
        <f t="shared" si="135"/>
        <v>3.3</v>
      </c>
      <c r="L1264" s="10">
        <f t="shared" si="140"/>
        <v>68.3</v>
      </c>
    </row>
    <row r="1265" spans="1:12" x14ac:dyDescent="0.25">
      <c r="A1265" s="7">
        <v>45152</v>
      </c>
      <c r="B1265" t="s">
        <v>309</v>
      </c>
      <c r="C1265" s="6">
        <v>2805</v>
      </c>
      <c r="D1265" t="s">
        <v>413</v>
      </c>
      <c r="E1265" s="1">
        <v>0.4597222222222222</v>
      </c>
      <c r="F1265" s="1">
        <v>0.4909722222222222</v>
      </c>
      <c r="G1265" s="9">
        <f t="shared" si="136"/>
        <v>45152</v>
      </c>
      <c r="H1265" s="11">
        <f t="shared" si="137"/>
        <v>0.8</v>
      </c>
      <c r="I1265" s="10">
        <f t="shared" si="138"/>
        <v>4.0999999999999996</v>
      </c>
      <c r="J1265" s="10">
        <f t="shared" si="139"/>
        <v>7.2</v>
      </c>
      <c r="K1265" s="10">
        <f t="shared" si="135"/>
        <v>4.0999999999999996</v>
      </c>
      <c r="L1265" s="10">
        <f t="shared" si="140"/>
        <v>69.099999999999994</v>
      </c>
    </row>
    <row r="1266" spans="1:12" x14ac:dyDescent="0.25">
      <c r="A1266" s="7">
        <v>45152</v>
      </c>
      <c r="B1266" t="s">
        <v>309</v>
      </c>
      <c r="C1266" s="6">
        <v>2805</v>
      </c>
      <c r="D1266" t="s">
        <v>413</v>
      </c>
      <c r="E1266" s="1">
        <v>0.51527777777777783</v>
      </c>
      <c r="F1266" s="1">
        <v>0.58333333333333337</v>
      </c>
      <c r="G1266" s="9">
        <f t="shared" si="136"/>
        <v>45152</v>
      </c>
      <c r="H1266" s="11">
        <f t="shared" si="137"/>
        <v>1.6</v>
      </c>
      <c r="I1266" s="10">
        <f t="shared" si="138"/>
        <v>5.6999999999999993</v>
      </c>
      <c r="J1266" s="10">
        <f t="shared" si="139"/>
        <v>7.2</v>
      </c>
      <c r="K1266" s="10">
        <f t="shared" si="135"/>
        <v>5.6999999999999993</v>
      </c>
      <c r="L1266" s="10">
        <f t="shared" si="140"/>
        <v>70.699999999999989</v>
      </c>
    </row>
    <row r="1267" spans="1:12" x14ac:dyDescent="0.25">
      <c r="A1267" s="7">
        <v>45152</v>
      </c>
      <c r="B1267" t="s">
        <v>311</v>
      </c>
      <c r="C1267" s="6">
        <v>2008</v>
      </c>
      <c r="D1267" t="s">
        <v>44</v>
      </c>
      <c r="E1267" s="1">
        <v>0.58333333333333337</v>
      </c>
      <c r="F1267" s="1">
        <v>0.62638888888888888</v>
      </c>
      <c r="G1267" s="9">
        <f t="shared" si="136"/>
        <v>45152</v>
      </c>
      <c r="H1267" s="11">
        <f t="shared" si="137"/>
        <v>1</v>
      </c>
      <c r="I1267" s="10">
        <f t="shared" si="138"/>
        <v>6.7</v>
      </c>
      <c r="J1267" s="10">
        <f t="shared" si="139"/>
        <v>7.2</v>
      </c>
      <c r="K1267" s="10">
        <f t="shared" si="135"/>
        <v>6.7</v>
      </c>
      <c r="L1267" s="10">
        <f t="shared" si="140"/>
        <v>71.7</v>
      </c>
    </row>
    <row r="1268" spans="1:12" x14ac:dyDescent="0.25">
      <c r="A1268" s="7">
        <v>45152</v>
      </c>
      <c r="B1268" t="s">
        <v>309</v>
      </c>
      <c r="C1268" s="6">
        <v>2805</v>
      </c>
      <c r="D1268" t="s">
        <v>413</v>
      </c>
      <c r="E1268" s="1">
        <v>0.62638888888888888</v>
      </c>
      <c r="F1268" s="1">
        <v>0.66805555555555562</v>
      </c>
      <c r="G1268" s="9">
        <f t="shared" si="136"/>
        <v>45152</v>
      </c>
      <c r="H1268" s="11">
        <f t="shared" si="137"/>
        <v>1</v>
      </c>
      <c r="I1268" s="10">
        <f t="shared" si="138"/>
        <v>7.7</v>
      </c>
      <c r="J1268" s="10">
        <f t="shared" si="139"/>
        <v>7.2</v>
      </c>
      <c r="K1268" s="10">
        <f t="shared" si="135"/>
        <v>7.7</v>
      </c>
      <c r="L1268" s="10">
        <f t="shared" si="140"/>
        <v>72.7</v>
      </c>
    </row>
    <row r="1269" spans="1:12" x14ac:dyDescent="0.25">
      <c r="A1269" s="7">
        <v>45153</v>
      </c>
      <c r="B1269" t="s">
        <v>309</v>
      </c>
      <c r="C1269" s="6">
        <v>2805</v>
      </c>
      <c r="D1269" s="1" t="s">
        <v>413</v>
      </c>
      <c r="E1269" s="1">
        <v>0.32569444444444445</v>
      </c>
      <c r="F1269" s="1">
        <v>0.45833333333333331</v>
      </c>
      <c r="G1269" s="9">
        <f t="shared" si="136"/>
        <v>45152</v>
      </c>
      <c r="H1269" s="11">
        <f t="shared" si="137"/>
        <v>3.2</v>
      </c>
      <c r="I1269" s="10">
        <f t="shared" si="138"/>
        <v>3.2</v>
      </c>
      <c r="J1269" s="10">
        <f t="shared" si="139"/>
        <v>7.2</v>
      </c>
      <c r="K1269" s="10">
        <f t="shared" si="135"/>
        <v>10.9</v>
      </c>
      <c r="L1269" s="10">
        <f t="shared" si="140"/>
        <v>75.900000000000006</v>
      </c>
    </row>
    <row r="1270" spans="1:12" x14ac:dyDescent="0.25">
      <c r="A1270" s="7">
        <v>45153</v>
      </c>
      <c r="B1270" t="s">
        <v>309</v>
      </c>
      <c r="C1270" s="6">
        <v>2805</v>
      </c>
      <c r="D1270" s="1" t="s">
        <v>253</v>
      </c>
      <c r="E1270" s="1">
        <v>0.45833333333333331</v>
      </c>
      <c r="F1270" s="1">
        <v>0.50277777777777777</v>
      </c>
      <c r="G1270" s="9">
        <f t="shared" si="136"/>
        <v>45152</v>
      </c>
      <c r="H1270" s="11">
        <f t="shared" si="137"/>
        <v>1.1000000000000001</v>
      </c>
      <c r="I1270" s="10">
        <f t="shared" si="138"/>
        <v>4.3000000000000007</v>
      </c>
      <c r="J1270" s="10">
        <f t="shared" si="139"/>
        <v>7.2</v>
      </c>
      <c r="K1270" s="10">
        <f t="shared" si="135"/>
        <v>12</v>
      </c>
      <c r="L1270" s="10">
        <f t="shared" si="140"/>
        <v>77</v>
      </c>
    </row>
    <row r="1271" spans="1:12" x14ac:dyDescent="0.25">
      <c r="A1271" s="7">
        <v>45153</v>
      </c>
      <c r="B1271" t="s">
        <v>309</v>
      </c>
      <c r="C1271" s="6">
        <v>2805</v>
      </c>
      <c r="D1271" s="1" t="s">
        <v>413</v>
      </c>
      <c r="E1271" s="1">
        <v>0.53472222222222221</v>
      </c>
      <c r="F1271" s="1">
        <v>0.62569444444444444</v>
      </c>
      <c r="G1271" s="9">
        <f t="shared" si="136"/>
        <v>45152</v>
      </c>
      <c r="H1271" s="11">
        <f t="shared" si="137"/>
        <v>2.2000000000000002</v>
      </c>
      <c r="I1271" s="10">
        <f t="shared" si="138"/>
        <v>6.5</v>
      </c>
      <c r="J1271" s="10">
        <f t="shared" si="139"/>
        <v>7.2</v>
      </c>
      <c r="K1271" s="10">
        <f t="shared" si="135"/>
        <v>14.2</v>
      </c>
      <c r="L1271" s="10">
        <f t="shared" si="140"/>
        <v>79.2</v>
      </c>
    </row>
    <row r="1272" spans="1:12" x14ac:dyDescent="0.25">
      <c r="A1272" s="7">
        <v>45153</v>
      </c>
      <c r="B1272" t="s">
        <v>309</v>
      </c>
      <c r="C1272" s="6">
        <v>2805</v>
      </c>
      <c r="D1272" s="1" t="s">
        <v>413</v>
      </c>
      <c r="E1272" s="1">
        <v>0.64652777777777781</v>
      </c>
      <c r="F1272" s="1">
        <v>0.69374999999999998</v>
      </c>
      <c r="G1272" s="9">
        <f t="shared" si="136"/>
        <v>45152</v>
      </c>
      <c r="H1272" s="11">
        <f t="shared" si="137"/>
        <v>1.1000000000000001</v>
      </c>
      <c r="I1272" s="10">
        <f t="shared" si="138"/>
        <v>7.6</v>
      </c>
      <c r="J1272" s="10">
        <f t="shared" si="139"/>
        <v>7.2</v>
      </c>
      <c r="K1272" s="10">
        <f t="shared" si="135"/>
        <v>15.299999999999999</v>
      </c>
      <c r="L1272" s="10">
        <f t="shared" si="140"/>
        <v>80.3</v>
      </c>
    </row>
    <row r="1273" spans="1:12" x14ac:dyDescent="0.25">
      <c r="A1273" s="7">
        <v>45154</v>
      </c>
      <c r="B1273" t="s">
        <v>309</v>
      </c>
      <c r="C1273" s="6">
        <v>2805</v>
      </c>
      <c r="D1273" s="5" t="s">
        <v>418</v>
      </c>
      <c r="E1273" s="1">
        <v>0.3347222222222222</v>
      </c>
      <c r="F1273" s="1">
        <v>0.45624999999999999</v>
      </c>
      <c r="G1273" s="9">
        <f t="shared" si="136"/>
        <v>45152</v>
      </c>
      <c r="H1273" s="11">
        <f t="shared" si="137"/>
        <v>2.9</v>
      </c>
      <c r="I1273" s="10">
        <f t="shared" si="138"/>
        <v>2.9</v>
      </c>
      <c r="J1273" s="10">
        <f t="shared" si="139"/>
        <v>7.2</v>
      </c>
      <c r="K1273" s="10">
        <f t="shared" si="135"/>
        <v>18.2</v>
      </c>
      <c r="L1273" s="10">
        <f t="shared" si="140"/>
        <v>83.2</v>
      </c>
    </row>
    <row r="1274" spans="1:12" x14ac:dyDescent="0.25">
      <c r="A1274" s="7">
        <v>45154</v>
      </c>
      <c r="B1274" t="s">
        <v>297</v>
      </c>
      <c r="C1274" s="6">
        <v>2664</v>
      </c>
      <c r="D1274" s="5" t="s">
        <v>419</v>
      </c>
      <c r="E1274" s="1">
        <v>0.45624999999999999</v>
      </c>
      <c r="F1274" s="1">
        <v>0.50694444444444442</v>
      </c>
      <c r="G1274" s="9">
        <f t="shared" si="136"/>
        <v>45152</v>
      </c>
      <c r="H1274" s="11">
        <f t="shared" si="137"/>
        <v>1.2</v>
      </c>
      <c r="I1274" s="10">
        <f t="shared" si="138"/>
        <v>4.0999999999999996</v>
      </c>
      <c r="J1274" s="10">
        <f t="shared" si="139"/>
        <v>7.2</v>
      </c>
      <c r="K1274" s="10">
        <f t="shared" si="135"/>
        <v>19.399999999999999</v>
      </c>
      <c r="L1274" s="10">
        <f t="shared" si="140"/>
        <v>84.4</v>
      </c>
    </row>
    <row r="1275" spans="1:12" x14ac:dyDescent="0.25">
      <c r="A1275" s="7">
        <v>45154</v>
      </c>
      <c r="B1275" t="s">
        <v>297</v>
      </c>
      <c r="C1275" s="6">
        <v>2664</v>
      </c>
      <c r="D1275" s="5" t="s">
        <v>419</v>
      </c>
      <c r="E1275" s="1">
        <v>0.53125</v>
      </c>
      <c r="F1275" s="1">
        <v>0.54166666666666663</v>
      </c>
      <c r="G1275" s="9">
        <f t="shared" si="136"/>
        <v>45152</v>
      </c>
      <c r="H1275" s="11">
        <f t="shared" si="137"/>
        <v>0.2</v>
      </c>
      <c r="I1275" s="10">
        <f t="shared" si="138"/>
        <v>4.3</v>
      </c>
      <c r="J1275" s="10">
        <f t="shared" si="139"/>
        <v>7.2</v>
      </c>
      <c r="K1275" s="10">
        <f t="shared" si="135"/>
        <v>19.599999999999998</v>
      </c>
      <c r="L1275" s="10">
        <f t="shared" si="140"/>
        <v>84.600000000000009</v>
      </c>
    </row>
    <row r="1276" spans="1:12" x14ac:dyDescent="0.25">
      <c r="A1276" s="7">
        <v>45154</v>
      </c>
      <c r="B1276" t="s">
        <v>381</v>
      </c>
      <c r="C1276" s="6">
        <v>6008</v>
      </c>
      <c r="D1276" s="5" t="s">
        <v>44</v>
      </c>
      <c r="E1276" s="1">
        <v>0.54166666666666663</v>
      </c>
      <c r="F1276" s="1">
        <v>0.58333333333333337</v>
      </c>
      <c r="G1276" s="9">
        <f t="shared" si="136"/>
        <v>45152</v>
      </c>
      <c r="H1276" s="11">
        <f t="shared" si="137"/>
        <v>1</v>
      </c>
      <c r="I1276" s="10">
        <f t="shared" si="138"/>
        <v>5.3</v>
      </c>
      <c r="J1276" s="10">
        <f t="shared" si="139"/>
        <v>7.2</v>
      </c>
      <c r="K1276" s="10">
        <f t="shared" si="135"/>
        <v>20.6</v>
      </c>
      <c r="L1276" s="10">
        <f t="shared" si="140"/>
        <v>85.6</v>
      </c>
    </row>
    <row r="1277" spans="1:12" x14ac:dyDescent="0.25">
      <c r="A1277" s="7">
        <v>45154</v>
      </c>
      <c r="B1277" t="s">
        <v>297</v>
      </c>
      <c r="C1277" s="6">
        <v>2664</v>
      </c>
      <c r="D1277" s="5" t="s">
        <v>419</v>
      </c>
      <c r="E1277" s="1">
        <v>0.58333333333333337</v>
      </c>
      <c r="F1277" s="1">
        <v>0.64722222222222225</v>
      </c>
      <c r="G1277" s="9">
        <f t="shared" si="136"/>
        <v>45152</v>
      </c>
      <c r="H1277" s="11">
        <f t="shared" si="137"/>
        <v>1.5</v>
      </c>
      <c r="I1277" s="10">
        <f t="shared" si="138"/>
        <v>6.8</v>
      </c>
      <c r="J1277" s="10">
        <f t="shared" si="139"/>
        <v>7.2</v>
      </c>
      <c r="K1277" s="10">
        <f t="shared" si="135"/>
        <v>22.1</v>
      </c>
      <c r="L1277" s="10">
        <f t="shared" si="140"/>
        <v>87.1</v>
      </c>
    </row>
    <row r="1278" spans="1:12" x14ac:dyDescent="0.25">
      <c r="A1278" s="7">
        <v>45155</v>
      </c>
      <c r="B1278" t="s">
        <v>309</v>
      </c>
      <c r="C1278" s="6">
        <v>2805</v>
      </c>
      <c r="D1278" s="5" t="s">
        <v>420</v>
      </c>
      <c r="E1278" s="1">
        <v>0.33263888888888887</v>
      </c>
      <c r="F1278" s="1">
        <v>0.48541666666666666</v>
      </c>
      <c r="G1278" s="9">
        <f t="shared" si="136"/>
        <v>45152</v>
      </c>
      <c r="H1278" s="11">
        <f t="shared" si="137"/>
        <v>3.7</v>
      </c>
      <c r="I1278" s="10">
        <f t="shared" si="138"/>
        <v>3.7</v>
      </c>
      <c r="J1278" s="10">
        <f t="shared" si="139"/>
        <v>7.2</v>
      </c>
      <c r="K1278" s="10">
        <f t="shared" si="135"/>
        <v>25.8</v>
      </c>
      <c r="L1278" s="10">
        <f t="shared" si="140"/>
        <v>90.8</v>
      </c>
    </row>
    <row r="1279" spans="1:12" x14ac:dyDescent="0.25">
      <c r="A1279" s="7">
        <v>45155</v>
      </c>
      <c r="B1279" t="s">
        <v>309</v>
      </c>
      <c r="C1279" s="6">
        <v>2805</v>
      </c>
      <c r="D1279" s="1" t="s">
        <v>420</v>
      </c>
      <c r="E1279" s="1">
        <v>0.5131944444444444</v>
      </c>
      <c r="F1279" s="1">
        <v>0.65555555555555556</v>
      </c>
      <c r="G1279" s="9">
        <f t="shared" si="136"/>
        <v>45152</v>
      </c>
      <c r="H1279" s="11">
        <f t="shared" si="137"/>
        <v>3.4</v>
      </c>
      <c r="I1279" s="10">
        <f t="shared" si="138"/>
        <v>7.1</v>
      </c>
      <c r="J1279" s="10">
        <f t="shared" si="139"/>
        <v>7.2</v>
      </c>
      <c r="K1279" s="10">
        <f t="shared" si="135"/>
        <v>29.2</v>
      </c>
      <c r="L1279" s="10">
        <f t="shared" si="140"/>
        <v>94.2</v>
      </c>
    </row>
    <row r="1280" spans="1:12" x14ac:dyDescent="0.25">
      <c r="A1280" s="7">
        <v>45156</v>
      </c>
      <c r="B1280" t="s">
        <v>309</v>
      </c>
      <c r="C1280" s="6">
        <v>2805</v>
      </c>
      <c r="D1280" s="1" t="s">
        <v>421</v>
      </c>
      <c r="E1280" s="1">
        <v>0.33402777777777781</v>
      </c>
      <c r="F1280" s="1">
        <v>0.49791666666666662</v>
      </c>
      <c r="G1280" s="9">
        <f t="shared" si="136"/>
        <v>45152</v>
      </c>
      <c r="H1280" s="11">
        <f t="shared" si="137"/>
        <v>3.9</v>
      </c>
      <c r="I1280" s="10">
        <f t="shared" si="138"/>
        <v>3.9</v>
      </c>
      <c r="J1280" s="10">
        <f t="shared" si="139"/>
        <v>7.2</v>
      </c>
      <c r="K1280" s="10">
        <f t="shared" si="135"/>
        <v>33.1</v>
      </c>
      <c r="L1280" s="10">
        <f t="shared" si="140"/>
        <v>98.100000000000009</v>
      </c>
    </row>
    <row r="1281" spans="1:12" x14ac:dyDescent="0.25">
      <c r="A1281" s="7">
        <v>45156</v>
      </c>
      <c r="B1281" t="s">
        <v>309</v>
      </c>
      <c r="C1281" s="6">
        <v>2805</v>
      </c>
      <c r="D1281" s="1" t="s">
        <v>422</v>
      </c>
      <c r="E1281" s="1">
        <v>0.50902777777777775</v>
      </c>
      <c r="F1281" s="1">
        <v>0.66597222222222219</v>
      </c>
      <c r="G1281" s="9">
        <f t="shared" si="136"/>
        <v>45152</v>
      </c>
      <c r="H1281" s="11">
        <f t="shared" si="137"/>
        <v>3.8</v>
      </c>
      <c r="I1281" s="10">
        <f t="shared" si="138"/>
        <v>7.6999999999999993</v>
      </c>
      <c r="J1281" s="10">
        <f t="shared" si="139"/>
        <v>7.2</v>
      </c>
      <c r="K1281" s="10">
        <f t="shared" si="135"/>
        <v>36.9</v>
      </c>
      <c r="L1281" s="10">
        <f t="shared" si="140"/>
        <v>101.89999999999999</v>
      </c>
    </row>
    <row r="1282" spans="1:12" x14ac:dyDescent="0.25">
      <c r="A1282" s="7">
        <v>45159</v>
      </c>
      <c r="B1282" t="s">
        <v>309</v>
      </c>
      <c r="C1282" s="6">
        <v>2805</v>
      </c>
      <c r="D1282" s="1" t="s">
        <v>422</v>
      </c>
      <c r="E1282" s="1">
        <v>0.33402777777777781</v>
      </c>
      <c r="F1282" s="1">
        <v>0.41666666666666669</v>
      </c>
      <c r="G1282" s="9">
        <f t="shared" si="136"/>
        <v>45159</v>
      </c>
      <c r="H1282" s="11">
        <f t="shared" si="137"/>
        <v>2</v>
      </c>
      <c r="I1282" s="10">
        <f t="shared" si="138"/>
        <v>2</v>
      </c>
      <c r="J1282" s="10">
        <f t="shared" si="139"/>
        <v>7.2</v>
      </c>
      <c r="K1282" s="10">
        <f t="shared" si="135"/>
        <v>2</v>
      </c>
      <c r="L1282" s="10">
        <f t="shared" si="140"/>
        <v>103.9</v>
      </c>
    </row>
    <row r="1283" spans="1:12" x14ac:dyDescent="0.25">
      <c r="A1283" s="7">
        <v>45159</v>
      </c>
      <c r="B1283" t="s">
        <v>6</v>
      </c>
      <c r="C1283" s="6" t="s">
        <v>416</v>
      </c>
      <c r="D1283" s="1" t="s">
        <v>112</v>
      </c>
      <c r="E1283" s="1">
        <v>0.41666666666666669</v>
      </c>
      <c r="F1283" s="1">
        <v>0.45833333333333331</v>
      </c>
      <c r="G1283" s="9">
        <f t="shared" si="136"/>
        <v>45159</v>
      </c>
      <c r="H1283" s="11">
        <f t="shared" si="137"/>
        <v>1</v>
      </c>
      <c r="I1283" s="10">
        <f t="shared" si="138"/>
        <v>3</v>
      </c>
      <c r="J1283" s="10">
        <f t="shared" si="139"/>
        <v>7.2</v>
      </c>
      <c r="K1283" s="10">
        <f t="shared" ref="K1283:K1346" si="141">IF(H1283="",H1283,H1283+IF(G1283=G1282,_xlfn.NUMBERVALUE(K1282),0))</f>
        <v>3</v>
      </c>
      <c r="L1283" s="10">
        <f t="shared" si="140"/>
        <v>104.9</v>
      </c>
    </row>
    <row r="1284" spans="1:12" x14ac:dyDescent="0.25">
      <c r="A1284" s="7">
        <v>45159</v>
      </c>
      <c r="B1284" t="s">
        <v>309</v>
      </c>
      <c r="C1284" s="6">
        <v>2805</v>
      </c>
      <c r="D1284" s="1" t="s">
        <v>422</v>
      </c>
      <c r="E1284" s="1">
        <v>0.45833333333333331</v>
      </c>
      <c r="F1284" s="1">
        <v>0.48888888888888887</v>
      </c>
      <c r="G1284" s="9">
        <f t="shared" si="136"/>
        <v>45159</v>
      </c>
      <c r="H1284" s="11">
        <f t="shared" si="137"/>
        <v>0.7</v>
      </c>
      <c r="I1284" s="10">
        <f t="shared" si="138"/>
        <v>3.7</v>
      </c>
      <c r="J1284" s="10">
        <f t="shared" si="139"/>
        <v>7.2</v>
      </c>
      <c r="K1284" s="10">
        <f t="shared" si="141"/>
        <v>3.7</v>
      </c>
      <c r="L1284" s="10">
        <f t="shared" si="140"/>
        <v>105.60000000000001</v>
      </c>
    </row>
    <row r="1285" spans="1:12" x14ac:dyDescent="0.25">
      <c r="A1285" s="7">
        <v>45159</v>
      </c>
      <c r="B1285" t="s">
        <v>309</v>
      </c>
      <c r="C1285" s="6">
        <v>2805</v>
      </c>
      <c r="D1285" s="1" t="s">
        <v>422</v>
      </c>
      <c r="E1285" s="1">
        <v>0.50347222222222221</v>
      </c>
      <c r="F1285" s="1">
        <v>0.66666666666666663</v>
      </c>
      <c r="G1285" s="9">
        <f t="shared" si="136"/>
        <v>45159</v>
      </c>
      <c r="H1285" s="11">
        <f t="shared" si="137"/>
        <v>3.9</v>
      </c>
      <c r="I1285" s="10">
        <f t="shared" si="138"/>
        <v>7.6</v>
      </c>
      <c r="J1285" s="10">
        <f t="shared" si="139"/>
        <v>7.2</v>
      </c>
      <c r="K1285" s="10">
        <f t="shared" si="141"/>
        <v>7.6</v>
      </c>
      <c r="L1285" s="10">
        <f t="shared" si="140"/>
        <v>109.5</v>
      </c>
    </row>
    <row r="1286" spans="1:12" x14ac:dyDescent="0.25">
      <c r="A1286" s="7">
        <v>45159</v>
      </c>
      <c r="B1286" t="s">
        <v>309</v>
      </c>
      <c r="C1286" s="6">
        <v>2805</v>
      </c>
      <c r="D1286" s="1" t="s">
        <v>44</v>
      </c>
      <c r="E1286" s="1">
        <v>0.66666666666666663</v>
      </c>
      <c r="F1286" s="1">
        <v>0.72916666666666663</v>
      </c>
      <c r="G1286" s="9">
        <f t="shared" si="136"/>
        <v>45159</v>
      </c>
      <c r="H1286" s="11">
        <f t="shared" si="137"/>
        <v>1.5</v>
      </c>
      <c r="I1286" s="10">
        <f t="shared" si="138"/>
        <v>9.1</v>
      </c>
      <c r="J1286" s="10">
        <f t="shared" si="139"/>
        <v>7.2</v>
      </c>
      <c r="K1286" s="10">
        <f t="shared" si="141"/>
        <v>9.1</v>
      </c>
      <c r="L1286" s="10">
        <f t="shared" si="140"/>
        <v>111</v>
      </c>
    </row>
    <row r="1287" spans="1:12" x14ac:dyDescent="0.25">
      <c r="A1287" s="7">
        <v>45160</v>
      </c>
      <c r="B1287" t="s">
        <v>309</v>
      </c>
      <c r="C1287" s="6">
        <v>2805</v>
      </c>
      <c r="D1287" s="1" t="s">
        <v>423</v>
      </c>
      <c r="E1287" s="1">
        <v>0.36736111111111108</v>
      </c>
      <c r="F1287" s="1">
        <v>0.47152777777777777</v>
      </c>
      <c r="G1287" s="9">
        <f t="shared" si="136"/>
        <v>45159</v>
      </c>
      <c r="H1287" s="11">
        <f t="shared" si="137"/>
        <v>2.5</v>
      </c>
      <c r="I1287" s="10">
        <f t="shared" si="138"/>
        <v>2.5</v>
      </c>
      <c r="J1287" s="10">
        <f t="shared" si="139"/>
        <v>7.2</v>
      </c>
      <c r="K1287" s="10">
        <f t="shared" si="141"/>
        <v>11.6</v>
      </c>
      <c r="L1287" s="10">
        <f t="shared" si="140"/>
        <v>113.5</v>
      </c>
    </row>
    <row r="1288" spans="1:12" x14ac:dyDescent="0.25">
      <c r="A1288" s="7">
        <v>45160</v>
      </c>
      <c r="B1288" t="s">
        <v>309</v>
      </c>
      <c r="C1288" s="6">
        <v>2805</v>
      </c>
      <c r="D1288" s="1" t="s">
        <v>423</v>
      </c>
      <c r="E1288" s="1">
        <v>0.48541666666666666</v>
      </c>
      <c r="F1288" s="1">
        <v>0.65277777777777779</v>
      </c>
      <c r="G1288" s="9">
        <f t="shared" si="136"/>
        <v>45159</v>
      </c>
      <c r="H1288" s="11">
        <f t="shared" si="137"/>
        <v>4</v>
      </c>
      <c r="I1288" s="10">
        <f t="shared" si="138"/>
        <v>6.5</v>
      </c>
      <c r="J1288" s="10">
        <f t="shared" si="139"/>
        <v>7.2</v>
      </c>
      <c r="K1288" s="10">
        <f t="shared" si="141"/>
        <v>15.6</v>
      </c>
      <c r="L1288" s="10">
        <f t="shared" si="140"/>
        <v>117.5</v>
      </c>
    </row>
    <row r="1289" spans="1:12" x14ac:dyDescent="0.25">
      <c r="A1289" s="7">
        <v>45161</v>
      </c>
      <c r="B1289" t="s">
        <v>309</v>
      </c>
      <c r="C1289" s="6">
        <v>2805</v>
      </c>
      <c r="D1289" s="1" t="s">
        <v>423</v>
      </c>
      <c r="E1289" s="1">
        <v>0.3125</v>
      </c>
      <c r="F1289" s="1">
        <v>0.42708333333333331</v>
      </c>
      <c r="G1289" s="9">
        <f t="shared" si="136"/>
        <v>45159</v>
      </c>
      <c r="H1289" s="11">
        <f t="shared" si="137"/>
        <v>2.8</v>
      </c>
      <c r="I1289" s="10">
        <f t="shared" si="138"/>
        <v>2.8</v>
      </c>
      <c r="J1289" s="10">
        <f t="shared" si="139"/>
        <v>7.2</v>
      </c>
      <c r="K1289" s="10">
        <f t="shared" si="141"/>
        <v>18.399999999999999</v>
      </c>
      <c r="L1289" s="10">
        <f t="shared" si="140"/>
        <v>120.3</v>
      </c>
    </row>
    <row r="1290" spans="1:12" x14ac:dyDescent="0.25">
      <c r="A1290" s="7">
        <v>45161</v>
      </c>
      <c r="B1290" t="s">
        <v>6</v>
      </c>
      <c r="C1290" s="6" t="s">
        <v>416</v>
      </c>
      <c r="D1290" s="1" t="s">
        <v>424</v>
      </c>
      <c r="E1290" s="1">
        <v>0.42708333333333331</v>
      </c>
      <c r="F1290" s="1">
        <v>0.45833333333333331</v>
      </c>
      <c r="G1290" s="9">
        <f t="shared" si="136"/>
        <v>45159</v>
      </c>
      <c r="H1290" s="11">
        <f t="shared" si="137"/>
        <v>0.8</v>
      </c>
      <c r="I1290" s="10">
        <f t="shared" si="138"/>
        <v>3.5999999999999996</v>
      </c>
      <c r="J1290" s="10">
        <f t="shared" si="139"/>
        <v>7.2</v>
      </c>
      <c r="K1290" s="10">
        <f t="shared" si="141"/>
        <v>19.2</v>
      </c>
      <c r="L1290" s="10">
        <f t="shared" si="140"/>
        <v>121.1</v>
      </c>
    </row>
    <row r="1291" spans="1:12" x14ac:dyDescent="0.25">
      <c r="A1291" s="7">
        <v>45161</v>
      </c>
      <c r="B1291" t="s">
        <v>309</v>
      </c>
      <c r="C1291" s="6">
        <v>2805</v>
      </c>
      <c r="D1291" s="1" t="s">
        <v>423</v>
      </c>
      <c r="E1291" s="1">
        <v>0.45833333333333331</v>
      </c>
      <c r="F1291" s="1">
        <v>0.50208333333333333</v>
      </c>
      <c r="G1291" s="9">
        <f t="shared" si="136"/>
        <v>45159</v>
      </c>
      <c r="H1291" s="11">
        <f t="shared" si="137"/>
        <v>1.1000000000000001</v>
      </c>
      <c r="I1291" s="10">
        <f t="shared" si="138"/>
        <v>4.7</v>
      </c>
      <c r="J1291" s="10">
        <f t="shared" si="139"/>
        <v>7.2</v>
      </c>
      <c r="K1291" s="10">
        <f t="shared" si="141"/>
        <v>20.3</v>
      </c>
      <c r="L1291" s="10">
        <f t="shared" si="140"/>
        <v>122.19999999999999</v>
      </c>
    </row>
    <row r="1292" spans="1:12" x14ac:dyDescent="0.25">
      <c r="A1292" s="7">
        <v>45161</v>
      </c>
      <c r="B1292" t="s">
        <v>309</v>
      </c>
      <c r="C1292" s="6">
        <v>2805</v>
      </c>
      <c r="D1292" s="1" t="s">
        <v>423</v>
      </c>
      <c r="E1292" s="1">
        <v>0.5131944444444444</v>
      </c>
      <c r="F1292" s="1">
        <v>0.59722222222222221</v>
      </c>
      <c r="G1292" s="9">
        <f t="shared" si="136"/>
        <v>45159</v>
      </c>
      <c r="H1292" s="11">
        <f t="shared" si="137"/>
        <v>2</v>
      </c>
      <c r="I1292" s="10">
        <f t="shared" si="138"/>
        <v>6.7</v>
      </c>
      <c r="J1292" s="10">
        <f t="shared" si="139"/>
        <v>7.2</v>
      </c>
      <c r="K1292" s="10">
        <f t="shared" si="141"/>
        <v>22.3</v>
      </c>
      <c r="L1292" s="10">
        <f t="shared" si="140"/>
        <v>124.2</v>
      </c>
    </row>
    <row r="1293" spans="1:12" x14ac:dyDescent="0.25">
      <c r="A1293" s="7">
        <v>45161</v>
      </c>
      <c r="B1293" t="s">
        <v>6</v>
      </c>
      <c r="C1293" s="6" t="s">
        <v>416</v>
      </c>
      <c r="D1293" s="1" t="s">
        <v>425</v>
      </c>
      <c r="E1293" s="1">
        <v>0.59722222222222221</v>
      </c>
      <c r="F1293" s="1">
        <v>0.625</v>
      </c>
      <c r="G1293" s="9">
        <f t="shared" si="136"/>
        <v>45159</v>
      </c>
      <c r="H1293" s="11">
        <f t="shared" si="137"/>
        <v>0.7</v>
      </c>
      <c r="I1293" s="10">
        <f t="shared" si="138"/>
        <v>7.4</v>
      </c>
      <c r="J1293" s="10">
        <f t="shared" si="139"/>
        <v>7.2</v>
      </c>
      <c r="K1293" s="10">
        <f t="shared" si="141"/>
        <v>23</v>
      </c>
      <c r="L1293" s="10">
        <f t="shared" si="140"/>
        <v>124.9</v>
      </c>
    </row>
    <row r="1294" spans="1:12" x14ac:dyDescent="0.25">
      <c r="A1294" s="7">
        <v>45162</v>
      </c>
      <c r="B1294" t="s">
        <v>309</v>
      </c>
      <c r="C1294" s="6">
        <v>2805</v>
      </c>
      <c r="D1294" s="1" t="s">
        <v>423</v>
      </c>
      <c r="E1294" s="1">
        <v>0.32916666666666666</v>
      </c>
      <c r="F1294" s="1">
        <v>0.45555555555555555</v>
      </c>
      <c r="G1294" s="9">
        <f t="shared" si="136"/>
        <v>45159</v>
      </c>
      <c r="H1294" s="11">
        <f t="shared" si="137"/>
        <v>3</v>
      </c>
      <c r="I1294" s="10">
        <f t="shared" si="138"/>
        <v>3</v>
      </c>
      <c r="J1294" s="10">
        <f t="shared" si="139"/>
        <v>7.2</v>
      </c>
      <c r="K1294" s="10">
        <f t="shared" si="141"/>
        <v>26</v>
      </c>
      <c r="L1294" s="10">
        <f t="shared" si="140"/>
        <v>127.9</v>
      </c>
    </row>
    <row r="1295" spans="1:12" x14ac:dyDescent="0.25">
      <c r="A1295" s="7">
        <v>45162</v>
      </c>
      <c r="B1295" t="s">
        <v>426</v>
      </c>
      <c r="C1295" s="6">
        <v>6230</v>
      </c>
      <c r="D1295" s="1" t="s">
        <v>427</v>
      </c>
      <c r="E1295" s="1">
        <v>0.45555555555555555</v>
      </c>
      <c r="F1295" s="1">
        <v>0.49305555555555558</v>
      </c>
      <c r="G1295" s="9">
        <f t="shared" si="136"/>
        <v>45159</v>
      </c>
      <c r="H1295" s="11">
        <f t="shared" si="137"/>
        <v>0.9</v>
      </c>
      <c r="I1295" s="10">
        <f t="shared" si="138"/>
        <v>3.9</v>
      </c>
      <c r="J1295" s="10">
        <f t="shared" si="139"/>
        <v>7.2</v>
      </c>
      <c r="K1295" s="10">
        <f t="shared" si="141"/>
        <v>26.9</v>
      </c>
      <c r="L1295" s="10">
        <f t="shared" si="140"/>
        <v>128.80000000000001</v>
      </c>
    </row>
    <row r="1296" spans="1:12" x14ac:dyDescent="0.25">
      <c r="A1296" s="7">
        <v>45162</v>
      </c>
      <c r="B1296" t="s">
        <v>426</v>
      </c>
      <c r="C1296" s="6">
        <v>6230</v>
      </c>
      <c r="D1296" s="1" t="s">
        <v>427</v>
      </c>
      <c r="E1296" s="1">
        <v>0.5131944444444444</v>
      </c>
      <c r="F1296" s="1">
        <v>0.57361111111111118</v>
      </c>
      <c r="G1296" s="9">
        <f t="shared" si="136"/>
        <v>45159</v>
      </c>
      <c r="H1296" s="11">
        <f t="shared" si="137"/>
        <v>1.5</v>
      </c>
      <c r="I1296" s="10">
        <f t="shared" si="138"/>
        <v>5.4</v>
      </c>
      <c r="J1296" s="10">
        <f t="shared" si="139"/>
        <v>7.2</v>
      </c>
      <c r="K1296" s="10">
        <f t="shared" si="141"/>
        <v>28.4</v>
      </c>
      <c r="L1296" s="10">
        <f t="shared" si="140"/>
        <v>130.30000000000001</v>
      </c>
    </row>
    <row r="1297" spans="1:12" x14ac:dyDescent="0.25">
      <c r="A1297" s="7">
        <v>45163</v>
      </c>
      <c r="B1297" t="s">
        <v>309</v>
      </c>
      <c r="C1297" s="6">
        <v>2805</v>
      </c>
      <c r="D1297" s="1" t="s">
        <v>107</v>
      </c>
      <c r="E1297" s="1">
        <v>0.31805555555555554</v>
      </c>
      <c r="F1297" s="1">
        <v>0.49305555555555558</v>
      </c>
      <c r="G1297" s="9">
        <f t="shared" si="136"/>
        <v>45159</v>
      </c>
      <c r="H1297" s="11">
        <f t="shared" si="137"/>
        <v>4.2</v>
      </c>
      <c r="I1297" s="10">
        <f t="shared" si="138"/>
        <v>4.2</v>
      </c>
      <c r="J1297" s="10">
        <f t="shared" si="139"/>
        <v>7.2</v>
      </c>
      <c r="K1297" s="10">
        <f t="shared" si="141"/>
        <v>32.6</v>
      </c>
      <c r="L1297" s="10">
        <f t="shared" si="140"/>
        <v>134.5</v>
      </c>
    </row>
    <row r="1298" spans="1:12" x14ac:dyDescent="0.25">
      <c r="A1298" s="7">
        <v>45163</v>
      </c>
      <c r="B1298" t="s">
        <v>309</v>
      </c>
      <c r="C1298" s="6">
        <v>2805</v>
      </c>
      <c r="D1298" s="1" t="s">
        <v>107</v>
      </c>
      <c r="E1298" s="1">
        <v>0.5083333333333333</v>
      </c>
      <c r="F1298" s="1">
        <v>0.66388888888888886</v>
      </c>
      <c r="G1298" s="9">
        <f t="shared" si="136"/>
        <v>45159</v>
      </c>
      <c r="H1298" s="11">
        <f t="shared" si="137"/>
        <v>3.7</v>
      </c>
      <c r="I1298" s="10">
        <f t="shared" si="138"/>
        <v>7.9</v>
      </c>
      <c r="J1298" s="10">
        <f t="shared" si="139"/>
        <v>7.2</v>
      </c>
      <c r="K1298" s="10">
        <f t="shared" si="141"/>
        <v>36.300000000000004</v>
      </c>
      <c r="L1298" s="10">
        <f t="shared" si="140"/>
        <v>138.19999999999999</v>
      </c>
    </row>
    <row r="1299" spans="1:12" x14ac:dyDescent="0.25">
      <c r="A1299" s="7">
        <v>45166</v>
      </c>
      <c r="B1299" t="s">
        <v>309</v>
      </c>
      <c r="C1299" s="6">
        <v>2805</v>
      </c>
      <c r="D1299" s="1" t="s">
        <v>436</v>
      </c>
      <c r="E1299" s="1">
        <v>0.46180555555555558</v>
      </c>
      <c r="F1299" s="1">
        <v>0.56805555555555554</v>
      </c>
      <c r="G1299" s="9">
        <f t="shared" si="136"/>
        <v>45166</v>
      </c>
      <c r="H1299" s="11">
        <f t="shared" si="137"/>
        <v>2.6</v>
      </c>
      <c r="I1299" s="10">
        <f t="shared" si="138"/>
        <v>2.6</v>
      </c>
      <c r="J1299" s="10">
        <f t="shared" si="139"/>
        <v>7.2</v>
      </c>
      <c r="K1299" s="10">
        <f t="shared" si="141"/>
        <v>2.6</v>
      </c>
      <c r="L1299" s="10">
        <f t="shared" si="140"/>
        <v>140.79999999999998</v>
      </c>
    </row>
    <row r="1300" spans="1:12" x14ac:dyDescent="0.25">
      <c r="A1300" s="7">
        <v>45166</v>
      </c>
      <c r="B1300" t="s">
        <v>309</v>
      </c>
      <c r="C1300" s="6">
        <v>2805</v>
      </c>
      <c r="D1300" s="1" t="s">
        <v>107</v>
      </c>
      <c r="E1300" s="1">
        <v>0.32361111111111113</v>
      </c>
      <c r="F1300" s="1">
        <v>0.41666666666666669</v>
      </c>
      <c r="G1300" s="9">
        <f t="shared" si="136"/>
        <v>45166</v>
      </c>
      <c r="H1300" s="11">
        <f t="shared" si="137"/>
        <v>2.2000000000000002</v>
      </c>
      <c r="I1300" s="10">
        <f t="shared" si="138"/>
        <v>4.8000000000000007</v>
      </c>
      <c r="J1300" s="10">
        <f t="shared" si="139"/>
        <v>7.2</v>
      </c>
      <c r="K1300" s="10">
        <f t="shared" si="141"/>
        <v>4.8000000000000007</v>
      </c>
      <c r="L1300" s="10">
        <f t="shared" si="140"/>
        <v>143</v>
      </c>
    </row>
    <row r="1301" spans="1:12" x14ac:dyDescent="0.25">
      <c r="A1301" s="7">
        <v>45166</v>
      </c>
      <c r="B1301" t="s">
        <v>6</v>
      </c>
      <c r="C1301" s="6" t="s">
        <v>416</v>
      </c>
      <c r="D1301" s="1" t="s">
        <v>112</v>
      </c>
      <c r="E1301" s="1">
        <v>0.41666666666666669</v>
      </c>
      <c r="F1301" s="1">
        <v>0.45833333333333331</v>
      </c>
      <c r="G1301" s="9">
        <f t="shared" si="136"/>
        <v>45166</v>
      </c>
      <c r="H1301" s="11">
        <f t="shared" si="137"/>
        <v>1</v>
      </c>
      <c r="I1301" s="10">
        <f t="shared" si="138"/>
        <v>5.8</v>
      </c>
      <c r="J1301" s="10">
        <f t="shared" si="139"/>
        <v>7.2</v>
      </c>
      <c r="K1301" s="10">
        <f t="shared" si="141"/>
        <v>5.8</v>
      </c>
      <c r="L1301" s="10">
        <f t="shared" si="140"/>
        <v>144</v>
      </c>
    </row>
    <row r="1302" spans="1:12" x14ac:dyDescent="0.25">
      <c r="A1302" s="7">
        <v>45166</v>
      </c>
      <c r="B1302" t="s">
        <v>309</v>
      </c>
      <c r="C1302" s="6">
        <v>2805</v>
      </c>
      <c r="D1302" s="1" t="s">
        <v>107</v>
      </c>
      <c r="E1302" s="1">
        <v>0.45833333333333331</v>
      </c>
      <c r="F1302" s="1">
        <v>0.51041666666666663</v>
      </c>
      <c r="G1302" s="9">
        <f t="shared" si="136"/>
        <v>45166</v>
      </c>
      <c r="H1302" s="11">
        <f t="shared" si="137"/>
        <v>1.3</v>
      </c>
      <c r="I1302" s="10">
        <f t="shared" si="138"/>
        <v>7.1</v>
      </c>
      <c r="J1302" s="10">
        <f t="shared" si="139"/>
        <v>7.2</v>
      </c>
      <c r="K1302" s="10">
        <f t="shared" si="141"/>
        <v>7.1</v>
      </c>
      <c r="L1302" s="10">
        <f t="shared" si="140"/>
        <v>145.30000000000001</v>
      </c>
    </row>
    <row r="1303" spans="1:12" x14ac:dyDescent="0.25">
      <c r="A1303" s="7">
        <v>45166</v>
      </c>
      <c r="B1303" t="s">
        <v>309</v>
      </c>
      <c r="C1303" s="6">
        <v>2805</v>
      </c>
      <c r="D1303" s="1" t="s">
        <v>107</v>
      </c>
      <c r="E1303" s="1">
        <v>0.52430555555555558</v>
      </c>
      <c r="F1303" s="1">
        <v>0.54166666666666663</v>
      </c>
      <c r="G1303" s="9">
        <f t="shared" si="136"/>
        <v>45166</v>
      </c>
      <c r="H1303" s="11">
        <f t="shared" si="137"/>
        <v>0.4</v>
      </c>
      <c r="I1303" s="10">
        <f t="shared" si="138"/>
        <v>7.5</v>
      </c>
      <c r="J1303" s="10">
        <f t="shared" si="139"/>
        <v>7.2</v>
      </c>
      <c r="K1303" s="10">
        <f t="shared" si="141"/>
        <v>7.5</v>
      </c>
      <c r="L1303" s="10">
        <f t="shared" si="140"/>
        <v>145.70000000000002</v>
      </c>
    </row>
    <row r="1304" spans="1:12" x14ac:dyDescent="0.25">
      <c r="A1304" s="7">
        <v>45166</v>
      </c>
      <c r="B1304" t="s">
        <v>6</v>
      </c>
      <c r="C1304" s="6" t="s">
        <v>416</v>
      </c>
      <c r="D1304" s="1" t="s">
        <v>428</v>
      </c>
      <c r="E1304" s="1">
        <v>0.54166666666666663</v>
      </c>
      <c r="F1304" s="1">
        <v>0.58402777777777781</v>
      </c>
      <c r="G1304" s="9">
        <f t="shared" si="136"/>
        <v>45166</v>
      </c>
      <c r="H1304" s="11">
        <f t="shared" si="137"/>
        <v>1</v>
      </c>
      <c r="I1304" s="10">
        <f t="shared" si="138"/>
        <v>8.5</v>
      </c>
      <c r="J1304" s="10">
        <f t="shared" si="139"/>
        <v>7.2</v>
      </c>
      <c r="K1304" s="10">
        <f t="shared" si="141"/>
        <v>8.5</v>
      </c>
      <c r="L1304" s="10">
        <f t="shared" si="140"/>
        <v>146.69999999999999</v>
      </c>
    </row>
    <row r="1305" spans="1:12" x14ac:dyDescent="0.25">
      <c r="A1305" s="7">
        <v>45167</v>
      </c>
      <c r="B1305" t="s">
        <v>309</v>
      </c>
      <c r="C1305" s="6">
        <v>2805</v>
      </c>
      <c r="D1305" s="1" t="s">
        <v>107</v>
      </c>
      <c r="E1305" s="1">
        <v>0.29722222222222222</v>
      </c>
      <c r="F1305" s="1">
        <v>0.45694444444444443</v>
      </c>
      <c r="G1305" s="9">
        <f t="shared" si="136"/>
        <v>45166</v>
      </c>
      <c r="H1305" s="11">
        <f t="shared" si="137"/>
        <v>3.8</v>
      </c>
      <c r="I1305" s="10">
        <f t="shared" si="138"/>
        <v>3.8</v>
      </c>
      <c r="J1305" s="10">
        <f t="shared" si="139"/>
        <v>7.2</v>
      </c>
      <c r="K1305" s="10">
        <f t="shared" si="141"/>
        <v>12.3</v>
      </c>
      <c r="L1305" s="10">
        <f t="shared" si="140"/>
        <v>150.5</v>
      </c>
    </row>
    <row r="1306" spans="1:12" x14ac:dyDescent="0.25">
      <c r="A1306" s="7">
        <v>45167</v>
      </c>
      <c r="B1306" t="s">
        <v>309</v>
      </c>
      <c r="C1306" s="6">
        <v>2805</v>
      </c>
      <c r="D1306" s="1" t="s">
        <v>107</v>
      </c>
      <c r="E1306" s="1">
        <v>0.47152777777777777</v>
      </c>
      <c r="F1306" s="1">
        <v>0.53888888888888886</v>
      </c>
      <c r="G1306" s="9">
        <f t="shared" si="136"/>
        <v>45166</v>
      </c>
      <c r="H1306" s="11">
        <f t="shared" si="137"/>
        <v>1.6</v>
      </c>
      <c r="I1306" s="10">
        <f t="shared" si="138"/>
        <v>5.4</v>
      </c>
      <c r="J1306" s="10">
        <f t="shared" si="139"/>
        <v>7.2</v>
      </c>
      <c r="K1306" s="10">
        <f t="shared" si="141"/>
        <v>13.9</v>
      </c>
      <c r="L1306" s="10">
        <f t="shared" si="140"/>
        <v>152.1</v>
      </c>
    </row>
    <row r="1307" spans="1:12" x14ac:dyDescent="0.25">
      <c r="A1307" s="7">
        <v>45167</v>
      </c>
      <c r="B1307" t="s">
        <v>426</v>
      </c>
      <c r="C1307" s="6">
        <v>6230</v>
      </c>
      <c r="D1307" s="1" t="s">
        <v>427</v>
      </c>
      <c r="E1307" s="1">
        <v>0.53888888888888886</v>
      </c>
      <c r="F1307" s="1">
        <v>0.6333333333333333</v>
      </c>
      <c r="G1307" s="9">
        <f t="shared" si="136"/>
        <v>45166</v>
      </c>
      <c r="H1307" s="11">
        <f t="shared" si="137"/>
        <v>2.2999999999999998</v>
      </c>
      <c r="I1307" s="10">
        <f t="shared" si="138"/>
        <v>7.7</v>
      </c>
      <c r="J1307" s="10">
        <f t="shared" si="139"/>
        <v>7.2</v>
      </c>
      <c r="K1307" s="10">
        <f t="shared" si="141"/>
        <v>16.2</v>
      </c>
      <c r="L1307" s="10">
        <f t="shared" si="140"/>
        <v>154.4</v>
      </c>
    </row>
    <row r="1308" spans="1:12" x14ac:dyDescent="0.25">
      <c r="A1308" s="7">
        <v>45168</v>
      </c>
      <c r="B1308" t="s">
        <v>426</v>
      </c>
      <c r="C1308" s="6">
        <v>6230</v>
      </c>
      <c r="D1308" s="1" t="s">
        <v>427</v>
      </c>
      <c r="E1308" s="1">
        <v>0.31597222222222221</v>
      </c>
      <c r="F1308" s="1">
        <v>0.4777777777777778</v>
      </c>
      <c r="G1308" s="9">
        <f t="shared" si="136"/>
        <v>45166</v>
      </c>
      <c r="H1308" s="11">
        <f t="shared" si="137"/>
        <v>3.9</v>
      </c>
      <c r="I1308" s="10">
        <f t="shared" si="138"/>
        <v>3.9</v>
      </c>
      <c r="J1308" s="10">
        <f t="shared" si="139"/>
        <v>7.2</v>
      </c>
      <c r="K1308" s="10">
        <f t="shared" si="141"/>
        <v>20.099999999999998</v>
      </c>
      <c r="L1308" s="10">
        <f t="shared" si="140"/>
        <v>158.30000000000001</v>
      </c>
    </row>
    <row r="1309" spans="1:12" x14ac:dyDescent="0.25">
      <c r="A1309" s="7">
        <v>45168</v>
      </c>
      <c r="B1309" s="2" t="s">
        <v>6</v>
      </c>
      <c r="C1309" s="6" t="s">
        <v>416</v>
      </c>
      <c r="D1309" s="1" t="s">
        <v>429</v>
      </c>
      <c r="E1309" s="1">
        <v>0.4916666666666667</v>
      </c>
      <c r="F1309" s="1">
        <v>0.54027777777777775</v>
      </c>
      <c r="G1309" s="9">
        <f t="shared" si="136"/>
        <v>45166</v>
      </c>
      <c r="H1309" s="11">
        <f t="shared" si="137"/>
        <v>1.2</v>
      </c>
      <c r="I1309" s="10">
        <f t="shared" si="138"/>
        <v>5.0999999999999996</v>
      </c>
      <c r="J1309" s="10">
        <f t="shared" si="139"/>
        <v>7.2</v>
      </c>
      <c r="K1309" s="10">
        <f t="shared" si="141"/>
        <v>21.3</v>
      </c>
      <c r="L1309" s="10">
        <f t="shared" si="140"/>
        <v>159.5</v>
      </c>
    </row>
    <row r="1310" spans="1:12" x14ac:dyDescent="0.25">
      <c r="A1310" s="7">
        <v>45168</v>
      </c>
      <c r="B1310" s="2" t="s">
        <v>6</v>
      </c>
      <c r="C1310" s="6" t="s">
        <v>416</v>
      </c>
      <c r="D1310" s="1" t="s">
        <v>430</v>
      </c>
      <c r="E1310" s="1">
        <v>0.54027777777777775</v>
      </c>
      <c r="F1310" s="1">
        <v>0.58333333333333337</v>
      </c>
      <c r="G1310" s="9">
        <f t="shared" si="136"/>
        <v>45166</v>
      </c>
      <c r="H1310" s="11">
        <f t="shared" si="137"/>
        <v>1</v>
      </c>
      <c r="I1310" s="10">
        <f t="shared" si="138"/>
        <v>6.1</v>
      </c>
      <c r="J1310" s="10">
        <f t="shared" si="139"/>
        <v>7.2</v>
      </c>
      <c r="K1310" s="10">
        <f t="shared" si="141"/>
        <v>22.3</v>
      </c>
      <c r="L1310" s="10">
        <f t="shared" si="140"/>
        <v>160.5</v>
      </c>
    </row>
    <row r="1311" spans="1:12" x14ac:dyDescent="0.25">
      <c r="A1311" s="7">
        <v>45168</v>
      </c>
      <c r="B1311" t="s">
        <v>309</v>
      </c>
      <c r="C1311" s="6">
        <v>2805</v>
      </c>
      <c r="D1311" s="1" t="s">
        <v>431</v>
      </c>
      <c r="E1311" s="1">
        <v>0.58333333333333337</v>
      </c>
      <c r="F1311" s="1">
        <v>0.625</v>
      </c>
      <c r="G1311" s="9">
        <f t="shared" si="136"/>
        <v>45166</v>
      </c>
      <c r="H1311" s="11">
        <f t="shared" si="137"/>
        <v>1</v>
      </c>
      <c r="I1311" s="10">
        <f t="shared" si="138"/>
        <v>7.1</v>
      </c>
      <c r="J1311" s="10">
        <f t="shared" si="139"/>
        <v>7.2</v>
      </c>
      <c r="K1311" s="10">
        <f t="shared" si="141"/>
        <v>23.3</v>
      </c>
      <c r="L1311" s="10">
        <f t="shared" si="140"/>
        <v>161.5</v>
      </c>
    </row>
    <row r="1312" spans="1:12" x14ac:dyDescent="0.25">
      <c r="A1312" s="7">
        <v>45168</v>
      </c>
      <c r="B1312" t="s">
        <v>6</v>
      </c>
      <c r="C1312" s="6" t="s">
        <v>416</v>
      </c>
      <c r="D1312" s="5" t="s">
        <v>432</v>
      </c>
      <c r="E1312" s="1">
        <v>0.625</v>
      </c>
      <c r="F1312" s="1">
        <v>0.65</v>
      </c>
      <c r="G1312" s="9">
        <f t="shared" si="136"/>
        <v>45166</v>
      </c>
      <c r="H1312" s="11">
        <f t="shared" si="137"/>
        <v>0.6</v>
      </c>
      <c r="I1312" s="10">
        <f t="shared" si="138"/>
        <v>7.6999999999999993</v>
      </c>
      <c r="J1312" s="10">
        <f t="shared" si="139"/>
        <v>7.2</v>
      </c>
      <c r="K1312" s="10">
        <f t="shared" si="141"/>
        <v>23.900000000000002</v>
      </c>
      <c r="L1312" s="10">
        <f t="shared" si="140"/>
        <v>162.1</v>
      </c>
    </row>
    <row r="1313" spans="1:12" x14ac:dyDescent="0.25">
      <c r="A1313" s="7">
        <v>45168</v>
      </c>
      <c r="B1313" t="s">
        <v>309</v>
      </c>
      <c r="C1313" s="6">
        <v>2805</v>
      </c>
      <c r="D1313" s="1" t="s">
        <v>107</v>
      </c>
      <c r="E1313" s="1">
        <v>0.65</v>
      </c>
      <c r="F1313" s="1">
        <v>0.7006944444444444</v>
      </c>
      <c r="G1313" s="9">
        <f t="shared" si="136"/>
        <v>45166</v>
      </c>
      <c r="H1313" s="11">
        <f t="shared" si="137"/>
        <v>1.2</v>
      </c>
      <c r="I1313" s="10">
        <f t="shared" si="138"/>
        <v>8.9</v>
      </c>
      <c r="J1313" s="10">
        <f t="shared" si="139"/>
        <v>7.2</v>
      </c>
      <c r="K1313" s="10">
        <f t="shared" si="141"/>
        <v>25.099999999999998</v>
      </c>
      <c r="L1313" s="10">
        <f t="shared" si="140"/>
        <v>163.29999999999998</v>
      </c>
    </row>
    <row r="1314" spans="1:12" x14ac:dyDescent="0.25">
      <c r="A1314" s="7">
        <v>45169</v>
      </c>
      <c r="B1314" t="s">
        <v>309</v>
      </c>
      <c r="C1314" s="6">
        <v>2805</v>
      </c>
      <c r="D1314" s="1" t="s">
        <v>107</v>
      </c>
      <c r="E1314" s="1">
        <v>0.29722222222222222</v>
      </c>
      <c r="F1314" s="1">
        <v>0.46319444444444446</v>
      </c>
      <c r="G1314" s="9">
        <f t="shared" si="136"/>
        <v>45166</v>
      </c>
      <c r="H1314" s="11">
        <f t="shared" si="137"/>
        <v>4</v>
      </c>
      <c r="I1314" s="10">
        <f t="shared" si="138"/>
        <v>4</v>
      </c>
      <c r="J1314" s="10">
        <f t="shared" si="139"/>
        <v>7.2</v>
      </c>
      <c r="K1314" s="10">
        <f t="shared" si="141"/>
        <v>29.1</v>
      </c>
      <c r="L1314" s="10">
        <f t="shared" si="140"/>
        <v>167.3</v>
      </c>
    </row>
    <row r="1315" spans="1:12" x14ac:dyDescent="0.25">
      <c r="A1315" s="7">
        <v>45169</v>
      </c>
      <c r="B1315" t="s">
        <v>297</v>
      </c>
      <c r="C1315" s="6">
        <v>2664</v>
      </c>
      <c r="D1315" s="5" t="s">
        <v>433</v>
      </c>
      <c r="E1315" s="1">
        <v>0.46319444444444446</v>
      </c>
      <c r="F1315" s="1">
        <v>0.54236111111111118</v>
      </c>
      <c r="G1315" s="9">
        <f t="shared" si="136"/>
        <v>45166</v>
      </c>
      <c r="H1315" s="11">
        <f t="shared" si="137"/>
        <v>1.9</v>
      </c>
      <c r="I1315" s="10">
        <f t="shared" si="138"/>
        <v>5.9</v>
      </c>
      <c r="J1315" s="10">
        <f t="shared" si="139"/>
        <v>7.2</v>
      </c>
      <c r="K1315" s="10">
        <f t="shared" si="141"/>
        <v>31</v>
      </c>
      <c r="L1315" s="10">
        <f t="shared" si="140"/>
        <v>169.20000000000002</v>
      </c>
    </row>
    <row r="1316" spans="1:12" x14ac:dyDescent="0.25">
      <c r="A1316" s="7">
        <v>45169</v>
      </c>
      <c r="B1316" t="s">
        <v>426</v>
      </c>
      <c r="C1316" s="6">
        <v>6230</v>
      </c>
      <c r="D1316" s="1" t="s">
        <v>427</v>
      </c>
      <c r="E1316" s="1">
        <v>0.55833333333333335</v>
      </c>
      <c r="F1316" s="1">
        <v>0.58888888888888891</v>
      </c>
      <c r="G1316" s="9">
        <f t="shared" si="136"/>
        <v>45166</v>
      </c>
      <c r="H1316" s="11">
        <f t="shared" si="137"/>
        <v>0.7</v>
      </c>
      <c r="I1316" s="10">
        <f t="shared" si="138"/>
        <v>6.6000000000000005</v>
      </c>
      <c r="J1316" s="10">
        <f t="shared" si="139"/>
        <v>7.2</v>
      </c>
      <c r="K1316" s="10">
        <f t="shared" si="141"/>
        <v>31.7</v>
      </c>
      <c r="L1316" s="10">
        <f t="shared" si="140"/>
        <v>169.89999999999998</v>
      </c>
    </row>
    <row r="1317" spans="1:12" x14ac:dyDescent="0.25">
      <c r="A1317" s="7">
        <v>45169</v>
      </c>
      <c r="B1317" t="s">
        <v>6</v>
      </c>
      <c r="C1317" s="6" t="s">
        <v>416</v>
      </c>
      <c r="D1317" s="1" t="s">
        <v>434</v>
      </c>
      <c r="E1317" s="1">
        <v>0.58888888888888891</v>
      </c>
      <c r="F1317" s="1">
        <v>0.67152777777777783</v>
      </c>
      <c r="G1317" s="9">
        <f t="shared" si="136"/>
        <v>45166</v>
      </c>
      <c r="H1317" s="11">
        <f t="shared" si="137"/>
        <v>2</v>
      </c>
      <c r="I1317" s="10">
        <f t="shared" si="138"/>
        <v>8.6</v>
      </c>
      <c r="J1317" s="10">
        <f t="shared" si="139"/>
        <v>7.2</v>
      </c>
      <c r="K1317" s="10">
        <f t="shared" si="141"/>
        <v>33.700000000000003</v>
      </c>
      <c r="L1317" s="10">
        <f t="shared" si="140"/>
        <v>171.9</v>
      </c>
    </row>
    <row r="1318" spans="1:12" x14ac:dyDescent="0.25">
      <c r="A1318" s="7">
        <v>45170</v>
      </c>
      <c r="B1318" t="s">
        <v>6</v>
      </c>
      <c r="C1318" s="6" t="s">
        <v>416</v>
      </c>
      <c r="D1318" s="1" t="s">
        <v>434</v>
      </c>
      <c r="E1318" s="1">
        <v>0.31666666666666665</v>
      </c>
      <c r="F1318" s="1">
        <v>0.54583333333333328</v>
      </c>
      <c r="G1318" s="9">
        <f t="shared" si="136"/>
        <v>45166</v>
      </c>
      <c r="H1318" s="11">
        <f t="shared" si="137"/>
        <v>5.5</v>
      </c>
      <c r="I1318" s="10">
        <f t="shared" si="138"/>
        <v>5.5</v>
      </c>
      <c r="J1318" s="10">
        <f t="shared" si="139"/>
        <v>7.2</v>
      </c>
      <c r="K1318" s="10">
        <f t="shared" si="141"/>
        <v>39.200000000000003</v>
      </c>
      <c r="L1318" s="10">
        <f t="shared" si="140"/>
        <v>5.5</v>
      </c>
    </row>
    <row r="1319" spans="1:12" x14ac:dyDescent="0.25">
      <c r="A1319" s="7">
        <v>45170</v>
      </c>
      <c r="B1319" t="s">
        <v>6</v>
      </c>
      <c r="C1319" s="6" t="s">
        <v>416</v>
      </c>
      <c r="D1319" s="1" t="s">
        <v>434</v>
      </c>
      <c r="E1319" s="1">
        <v>0.55555555555555558</v>
      </c>
      <c r="F1319" s="1">
        <v>0.57500000000000007</v>
      </c>
      <c r="G1319" s="9">
        <f t="shared" si="136"/>
        <v>45166</v>
      </c>
      <c r="H1319" s="11">
        <f t="shared" si="137"/>
        <v>0.5</v>
      </c>
      <c r="I1319" s="10">
        <f t="shared" si="138"/>
        <v>6</v>
      </c>
      <c r="J1319" s="10">
        <f t="shared" si="139"/>
        <v>7.2</v>
      </c>
      <c r="K1319" s="10">
        <f t="shared" si="141"/>
        <v>39.700000000000003</v>
      </c>
      <c r="L1319" s="10">
        <f t="shared" si="140"/>
        <v>6</v>
      </c>
    </row>
    <row r="1320" spans="1:12" x14ac:dyDescent="0.25">
      <c r="A1320" s="7">
        <v>45173</v>
      </c>
      <c r="B1320" t="s">
        <v>7</v>
      </c>
      <c r="C1320" s="6" t="s">
        <v>22</v>
      </c>
      <c r="D1320" s="5" t="s">
        <v>435</v>
      </c>
      <c r="E1320" s="1">
        <v>0.40972222222222227</v>
      </c>
      <c r="F1320" s="1">
        <v>0.70833333333333337</v>
      </c>
      <c r="G1320" s="9">
        <f t="shared" si="136"/>
        <v>45173</v>
      </c>
      <c r="H1320" s="11">
        <f t="shared" si="137"/>
        <v>7.2</v>
      </c>
      <c r="I1320" s="10">
        <f t="shared" si="138"/>
        <v>7.2</v>
      </c>
      <c r="J1320" s="10">
        <f t="shared" si="139"/>
        <v>7.2</v>
      </c>
      <c r="K1320" s="10">
        <f t="shared" si="141"/>
        <v>7.2</v>
      </c>
      <c r="L1320" s="10">
        <f t="shared" si="140"/>
        <v>13.2</v>
      </c>
    </row>
    <row r="1321" spans="1:12" x14ac:dyDescent="0.25">
      <c r="A1321" s="7">
        <v>45174</v>
      </c>
      <c r="B1321" t="s">
        <v>7</v>
      </c>
      <c r="C1321" s="6" t="s">
        <v>22</v>
      </c>
      <c r="D1321" t="s">
        <v>435</v>
      </c>
      <c r="E1321" s="1">
        <v>0.40972222222222227</v>
      </c>
      <c r="F1321" s="1">
        <v>0.70833333333333337</v>
      </c>
      <c r="G1321" s="9">
        <f t="shared" si="136"/>
        <v>45173</v>
      </c>
      <c r="H1321" s="11">
        <f t="shared" si="137"/>
        <v>7.2</v>
      </c>
      <c r="I1321" s="10">
        <f t="shared" si="138"/>
        <v>7.2</v>
      </c>
      <c r="J1321" s="10">
        <f t="shared" si="139"/>
        <v>7.2</v>
      </c>
      <c r="K1321" s="10">
        <f t="shared" si="141"/>
        <v>14.4</v>
      </c>
      <c r="L1321" s="10">
        <f t="shared" si="140"/>
        <v>20.399999999999999</v>
      </c>
    </row>
    <row r="1322" spans="1:12" x14ac:dyDescent="0.25">
      <c r="A1322" s="7">
        <v>45175</v>
      </c>
      <c r="B1322" t="s">
        <v>7</v>
      </c>
      <c r="C1322" s="6" t="s">
        <v>22</v>
      </c>
      <c r="D1322" t="s">
        <v>435</v>
      </c>
      <c r="E1322" s="1">
        <v>0.40972222222222227</v>
      </c>
      <c r="F1322" s="1">
        <v>0.70833333333333337</v>
      </c>
      <c r="G1322" s="9">
        <f t="shared" si="136"/>
        <v>45173</v>
      </c>
      <c r="H1322" s="11">
        <f t="shared" si="137"/>
        <v>7.2</v>
      </c>
      <c r="I1322" s="10">
        <f t="shared" si="138"/>
        <v>7.2</v>
      </c>
      <c r="J1322" s="10">
        <f t="shared" si="139"/>
        <v>7.2</v>
      </c>
      <c r="K1322" s="10">
        <f t="shared" si="141"/>
        <v>21.6</v>
      </c>
      <c r="L1322" s="10">
        <f t="shared" si="140"/>
        <v>27.599999999999998</v>
      </c>
    </row>
    <row r="1323" spans="1:12" x14ac:dyDescent="0.25">
      <c r="A1323" s="7">
        <v>45176</v>
      </c>
      <c r="B1323" t="s">
        <v>7</v>
      </c>
      <c r="C1323" s="6" t="s">
        <v>22</v>
      </c>
      <c r="D1323" t="s">
        <v>435</v>
      </c>
      <c r="E1323" s="1">
        <v>0.40972222222222227</v>
      </c>
      <c r="F1323" s="1">
        <v>0.70833333333333337</v>
      </c>
      <c r="G1323" s="9">
        <f t="shared" si="136"/>
        <v>45173</v>
      </c>
      <c r="H1323" s="11">
        <f t="shared" si="137"/>
        <v>7.2</v>
      </c>
      <c r="I1323" s="10">
        <f t="shared" si="138"/>
        <v>7.2</v>
      </c>
      <c r="J1323" s="10">
        <f t="shared" si="139"/>
        <v>7.2</v>
      </c>
      <c r="K1323" s="10">
        <f t="shared" si="141"/>
        <v>28.8</v>
      </c>
      <c r="L1323" s="10">
        <f t="shared" si="140"/>
        <v>34.800000000000004</v>
      </c>
    </row>
    <row r="1324" spans="1:12" x14ac:dyDescent="0.25">
      <c r="A1324" s="7">
        <v>45177</v>
      </c>
      <c r="B1324" t="s">
        <v>7</v>
      </c>
      <c r="C1324" s="6" t="s">
        <v>22</v>
      </c>
      <c r="D1324" t="s">
        <v>435</v>
      </c>
      <c r="E1324" s="1">
        <v>0.40972222222222227</v>
      </c>
      <c r="F1324" s="1">
        <v>0.70833333333333337</v>
      </c>
      <c r="G1324" s="9">
        <f t="shared" si="136"/>
        <v>45173</v>
      </c>
      <c r="H1324" s="11">
        <f t="shared" si="137"/>
        <v>7.2</v>
      </c>
      <c r="I1324" s="10">
        <f t="shared" si="138"/>
        <v>7.2</v>
      </c>
      <c r="J1324" s="10">
        <f t="shared" si="139"/>
        <v>7.2</v>
      </c>
      <c r="K1324" s="10">
        <f t="shared" si="141"/>
        <v>36</v>
      </c>
      <c r="L1324" s="10">
        <f t="shared" si="140"/>
        <v>42</v>
      </c>
    </row>
    <row r="1325" spans="1:12" x14ac:dyDescent="0.25">
      <c r="A1325" s="7">
        <v>45180</v>
      </c>
      <c r="B1325" t="s">
        <v>7</v>
      </c>
      <c r="C1325" s="6" t="s">
        <v>22</v>
      </c>
      <c r="D1325" t="s">
        <v>435</v>
      </c>
      <c r="E1325" s="1">
        <v>0.40972222222222227</v>
      </c>
      <c r="F1325" s="1">
        <v>0.70833333333333337</v>
      </c>
      <c r="G1325" s="9">
        <f t="shared" ref="G1325:G1388" si="142">IF(E1325&gt;0,INT((A1325-2)/7)*7+2,"")</f>
        <v>45180</v>
      </c>
      <c r="H1325" s="11">
        <f t="shared" ref="H1325:H1388" si="143">IF(E1325&gt;0,ROUND(24*(IF(F1325&gt;0,F1325,NowTime)-E1325),1),"")</f>
        <v>7.2</v>
      </c>
      <c r="I1325" s="10">
        <f t="shared" ref="I1325:I1388" si="144">IF(H1325="",H1325,H1325+IF(A1325=A1324,_xlfn.NUMBERVALUE(I1324),0))</f>
        <v>7.2</v>
      </c>
      <c r="J1325" s="10">
        <f t="shared" ref="J1325:J1388" si="145">IF(H1325="",H1325,7.2)</f>
        <v>7.2</v>
      </c>
      <c r="K1325" s="10">
        <f t="shared" si="141"/>
        <v>7.2</v>
      </c>
      <c r="L1325" s="10">
        <f t="shared" ref="L1325:L1388" si="146">IF(H1325="",H1325,H1325+IF(MONTH(A1325)=MONTH(A1324),_xlfn.NUMBERVALUE(L1324),0))</f>
        <v>49.2</v>
      </c>
    </row>
    <row r="1326" spans="1:12" x14ac:dyDescent="0.25">
      <c r="A1326" s="7">
        <v>45181</v>
      </c>
      <c r="B1326" t="s">
        <v>7</v>
      </c>
      <c r="C1326" s="6" t="s">
        <v>22</v>
      </c>
      <c r="D1326" t="s">
        <v>435</v>
      </c>
      <c r="E1326" s="1">
        <v>0.40972222222222227</v>
      </c>
      <c r="F1326" s="1">
        <v>0.70833333333333337</v>
      </c>
      <c r="G1326" s="9">
        <f t="shared" si="142"/>
        <v>45180</v>
      </c>
      <c r="H1326" s="11">
        <f t="shared" si="143"/>
        <v>7.2</v>
      </c>
      <c r="I1326" s="10">
        <f t="shared" si="144"/>
        <v>7.2</v>
      </c>
      <c r="J1326" s="10">
        <f t="shared" si="145"/>
        <v>7.2</v>
      </c>
      <c r="K1326" s="10">
        <f t="shared" si="141"/>
        <v>14.4</v>
      </c>
      <c r="L1326" s="10">
        <f t="shared" si="146"/>
        <v>56.400000000000006</v>
      </c>
    </row>
    <row r="1327" spans="1:12" x14ac:dyDescent="0.25">
      <c r="A1327" s="7">
        <v>45182</v>
      </c>
      <c r="B1327" t="s">
        <v>6</v>
      </c>
      <c r="C1327" s="6" t="s">
        <v>416</v>
      </c>
      <c r="D1327" t="s">
        <v>437</v>
      </c>
      <c r="E1327" s="1">
        <v>0.32708333333333334</v>
      </c>
      <c r="F1327" s="1">
        <v>0.40763888888888888</v>
      </c>
      <c r="G1327" s="9">
        <f t="shared" si="142"/>
        <v>45180</v>
      </c>
      <c r="H1327" s="11">
        <f t="shared" si="143"/>
        <v>1.9</v>
      </c>
      <c r="I1327" s="10">
        <f t="shared" si="144"/>
        <v>1.9</v>
      </c>
      <c r="J1327" s="10">
        <f t="shared" si="145"/>
        <v>7.2</v>
      </c>
      <c r="K1327" s="10">
        <f t="shared" si="141"/>
        <v>16.3</v>
      </c>
      <c r="L1327" s="10">
        <f t="shared" si="146"/>
        <v>58.3</v>
      </c>
    </row>
    <row r="1328" spans="1:12" x14ac:dyDescent="0.25">
      <c r="A1328" s="7">
        <v>45182</v>
      </c>
      <c r="B1328" t="s">
        <v>309</v>
      </c>
      <c r="C1328" s="6">
        <v>2805</v>
      </c>
      <c r="D1328" s="1" t="s">
        <v>107</v>
      </c>
      <c r="E1328" s="1">
        <v>0.40763888888888888</v>
      </c>
      <c r="F1328" s="1">
        <v>0.49374999999999997</v>
      </c>
      <c r="G1328" s="9">
        <f t="shared" si="142"/>
        <v>45180</v>
      </c>
      <c r="H1328" s="11">
        <f t="shared" si="143"/>
        <v>2.1</v>
      </c>
      <c r="I1328" s="10">
        <f t="shared" si="144"/>
        <v>4</v>
      </c>
      <c r="J1328" s="10">
        <f t="shared" si="145"/>
        <v>7.2</v>
      </c>
      <c r="K1328" s="10">
        <f t="shared" si="141"/>
        <v>18.400000000000002</v>
      </c>
      <c r="L1328" s="10">
        <f t="shared" si="146"/>
        <v>60.4</v>
      </c>
    </row>
    <row r="1329" spans="1:12" x14ac:dyDescent="0.25">
      <c r="A1329" s="7">
        <v>45182</v>
      </c>
      <c r="B1329" t="s">
        <v>309</v>
      </c>
      <c r="C1329" s="6">
        <v>2805</v>
      </c>
      <c r="D1329" s="1" t="s">
        <v>107</v>
      </c>
      <c r="E1329" s="1">
        <v>0.51736111111111105</v>
      </c>
      <c r="F1329" s="1">
        <v>0.62916666666666665</v>
      </c>
      <c r="G1329" s="9">
        <f t="shared" si="142"/>
        <v>45180</v>
      </c>
      <c r="H1329" s="11">
        <f t="shared" si="143"/>
        <v>2.7</v>
      </c>
      <c r="I1329" s="10">
        <f t="shared" si="144"/>
        <v>6.7</v>
      </c>
      <c r="J1329" s="10">
        <f t="shared" si="145"/>
        <v>7.2</v>
      </c>
      <c r="K1329" s="10">
        <f t="shared" si="141"/>
        <v>21.099999999999998</v>
      </c>
      <c r="L1329" s="10">
        <f t="shared" si="146"/>
        <v>63.1</v>
      </c>
    </row>
    <row r="1330" spans="1:12" x14ac:dyDescent="0.25">
      <c r="A1330" s="7">
        <v>45183</v>
      </c>
      <c r="B1330" t="s">
        <v>309</v>
      </c>
      <c r="C1330" s="6">
        <v>2805</v>
      </c>
      <c r="D1330" s="1" t="s">
        <v>107</v>
      </c>
      <c r="E1330" s="1">
        <v>0.34861111111111115</v>
      </c>
      <c r="F1330" s="1">
        <v>0.42083333333333334</v>
      </c>
      <c r="G1330" s="9">
        <f t="shared" si="142"/>
        <v>45180</v>
      </c>
      <c r="H1330" s="11">
        <f t="shared" si="143"/>
        <v>1.7</v>
      </c>
      <c r="I1330" s="10">
        <f t="shared" si="144"/>
        <v>1.7</v>
      </c>
      <c r="J1330" s="10">
        <f t="shared" si="145"/>
        <v>7.2</v>
      </c>
      <c r="K1330" s="10">
        <f t="shared" si="141"/>
        <v>22.8</v>
      </c>
      <c r="L1330" s="10">
        <f t="shared" si="146"/>
        <v>64.8</v>
      </c>
    </row>
    <row r="1331" spans="1:12" x14ac:dyDescent="0.25">
      <c r="A1331" s="7">
        <v>45183</v>
      </c>
      <c r="B1331" t="s">
        <v>6</v>
      </c>
      <c r="C1331" s="6" t="s">
        <v>416</v>
      </c>
      <c r="D1331" t="s">
        <v>438</v>
      </c>
      <c r="E1331" s="1">
        <v>0.42083333333333334</v>
      </c>
      <c r="F1331" s="1">
        <v>0.54375000000000007</v>
      </c>
      <c r="G1331" s="9">
        <f t="shared" si="142"/>
        <v>45180</v>
      </c>
      <c r="H1331" s="11">
        <f t="shared" si="143"/>
        <v>3</v>
      </c>
      <c r="I1331" s="10">
        <f t="shared" si="144"/>
        <v>4.7</v>
      </c>
      <c r="J1331" s="10">
        <f t="shared" si="145"/>
        <v>7.2</v>
      </c>
      <c r="K1331" s="10">
        <f t="shared" si="141"/>
        <v>25.8</v>
      </c>
      <c r="L1331" s="10">
        <f t="shared" si="146"/>
        <v>67.8</v>
      </c>
    </row>
    <row r="1332" spans="1:12" x14ac:dyDescent="0.25">
      <c r="A1332" s="7">
        <v>45183</v>
      </c>
      <c r="B1332" t="s">
        <v>6</v>
      </c>
      <c r="C1332" s="6" t="s">
        <v>416</v>
      </c>
      <c r="D1332" s="1" t="s">
        <v>439</v>
      </c>
      <c r="E1332" s="1">
        <v>0.54375000000000007</v>
      </c>
      <c r="F1332" s="1">
        <v>0.57708333333333328</v>
      </c>
      <c r="G1332" s="9">
        <f t="shared" si="142"/>
        <v>45180</v>
      </c>
      <c r="H1332" s="11">
        <f t="shared" si="143"/>
        <v>0.8</v>
      </c>
      <c r="I1332" s="10">
        <f t="shared" si="144"/>
        <v>5.5</v>
      </c>
      <c r="J1332" s="10">
        <f t="shared" si="145"/>
        <v>7.2</v>
      </c>
      <c r="K1332" s="10">
        <f t="shared" si="141"/>
        <v>26.6</v>
      </c>
      <c r="L1332" s="10">
        <f t="shared" si="146"/>
        <v>68.599999999999994</v>
      </c>
    </row>
    <row r="1333" spans="1:12" x14ac:dyDescent="0.25">
      <c r="A1333" s="7">
        <v>45183</v>
      </c>
      <c r="B1333" t="s">
        <v>6</v>
      </c>
      <c r="C1333" s="6" t="s">
        <v>416</v>
      </c>
      <c r="D1333" s="1" t="s">
        <v>439</v>
      </c>
      <c r="E1333" s="1">
        <v>0.58472222222222225</v>
      </c>
      <c r="F1333" s="1">
        <v>0.6381944444444444</v>
      </c>
      <c r="G1333" s="9">
        <f t="shared" si="142"/>
        <v>45180</v>
      </c>
      <c r="H1333" s="11">
        <f t="shared" si="143"/>
        <v>1.3</v>
      </c>
      <c r="I1333" s="10">
        <f t="shared" si="144"/>
        <v>6.8</v>
      </c>
      <c r="J1333" s="10">
        <f t="shared" si="145"/>
        <v>7.2</v>
      </c>
      <c r="K1333" s="10">
        <f t="shared" si="141"/>
        <v>27.900000000000002</v>
      </c>
      <c r="L1333" s="10">
        <f t="shared" si="146"/>
        <v>69.899999999999991</v>
      </c>
    </row>
    <row r="1334" spans="1:12" x14ac:dyDescent="0.25">
      <c r="A1334" s="7">
        <v>45184</v>
      </c>
      <c r="B1334" t="s">
        <v>6</v>
      </c>
      <c r="C1334" s="6" t="s">
        <v>416</v>
      </c>
      <c r="D1334" s="1" t="s">
        <v>425</v>
      </c>
      <c r="E1334" s="1">
        <v>0.39166666666666666</v>
      </c>
      <c r="F1334" s="1">
        <v>0.5083333333333333</v>
      </c>
      <c r="G1334" s="9">
        <f t="shared" si="142"/>
        <v>45180</v>
      </c>
      <c r="H1334" s="11">
        <f t="shared" si="143"/>
        <v>2.8</v>
      </c>
      <c r="I1334" s="10">
        <f t="shared" si="144"/>
        <v>2.8</v>
      </c>
      <c r="J1334" s="10">
        <f t="shared" si="145"/>
        <v>7.2</v>
      </c>
      <c r="K1334" s="10">
        <f t="shared" si="141"/>
        <v>30.7</v>
      </c>
      <c r="L1334" s="10">
        <f t="shared" si="146"/>
        <v>72.7</v>
      </c>
    </row>
    <row r="1335" spans="1:12" x14ac:dyDescent="0.25">
      <c r="A1335" s="7">
        <v>45184</v>
      </c>
      <c r="B1335" t="s">
        <v>6</v>
      </c>
      <c r="C1335" s="6" t="s">
        <v>416</v>
      </c>
      <c r="D1335" s="1" t="s">
        <v>425</v>
      </c>
      <c r="E1335" s="1">
        <v>0.52777777777777779</v>
      </c>
      <c r="F1335" s="1">
        <v>0.6694444444444444</v>
      </c>
      <c r="G1335" s="9">
        <f t="shared" si="142"/>
        <v>45180</v>
      </c>
      <c r="H1335" s="11">
        <f t="shared" si="143"/>
        <v>3.4</v>
      </c>
      <c r="I1335" s="10">
        <f t="shared" si="144"/>
        <v>6.1999999999999993</v>
      </c>
      <c r="J1335" s="10">
        <f t="shared" si="145"/>
        <v>7.2</v>
      </c>
      <c r="K1335" s="10">
        <f t="shared" si="141"/>
        <v>34.1</v>
      </c>
      <c r="L1335" s="10">
        <f t="shared" si="146"/>
        <v>76.100000000000009</v>
      </c>
    </row>
    <row r="1336" spans="1:12" x14ac:dyDescent="0.25">
      <c r="A1336" s="7">
        <v>45187</v>
      </c>
      <c r="B1336" t="s">
        <v>6</v>
      </c>
      <c r="C1336" s="6" t="s">
        <v>416</v>
      </c>
      <c r="D1336" s="1" t="s">
        <v>104</v>
      </c>
      <c r="E1336" s="1">
        <v>0.32500000000000001</v>
      </c>
      <c r="F1336" s="1">
        <v>0.39583333333333331</v>
      </c>
      <c r="G1336" s="9">
        <f t="shared" si="142"/>
        <v>45187</v>
      </c>
      <c r="H1336" s="11">
        <f t="shared" si="143"/>
        <v>1.7</v>
      </c>
      <c r="I1336" s="10">
        <f t="shared" si="144"/>
        <v>1.7</v>
      </c>
      <c r="J1336" s="10">
        <f t="shared" si="145"/>
        <v>7.2</v>
      </c>
      <c r="K1336" s="10">
        <f t="shared" si="141"/>
        <v>1.7</v>
      </c>
      <c r="L1336" s="10">
        <f t="shared" si="146"/>
        <v>77.8</v>
      </c>
    </row>
    <row r="1337" spans="1:12" x14ac:dyDescent="0.25">
      <c r="A1337" s="7">
        <v>45187</v>
      </c>
      <c r="B1337" t="s">
        <v>6</v>
      </c>
      <c r="C1337" s="6" t="s">
        <v>416</v>
      </c>
      <c r="D1337" s="1" t="s">
        <v>425</v>
      </c>
      <c r="E1337" s="1">
        <v>0.39583333333333331</v>
      </c>
      <c r="F1337" s="1">
        <v>0.41666666666666669</v>
      </c>
      <c r="G1337" s="9">
        <f t="shared" si="142"/>
        <v>45187</v>
      </c>
      <c r="H1337" s="11">
        <f t="shared" si="143"/>
        <v>0.5</v>
      </c>
      <c r="I1337" s="10">
        <f t="shared" si="144"/>
        <v>2.2000000000000002</v>
      </c>
      <c r="J1337" s="10">
        <f t="shared" si="145"/>
        <v>7.2</v>
      </c>
      <c r="K1337" s="10">
        <f t="shared" si="141"/>
        <v>2.2000000000000002</v>
      </c>
      <c r="L1337" s="10">
        <f t="shared" si="146"/>
        <v>78.3</v>
      </c>
    </row>
    <row r="1338" spans="1:12" x14ac:dyDescent="0.25">
      <c r="A1338" s="7">
        <v>45187</v>
      </c>
      <c r="B1338" t="s">
        <v>6</v>
      </c>
      <c r="C1338" s="6" t="s">
        <v>416</v>
      </c>
      <c r="D1338" s="1" t="s">
        <v>112</v>
      </c>
      <c r="E1338" s="1">
        <v>0.41666666666666669</v>
      </c>
      <c r="F1338" s="1">
        <v>0.47083333333333338</v>
      </c>
      <c r="G1338" s="9">
        <f t="shared" si="142"/>
        <v>45187</v>
      </c>
      <c r="H1338" s="11">
        <f t="shared" si="143"/>
        <v>1.3</v>
      </c>
      <c r="I1338" s="10">
        <f t="shared" si="144"/>
        <v>3.5</v>
      </c>
      <c r="J1338" s="10">
        <f t="shared" si="145"/>
        <v>7.2</v>
      </c>
      <c r="K1338" s="10">
        <f t="shared" si="141"/>
        <v>3.5</v>
      </c>
      <c r="L1338" s="10">
        <f t="shared" si="146"/>
        <v>79.599999999999994</v>
      </c>
    </row>
    <row r="1339" spans="1:12" x14ac:dyDescent="0.25">
      <c r="A1339" s="7">
        <v>45187</v>
      </c>
      <c r="B1339" t="s">
        <v>6</v>
      </c>
      <c r="C1339" s="6" t="s">
        <v>416</v>
      </c>
      <c r="D1339" s="1" t="s">
        <v>425</v>
      </c>
      <c r="E1339" s="1">
        <v>0.4861111111111111</v>
      </c>
      <c r="F1339" s="1">
        <v>0.54166666666666663</v>
      </c>
      <c r="G1339" s="9">
        <f t="shared" si="142"/>
        <v>45187</v>
      </c>
      <c r="H1339" s="11">
        <f t="shared" si="143"/>
        <v>1.3</v>
      </c>
      <c r="I1339" s="10">
        <f t="shared" si="144"/>
        <v>4.8</v>
      </c>
      <c r="J1339" s="10">
        <f t="shared" si="145"/>
        <v>7.2</v>
      </c>
      <c r="K1339" s="10">
        <f t="shared" si="141"/>
        <v>4.8</v>
      </c>
      <c r="L1339" s="10">
        <f t="shared" si="146"/>
        <v>80.899999999999991</v>
      </c>
    </row>
    <row r="1340" spans="1:12" x14ac:dyDescent="0.25">
      <c r="A1340" s="7">
        <v>45187</v>
      </c>
      <c r="B1340" t="s">
        <v>6</v>
      </c>
      <c r="C1340" s="6" t="s">
        <v>416</v>
      </c>
      <c r="D1340" s="1" t="s">
        <v>428</v>
      </c>
      <c r="E1340" s="1">
        <v>0.54166666666666663</v>
      </c>
      <c r="F1340" s="1">
        <v>0.58819444444444446</v>
      </c>
      <c r="G1340" s="9">
        <f t="shared" si="142"/>
        <v>45187</v>
      </c>
      <c r="H1340" s="11">
        <f t="shared" si="143"/>
        <v>1.1000000000000001</v>
      </c>
      <c r="I1340" s="10">
        <f t="shared" si="144"/>
        <v>5.9</v>
      </c>
      <c r="J1340" s="10">
        <f t="shared" si="145"/>
        <v>7.2</v>
      </c>
      <c r="K1340" s="10">
        <f t="shared" si="141"/>
        <v>5.9</v>
      </c>
      <c r="L1340" s="10">
        <f t="shared" si="146"/>
        <v>82</v>
      </c>
    </row>
    <row r="1341" spans="1:12" x14ac:dyDescent="0.25">
      <c r="A1341" s="7">
        <v>45187</v>
      </c>
      <c r="B1341" t="s">
        <v>6</v>
      </c>
      <c r="C1341" s="6" t="s">
        <v>416</v>
      </c>
      <c r="D1341" s="1" t="s">
        <v>425</v>
      </c>
      <c r="E1341" s="1">
        <v>0.58819444444444446</v>
      </c>
      <c r="F1341" s="1">
        <v>0.65138888888888891</v>
      </c>
      <c r="G1341" s="9">
        <f t="shared" si="142"/>
        <v>45187</v>
      </c>
      <c r="H1341" s="11">
        <f t="shared" si="143"/>
        <v>1.5</v>
      </c>
      <c r="I1341" s="10">
        <f t="shared" si="144"/>
        <v>7.4</v>
      </c>
      <c r="J1341" s="10">
        <f t="shared" si="145"/>
        <v>7.2</v>
      </c>
      <c r="K1341" s="10">
        <f t="shared" si="141"/>
        <v>7.4</v>
      </c>
      <c r="L1341" s="10">
        <f t="shared" si="146"/>
        <v>83.5</v>
      </c>
    </row>
    <row r="1342" spans="1:12" x14ac:dyDescent="0.25">
      <c r="A1342" s="7">
        <v>45188</v>
      </c>
      <c r="B1342" t="s">
        <v>6</v>
      </c>
      <c r="C1342" s="6" t="s">
        <v>416</v>
      </c>
      <c r="D1342" s="1" t="s">
        <v>425</v>
      </c>
      <c r="E1342" s="1">
        <v>0.34166666666666662</v>
      </c>
      <c r="F1342" s="1">
        <v>0.4236111111111111</v>
      </c>
      <c r="G1342" s="9">
        <f t="shared" si="142"/>
        <v>45187</v>
      </c>
      <c r="H1342" s="11">
        <f t="shared" si="143"/>
        <v>2</v>
      </c>
      <c r="I1342" s="10">
        <f t="shared" si="144"/>
        <v>2</v>
      </c>
      <c r="J1342" s="10">
        <f t="shared" si="145"/>
        <v>7.2</v>
      </c>
      <c r="K1342" s="10">
        <f t="shared" si="141"/>
        <v>9.4</v>
      </c>
      <c r="L1342" s="10">
        <f t="shared" si="146"/>
        <v>85.5</v>
      </c>
    </row>
    <row r="1343" spans="1:12" x14ac:dyDescent="0.25">
      <c r="A1343" s="7">
        <v>45188</v>
      </c>
      <c r="B1343" t="s">
        <v>6</v>
      </c>
      <c r="C1343" s="6" t="s">
        <v>416</v>
      </c>
      <c r="D1343" s="1" t="s">
        <v>241</v>
      </c>
      <c r="E1343" s="1">
        <v>0.4236111111111111</v>
      </c>
      <c r="F1343" s="1">
        <v>0.45277777777777778</v>
      </c>
      <c r="G1343" s="9">
        <f t="shared" si="142"/>
        <v>45187</v>
      </c>
      <c r="H1343" s="11">
        <f t="shared" si="143"/>
        <v>0.7</v>
      </c>
      <c r="I1343" s="10">
        <f t="shared" si="144"/>
        <v>2.7</v>
      </c>
      <c r="J1343" s="10">
        <f t="shared" si="145"/>
        <v>7.2</v>
      </c>
      <c r="K1343" s="10">
        <f t="shared" si="141"/>
        <v>10.1</v>
      </c>
      <c r="L1343" s="10">
        <f t="shared" si="146"/>
        <v>86.2</v>
      </c>
    </row>
    <row r="1344" spans="1:12" x14ac:dyDescent="0.25">
      <c r="A1344" s="7">
        <v>45188</v>
      </c>
      <c r="B1344" t="s">
        <v>426</v>
      </c>
      <c r="C1344" s="6">
        <v>6230</v>
      </c>
      <c r="D1344" s="1" t="s">
        <v>440</v>
      </c>
      <c r="E1344" s="1">
        <v>0.45277777777777778</v>
      </c>
      <c r="F1344" s="1">
        <v>0.50555555555555554</v>
      </c>
      <c r="G1344" s="9">
        <f t="shared" si="142"/>
        <v>45187</v>
      </c>
      <c r="H1344" s="11">
        <f t="shared" si="143"/>
        <v>1.3</v>
      </c>
      <c r="I1344" s="10">
        <f t="shared" si="144"/>
        <v>4</v>
      </c>
      <c r="J1344" s="10">
        <f t="shared" si="145"/>
        <v>7.2</v>
      </c>
      <c r="K1344" s="10">
        <f t="shared" si="141"/>
        <v>11.4</v>
      </c>
      <c r="L1344" s="10">
        <f t="shared" si="146"/>
        <v>87.5</v>
      </c>
    </row>
    <row r="1345" spans="1:12" x14ac:dyDescent="0.25">
      <c r="A1345" s="7">
        <v>45188</v>
      </c>
      <c r="B1345" t="s">
        <v>426</v>
      </c>
      <c r="C1345" s="6">
        <v>6230</v>
      </c>
      <c r="D1345" s="1" t="s">
        <v>427</v>
      </c>
      <c r="E1345" s="1">
        <v>0.51944444444444449</v>
      </c>
      <c r="F1345" s="1">
        <v>0.6645833333333333</v>
      </c>
      <c r="G1345" s="9">
        <f t="shared" si="142"/>
        <v>45187</v>
      </c>
      <c r="H1345" s="11">
        <f t="shared" si="143"/>
        <v>3.5</v>
      </c>
      <c r="I1345" s="10">
        <f t="shared" si="144"/>
        <v>7.5</v>
      </c>
      <c r="J1345" s="10">
        <f t="shared" si="145"/>
        <v>7.2</v>
      </c>
      <c r="K1345" s="10">
        <f t="shared" si="141"/>
        <v>14.9</v>
      </c>
      <c r="L1345" s="10">
        <f t="shared" si="146"/>
        <v>91</v>
      </c>
    </row>
    <row r="1346" spans="1:12" x14ac:dyDescent="0.25">
      <c r="A1346" s="7">
        <v>45189</v>
      </c>
      <c r="B1346" t="s">
        <v>426</v>
      </c>
      <c r="C1346" s="6">
        <v>6230</v>
      </c>
      <c r="D1346" s="1" t="s">
        <v>427</v>
      </c>
      <c r="E1346" s="1">
        <v>0.3</v>
      </c>
      <c r="F1346" s="1">
        <v>0.375</v>
      </c>
      <c r="G1346" s="9">
        <f t="shared" si="142"/>
        <v>45187</v>
      </c>
      <c r="H1346" s="11">
        <f t="shared" si="143"/>
        <v>1.8</v>
      </c>
      <c r="I1346" s="10">
        <f t="shared" si="144"/>
        <v>1.8</v>
      </c>
      <c r="J1346" s="10">
        <f t="shared" si="145"/>
        <v>7.2</v>
      </c>
      <c r="K1346" s="10">
        <f t="shared" si="141"/>
        <v>16.7</v>
      </c>
      <c r="L1346" s="10">
        <f t="shared" si="146"/>
        <v>92.8</v>
      </c>
    </row>
    <row r="1347" spans="1:12" x14ac:dyDescent="0.25">
      <c r="A1347" s="7">
        <v>45189</v>
      </c>
      <c r="B1347" t="s">
        <v>6</v>
      </c>
      <c r="C1347" s="6" t="s">
        <v>416</v>
      </c>
      <c r="D1347" s="1" t="s">
        <v>173</v>
      </c>
      <c r="E1347" s="1">
        <v>0.375</v>
      </c>
      <c r="F1347" s="1">
        <v>0.49305555555555558</v>
      </c>
      <c r="G1347" s="9">
        <f t="shared" si="142"/>
        <v>45187</v>
      </c>
      <c r="H1347" s="11">
        <f t="shared" si="143"/>
        <v>2.8</v>
      </c>
      <c r="I1347" s="10">
        <f t="shared" si="144"/>
        <v>4.5999999999999996</v>
      </c>
      <c r="J1347" s="10">
        <f t="shared" si="145"/>
        <v>7.2</v>
      </c>
      <c r="K1347" s="10">
        <f t="shared" ref="K1347:K1410" si="147">IF(H1347="",H1347,H1347+IF(G1347=G1346,_xlfn.NUMBERVALUE(K1346),0))</f>
        <v>19.5</v>
      </c>
      <c r="L1347" s="10">
        <f t="shared" si="146"/>
        <v>95.6</v>
      </c>
    </row>
    <row r="1348" spans="1:12" x14ac:dyDescent="0.25">
      <c r="A1348" s="7">
        <v>45189</v>
      </c>
      <c r="B1348" t="s">
        <v>426</v>
      </c>
      <c r="C1348" s="6">
        <v>6230</v>
      </c>
      <c r="D1348" s="1" t="s">
        <v>427</v>
      </c>
      <c r="E1348" s="1">
        <v>0.49305555555555558</v>
      </c>
      <c r="F1348" s="1">
        <v>0.50138888888888888</v>
      </c>
      <c r="G1348" s="9">
        <f t="shared" si="142"/>
        <v>45187</v>
      </c>
      <c r="H1348" s="11">
        <f t="shared" si="143"/>
        <v>0.2</v>
      </c>
      <c r="I1348" s="10">
        <f t="shared" si="144"/>
        <v>4.8</v>
      </c>
      <c r="J1348" s="10">
        <f t="shared" si="145"/>
        <v>7.2</v>
      </c>
      <c r="K1348" s="10">
        <f t="shared" si="147"/>
        <v>19.7</v>
      </c>
      <c r="L1348" s="10">
        <f t="shared" si="146"/>
        <v>95.8</v>
      </c>
    </row>
    <row r="1349" spans="1:12" x14ac:dyDescent="0.25">
      <c r="A1349" s="7">
        <v>45189</v>
      </c>
      <c r="B1349" t="s">
        <v>426</v>
      </c>
      <c r="C1349" s="6">
        <v>6230</v>
      </c>
      <c r="D1349" s="1" t="s">
        <v>427</v>
      </c>
      <c r="E1349" s="1">
        <v>0.51874999999999993</v>
      </c>
      <c r="F1349" s="1">
        <v>0.58333333333333337</v>
      </c>
      <c r="G1349" s="9">
        <f t="shared" si="142"/>
        <v>45187</v>
      </c>
      <c r="H1349" s="11">
        <f t="shared" si="143"/>
        <v>1.6</v>
      </c>
      <c r="I1349" s="10">
        <f t="shared" si="144"/>
        <v>6.4</v>
      </c>
      <c r="J1349" s="10">
        <f t="shared" si="145"/>
        <v>7.2</v>
      </c>
      <c r="K1349" s="10">
        <f t="shared" si="147"/>
        <v>21.3</v>
      </c>
      <c r="L1349" s="10">
        <f t="shared" si="146"/>
        <v>97.399999999999991</v>
      </c>
    </row>
    <row r="1350" spans="1:12" x14ac:dyDescent="0.25">
      <c r="A1350" s="7">
        <v>45189</v>
      </c>
      <c r="B1350" t="s">
        <v>311</v>
      </c>
      <c r="C1350" s="6">
        <v>2008</v>
      </c>
      <c r="D1350" s="1" t="s">
        <v>44</v>
      </c>
      <c r="E1350" s="1">
        <v>0.58333333333333337</v>
      </c>
      <c r="F1350" s="1">
        <v>0.62777777777777777</v>
      </c>
      <c r="G1350" s="9">
        <f t="shared" si="142"/>
        <v>45187</v>
      </c>
      <c r="H1350" s="11">
        <f t="shared" si="143"/>
        <v>1.1000000000000001</v>
      </c>
      <c r="I1350" s="10">
        <f t="shared" si="144"/>
        <v>7.5</v>
      </c>
      <c r="J1350" s="10">
        <f t="shared" si="145"/>
        <v>7.2</v>
      </c>
      <c r="K1350" s="10">
        <f t="shared" si="147"/>
        <v>22.400000000000002</v>
      </c>
      <c r="L1350" s="10">
        <f t="shared" si="146"/>
        <v>98.5</v>
      </c>
    </row>
    <row r="1351" spans="1:12" x14ac:dyDescent="0.25">
      <c r="A1351" s="7">
        <v>45189</v>
      </c>
      <c r="B1351" t="s">
        <v>426</v>
      </c>
      <c r="C1351" s="6">
        <v>6230</v>
      </c>
      <c r="D1351" s="1" t="s">
        <v>427</v>
      </c>
      <c r="E1351" s="1">
        <v>0.62777777777777777</v>
      </c>
      <c r="F1351" s="1">
        <v>0.6381944444444444</v>
      </c>
      <c r="G1351" s="9">
        <f t="shared" si="142"/>
        <v>45187</v>
      </c>
      <c r="H1351" s="11">
        <f t="shared" si="143"/>
        <v>0.2</v>
      </c>
      <c r="I1351" s="10">
        <f t="shared" si="144"/>
        <v>7.7</v>
      </c>
      <c r="J1351" s="10">
        <f t="shared" si="145"/>
        <v>7.2</v>
      </c>
      <c r="K1351" s="10">
        <f t="shared" si="147"/>
        <v>22.599999999999998</v>
      </c>
      <c r="L1351" s="10">
        <f t="shared" si="146"/>
        <v>98.7</v>
      </c>
    </row>
    <row r="1352" spans="1:12" x14ac:dyDescent="0.25">
      <c r="A1352" s="7">
        <v>45190</v>
      </c>
      <c r="B1352" t="s">
        <v>426</v>
      </c>
      <c r="C1352" s="6">
        <v>6230</v>
      </c>
      <c r="D1352" s="1" t="s">
        <v>427</v>
      </c>
      <c r="E1352" s="1">
        <v>0.33611111111111108</v>
      </c>
      <c r="F1352" s="1">
        <v>0.4597222222222222</v>
      </c>
      <c r="G1352" s="9">
        <f t="shared" si="142"/>
        <v>45187</v>
      </c>
      <c r="H1352" s="11">
        <f t="shared" si="143"/>
        <v>3</v>
      </c>
      <c r="I1352" s="10">
        <f t="shared" si="144"/>
        <v>3</v>
      </c>
      <c r="J1352" s="10">
        <f t="shared" si="145"/>
        <v>7.2</v>
      </c>
      <c r="K1352" s="10">
        <f t="shared" si="147"/>
        <v>25.6</v>
      </c>
      <c r="L1352" s="10">
        <f t="shared" si="146"/>
        <v>101.7</v>
      </c>
    </row>
    <row r="1353" spans="1:12" x14ac:dyDescent="0.25">
      <c r="A1353" s="7">
        <v>45190</v>
      </c>
      <c r="B1353" t="s">
        <v>426</v>
      </c>
      <c r="C1353" s="6">
        <v>6230</v>
      </c>
      <c r="D1353" s="1" t="s">
        <v>427</v>
      </c>
      <c r="E1353" s="1">
        <v>0.47291666666666665</v>
      </c>
      <c r="F1353" s="1">
        <v>0.66666666666666663</v>
      </c>
      <c r="G1353" s="9">
        <f t="shared" si="142"/>
        <v>45187</v>
      </c>
      <c r="H1353" s="11">
        <f t="shared" si="143"/>
        <v>4.7</v>
      </c>
      <c r="I1353" s="10">
        <f t="shared" si="144"/>
        <v>7.7</v>
      </c>
      <c r="J1353" s="10">
        <f t="shared" si="145"/>
        <v>7.2</v>
      </c>
      <c r="K1353" s="10">
        <f t="shared" si="147"/>
        <v>30.3</v>
      </c>
      <c r="L1353" s="10">
        <f t="shared" si="146"/>
        <v>106.4</v>
      </c>
    </row>
    <row r="1354" spans="1:12" x14ac:dyDescent="0.25">
      <c r="A1354" s="7">
        <v>45190</v>
      </c>
      <c r="B1354" t="s">
        <v>6</v>
      </c>
      <c r="C1354" s="6" t="s">
        <v>416</v>
      </c>
      <c r="D1354" s="1" t="s">
        <v>428</v>
      </c>
      <c r="E1354" s="1">
        <v>0.66666666666666663</v>
      </c>
      <c r="F1354" s="1">
        <v>0.72013888888888899</v>
      </c>
      <c r="G1354" s="9">
        <f t="shared" si="142"/>
        <v>45187</v>
      </c>
      <c r="H1354" s="11">
        <f t="shared" si="143"/>
        <v>1.3</v>
      </c>
      <c r="I1354" s="10">
        <f t="shared" si="144"/>
        <v>9</v>
      </c>
      <c r="J1354" s="10">
        <f t="shared" si="145"/>
        <v>7.2</v>
      </c>
      <c r="K1354" s="10">
        <f t="shared" si="147"/>
        <v>31.6</v>
      </c>
      <c r="L1354" s="10">
        <f t="shared" si="146"/>
        <v>107.7</v>
      </c>
    </row>
    <row r="1355" spans="1:12" x14ac:dyDescent="0.25">
      <c r="A1355" s="7">
        <v>45191</v>
      </c>
      <c r="B1355" t="s">
        <v>7</v>
      </c>
      <c r="C1355" s="6" t="s">
        <v>22</v>
      </c>
      <c r="D1355" t="s">
        <v>435</v>
      </c>
      <c r="E1355" s="1">
        <v>0.40972222222222227</v>
      </c>
      <c r="F1355" s="1">
        <v>0.70833333333333337</v>
      </c>
      <c r="G1355" s="9">
        <f t="shared" si="142"/>
        <v>45187</v>
      </c>
      <c r="H1355" s="11">
        <f t="shared" si="143"/>
        <v>7.2</v>
      </c>
      <c r="I1355" s="10">
        <f t="shared" si="144"/>
        <v>7.2</v>
      </c>
      <c r="J1355" s="10">
        <f t="shared" si="145"/>
        <v>7.2</v>
      </c>
      <c r="K1355" s="10">
        <f t="shared" si="147"/>
        <v>38.800000000000004</v>
      </c>
      <c r="L1355" s="10">
        <f t="shared" si="146"/>
        <v>114.9</v>
      </c>
    </row>
    <row r="1356" spans="1:12" x14ac:dyDescent="0.25">
      <c r="A1356" s="7">
        <v>45194</v>
      </c>
      <c r="B1356" t="s">
        <v>6</v>
      </c>
      <c r="C1356" s="6" t="s">
        <v>416</v>
      </c>
      <c r="D1356" s="1" t="s">
        <v>441</v>
      </c>
      <c r="E1356" s="1">
        <v>0.32291666666666669</v>
      </c>
      <c r="F1356" s="1">
        <v>0.41666666666666669</v>
      </c>
      <c r="G1356" s="9">
        <f t="shared" si="142"/>
        <v>45194</v>
      </c>
      <c r="H1356" s="11">
        <f t="shared" si="143"/>
        <v>2.2999999999999998</v>
      </c>
      <c r="I1356" s="10">
        <f t="shared" si="144"/>
        <v>2.2999999999999998</v>
      </c>
      <c r="J1356" s="10">
        <f t="shared" si="145"/>
        <v>7.2</v>
      </c>
      <c r="K1356" s="10">
        <f t="shared" si="147"/>
        <v>2.2999999999999998</v>
      </c>
      <c r="L1356" s="10">
        <f t="shared" si="146"/>
        <v>117.2</v>
      </c>
    </row>
    <row r="1357" spans="1:12" x14ac:dyDescent="0.25">
      <c r="A1357" s="7">
        <v>45194</v>
      </c>
      <c r="B1357" t="s">
        <v>6</v>
      </c>
      <c r="C1357" s="6" t="s">
        <v>416</v>
      </c>
      <c r="D1357" s="1" t="s">
        <v>151</v>
      </c>
      <c r="E1357" s="1">
        <v>0.41666666666666669</v>
      </c>
      <c r="F1357" s="1">
        <v>0.48402777777777778</v>
      </c>
      <c r="G1357" s="9">
        <f t="shared" si="142"/>
        <v>45194</v>
      </c>
      <c r="H1357" s="11">
        <f t="shared" si="143"/>
        <v>1.6</v>
      </c>
      <c r="I1357" s="10">
        <f t="shared" si="144"/>
        <v>3.9</v>
      </c>
      <c r="J1357" s="10">
        <f t="shared" si="145"/>
        <v>7.2</v>
      </c>
      <c r="K1357" s="10">
        <f t="shared" si="147"/>
        <v>3.9</v>
      </c>
      <c r="L1357" s="10">
        <f t="shared" si="146"/>
        <v>118.8</v>
      </c>
    </row>
    <row r="1358" spans="1:12" x14ac:dyDescent="0.25">
      <c r="A1358" s="7">
        <v>45194</v>
      </c>
      <c r="B1358" t="s">
        <v>6</v>
      </c>
      <c r="C1358" s="6" t="s">
        <v>416</v>
      </c>
      <c r="D1358" s="1" t="s">
        <v>442</v>
      </c>
      <c r="E1358" s="1">
        <v>0.49791666666666662</v>
      </c>
      <c r="F1358" s="1">
        <v>0.52986111111111112</v>
      </c>
      <c r="G1358" s="9">
        <f t="shared" si="142"/>
        <v>45194</v>
      </c>
      <c r="H1358" s="11">
        <f t="shared" si="143"/>
        <v>0.8</v>
      </c>
      <c r="I1358" s="10">
        <f t="shared" si="144"/>
        <v>4.7</v>
      </c>
      <c r="J1358" s="10">
        <f t="shared" si="145"/>
        <v>7.2</v>
      </c>
      <c r="K1358" s="10">
        <f t="shared" si="147"/>
        <v>4.7</v>
      </c>
      <c r="L1358" s="10">
        <f t="shared" si="146"/>
        <v>119.6</v>
      </c>
    </row>
    <row r="1359" spans="1:12" x14ac:dyDescent="0.25">
      <c r="A1359" s="7">
        <v>45194</v>
      </c>
      <c r="B1359" t="s">
        <v>6</v>
      </c>
      <c r="C1359" s="6" t="s">
        <v>416</v>
      </c>
      <c r="D1359" s="1" t="s">
        <v>449</v>
      </c>
      <c r="E1359" s="1">
        <v>0.52986111111111112</v>
      </c>
      <c r="F1359" s="1">
        <v>0.60347222222222219</v>
      </c>
      <c r="G1359" s="9">
        <f t="shared" si="142"/>
        <v>45194</v>
      </c>
      <c r="H1359" s="11">
        <f t="shared" si="143"/>
        <v>1.8</v>
      </c>
      <c r="I1359" s="10">
        <f t="shared" si="144"/>
        <v>6.5</v>
      </c>
      <c r="J1359" s="10">
        <f t="shared" si="145"/>
        <v>7.2</v>
      </c>
      <c r="K1359" s="10">
        <f t="shared" si="147"/>
        <v>6.5</v>
      </c>
      <c r="L1359" s="10">
        <f t="shared" si="146"/>
        <v>121.39999999999999</v>
      </c>
    </row>
    <row r="1360" spans="1:12" x14ac:dyDescent="0.25">
      <c r="A1360" s="7">
        <v>45195</v>
      </c>
      <c r="B1360" t="s">
        <v>6</v>
      </c>
      <c r="C1360" s="6" t="s">
        <v>416</v>
      </c>
      <c r="D1360" s="1" t="s">
        <v>449</v>
      </c>
      <c r="E1360" s="1">
        <v>0.33263888888888887</v>
      </c>
      <c r="F1360" s="1">
        <v>0.4826388888888889</v>
      </c>
      <c r="G1360" s="9">
        <f t="shared" si="142"/>
        <v>45194</v>
      </c>
      <c r="H1360" s="11">
        <f t="shared" si="143"/>
        <v>3.6</v>
      </c>
      <c r="I1360" s="10">
        <f t="shared" si="144"/>
        <v>3.6</v>
      </c>
      <c r="J1360" s="10">
        <f t="shared" si="145"/>
        <v>7.2</v>
      </c>
      <c r="K1360" s="10">
        <f t="shared" si="147"/>
        <v>10.1</v>
      </c>
      <c r="L1360" s="10">
        <f t="shared" si="146"/>
        <v>125</v>
      </c>
    </row>
    <row r="1361" spans="1:12" x14ac:dyDescent="0.25">
      <c r="A1361" s="7">
        <v>45195</v>
      </c>
      <c r="B1361" t="s">
        <v>6</v>
      </c>
      <c r="C1361" s="6" t="s">
        <v>416</v>
      </c>
      <c r="D1361" s="1" t="s">
        <v>449</v>
      </c>
      <c r="E1361" s="1">
        <v>0.4993055555555555</v>
      </c>
      <c r="F1361" s="1">
        <v>0.68055555555555547</v>
      </c>
      <c r="G1361" s="9">
        <f t="shared" si="142"/>
        <v>45194</v>
      </c>
      <c r="H1361" s="11">
        <f t="shared" si="143"/>
        <v>4.4000000000000004</v>
      </c>
      <c r="I1361" s="10">
        <f t="shared" si="144"/>
        <v>8</v>
      </c>
      <c r="J1361" s="10">
        <f t="shared" si="145"/>
        <v>7.2</v>
      </c>
      <c r="K1361" s="10">
        <f t="shared" si="147"/>
        <v>14.5</v>
      </c>
      <c r="L1361" s="10">
        <f t="shared" si="146"/>
        <v>129.4</v>
      </c>
    </row>
    <row r="1362" spans="1:12" x14ac:dyDescent="0.25">
      <c r="A1362" s="7">
        <v>45196</v>
      </c>
      <c r="B1362" t="s">
        <v>6</v>
      </c>
      <c r="C1362" s="6" t="s">
        <v>416</v>
      </c>
      <c r="D1362" s="1" t="s">
        <v>449</v>
      </c>
      <c r="E1362" s="1">
        <v>0.33333333333333331</v>
      </c>
      <c r="F1362" s="1">
        <v>0.375</v>
      </c>
      <c r="G1362" s="9">
        <f t="shared" si="142"/>
        <v>45194</v>
      </c>
      <c r="H1362" s="11">
        <f t="shared" si="143"/>
        <v>1</v>
      </c>
      <c r="I1362" s="10">
        <f t="shared" si="144"/>
        <v>1</v>
      </c>
      <c r="J1362" s="10">
        <f t="shared" si="145"/>
        <v>7.2</v>
      </c>
      <c r="K1362" s="10">
        <f t="shared" si="147"/>
        <v>15.5</v>
      </c>
      <c r="L1362" s="10">
        <f t="shared" si="146"/>
        <v>130.4</v>
      </c>
    </row>
    <row r="1363" spans="1:12" x14ac:dyDescent="0.25">
      <c r="A1363" s="7">
        <v>45196</v>
      </c>
      <c r="B1363" t="s">
        <v>426</v>
      </c>
      <c r="C1363" s="6">
        <v>6230</v>
      </c>
      <c r="D1363" s="1" t="s">
        <v>44</v>
      </c>
      <c r="E1363" s="1">
        <v>0.375</v>
      </c>
      <c r="F1363" s="1">
        <v>0.43333333333333335</v>
      </c>
      <c r="G1363" s="9">
        <f t="shared" si="142"/>
        <v>45194</v>
      </c>
      <c r="H1363" s="11">
        <f t="shared" si="143"/>
        <v>1.4</v>
      </c>
      <c r="I1363" s="10">
        <f t="shared" si="144"/>
        <v>2.4</v>
      </c>
      <c r="J1363" s="10">
        <f t="shared" si="145"/>
        <v>7.2</v>
      </c>
      <c r="K1363" s="10">
        <f t="shared" si="147"/>
        <v>16.899999999999999</v>
      </c>
      <c r="L1363" s="10">
        <f t="shared" si="146"/>
        <v>131.80000000000001</v>
      </c>
    </row>
    <row r="1364" spans="1:12" x14ac:dyDescent="0.25">
      <c r="A1364" s="7">
        <v>45196</v>
      </c>
      <c r="B1364" t="s">
        <v>6</v>
      </c>
      <c r="C1364" s="6" t="s">
        <v>416</v>
      </c>
      <c r="D1364" s="1" t="s">
        <v>449</v>
      </c>
      <c r="E1364" s="1">
        <v>0.43333333333333335</v>
      </c>
      <c r="F1364" s="1">
        <v>0.4694444444444445</v>
      </c>
      <c r="G1364" s="9">
        <f t="shared" si="142"/>
        <v>45194</v>
      </c>
      <c r="H1364" s="11">
        <f t="shared" si="143"/>
        <v>0.9</v>
      </c>
      <c r="I1364" s="10">
        <f t="shared" si="144"/>
        <v>3.3</v>
      </c>
      <c r="J1364" s="10">
        <f t="shared" si="145"/>
        <v>7.2</v>
      </c>
      <c r="K1364" s="10">
        <f t="shared" si="147"/>
        <v>17.799999999999997</v>
      </c>
      <c r="L1364" s="10">
        <f t="shared" si="146"/>
        <v>132.70000000000002</v>
      </c>
    </row>
    <row r="1365" spans="1:12" x14ac:dyDescent="0.25">
      <c r="A1365" s="7">
        <v>45196</v>
      </c>
      <c r="B1365" t="s">
        <v>426</v>
      </c>
      <c r="C1365" s="6">
        <v>6230</v>
      </c>
      <c r="D1365" s="1" t="s">
        <v>443</v>
      </c>
      <c r="E1365" s="1">
        <v>0.47986111111111113</v>
      </c>
      <c r="F1365" s="1">
        <v>0.62222222222222223</v>
      </c>
      <c r="G1365" s="9">
        <f t="shared" si="142"/>
        <v>45194</v>
      </c>
      <c r="H1365" s="11">
        <f t="shared" si="143"/>
        <v>3.4</v>
      </c>
      <c r="I1365" s="10">
        <f t="shared" si="144"/>
        <v>6.6999999999999993</v>
      </c>
      <c r="J1365" s="10">
        <f t="shared" si="145"/>
        <v>7.2</v>
      </c>
      <c r="K1365" s="10">
        <f t="shared" si="147"/>
        <v>21.2</v>
      </c>
      <c r="L1365" s="10">
        <f t="shared" si="146"/>
        <v>136.1</v>
      </c>
    </row>
    <row r="1366" spans="1:12" x14ac:dyDescent="0.25">
      <c r="A1366" s="7">
        <v>45197</v>
      </c>
      <c r="B1366" t="s">
        <v>6</v>
      </c>
      <c r="C1366" s="6" t="s">
        <v>416</v>
      </c>
      <c r="D1366" s="1" t="s">
        <v>444</v>
      </c>
      <c r="E1366" s="1">
        <v>0.31736111111111115</v>
      </c>
      <c r="F1366" s="1">
        <v>0.41666666666666669</v>
      </c>
      <c r="G1366" s="9">
        <f t="shared" si="142"/>
        <v>45194</v>
      </c>
      <c r="H1366" s="11">
        <f t="shared" si="143"/>
        <v>2.4</v>
      </c>
      <c r="I1366" s="10">
        <f t="shared" si="144"/>
        <v>2.4</v>
      </c>
      <c r="J1366" s="10">
        <f t="shared" si="145"/>
        <v>7.2</v>
      </c>
      <c r="K1366" s="10">
        <f t="shared" si="147"/>
        <v>23.599999999999998</v>
      </c>
      <c r="L1366" s="10">
        <f t="shared" si="146"/>
        <v>138.5</v>
      </c>
    </row>
    <row r="1367" spans="1:12" x14ac:dyDescent="0.25">
      <c r="A1367" s="7">
        <v>45197</v>
      </c>
      <c r="B1367" t="s">
        <v>426</v>
      </c>
      <c r="C1367" s="6">
        <v>6230</v>
      </c>
      <c r="D1367" s="1" t="s">
        <v>445</v>
      </c>
      <c r="E1367" s="1">
        <v>0.41666666666666669</v>
      </c>
      <c r="F1367" s="1">
        <v>0.45833333333333331</v>
      </c>
      <c r="G1367" s="9">
        <f t="shared" si="142"/>
        <v>45194</v>
      </c>
      <c r="H1367" s="11">
        <f t="shared" si="143"/>
        <v>1</v>
      </c>
      <c r="I1367" s="10">
        <f t="shared" si="144"/>
        <v>3.4</v>
      </c>
      <c r="J1367" s="10">
        <f t="shared" si="145"/>
        <v>7.2</v>
      </c>
      <c r="K1367" s="10">
        <f t="shared" si="147"/>
        <v>24.6</v>
      </c>
      <c r="L1367" s="10">
        <f t="shared" si="146"/>
        <v>139.5</v>
      </c>
    </row>
    <row r="1368" spans="1:12" x14ac:dyDescent="0.25">
      <c r="A1368" s="7">
        <v>45197</v>
      </c>
      <c r="B1368" t="s">
        <v>6</v>
      </c>
      <c r="C1368" s="6" t="s">
        <v>416</v>
      </c>
      <c r="D1368" s="1" t="s">
        <v>444</v>
      </c>
      <c r="E1368" s="1">
        <v>0.45833333333333331</v>
      </c>
      <c r="F1368" s="1">
        <v>0.47986111111111113</v>
      </c>
      <c r="G1368" s="9">
        <f t="shared" si="142"/>
        <v>45194</v>
      </c>
      <c r="H1368" s="11">
        <f t="shared" si="143"/>
        <v>0.5</v>
      </c>
      <c r="I1368" s="10">
        <f t="shared" si="144"/>
        <v>3.9</v>
      </c>
      <c r="J1368" s="10">
        <f t="shared" si="145"/>
        <v>7.2</v>
      </c>
      <c r="K1368" s="10">
        <f t="shared" si="147"/>
        <v>25.1</v>
      </c>
      <c r="L1368" s="10">
        <f t="shared" si="146"/>
        <v>140</v>
      </c>
    </row>
    <row r="1369" spans="1:12" x14ac:dyDescent="0.25">
      <c r="A1369" s="7">
        <v>45197</v>
      </c>
      <c r="B1369" t="s">
        <v>426</v>
      </c>
      <c r="C1369" s="6">
        <v>6230</v>
      </c>
      <c r="D1369" s="1" t="s">
        <v>443</v>
      </c>
      <c r="E1369" s="1">
        <v>0.49305555555555558</v>
      </c>
      <c r="F1369" s="1">
        <v>0.65555555555555556</v>
      </c>
      <c r="G1369" s="9">
        <f t="shared" si="142"/>
        <v>45194</v>
      </c>
      <c r="H1369" s="11">
        <f t="shared" si="143"/>
        <v>3.9</v>
      </c>
      <c r="I1369" s="10">
        <f t="shared" si="144"/>
        <v>7.8</v>
      </c>
      <c r="J1369" s="10">
        <f t="shared" si="145"/>
        <v>7.2</v>
      </c>
      <c r="K1369" s="10">
        <f t="shared" si="147"/>
        <v>29</v>
      </c>
      <c r="L1369" s="10">
        <f t="shared" si="146"/>
        <v>143.9</v>
      </c>
    </row>
    <row r="1370" spans="1:12" x14ac:dyDescent="0.25">
      <c r="A1370" s="7">
        <v>45198</v>
      </c>
      <c r="B1370" t="s">
        <v>6</v>
      </c>
      <c r="C1370" s="6" t="s">
        <v>416</v>
      </c>
      <c r="D1370" s="1" t="s">
        <v>138</v>
      </c>
      <c r="E1370" s="1">
        <v>0.33333333333333331</v>
      </c>
      <c r="F1370" s="1">
        <v>0.41944444444444445</v>
      </c>
      <c r="G1370" s="9">
        <f t="shared" si="142"/>
        <v>45194</v>
      </c>
      <c r="H1370" s="11">
        <f t="shared" si="143"/>
        <v>2.1</v>
      </c>
      <c r="I1370" s="10">
        <f t="shared" si="144"/>
        <v>2.1</v>
      </c>
      <c r="J1370" s="10">
        <f t="shared" si="145"/>
        <v>7.2</v>
      </c>
      <c r="K1370" s="10">
        <f t="shared" si="147"/>
        <v>31.1</v>
      </c>
      <c r="L1370" s="10">
        <f t="shared" si="146"/>
        <v>146</v>
      </c>
    </row>
    <row r="1371" spans="1:12" x14ac:dyDescent="0.25">
      <c r="A1371" s="7">
        <v>45198</v>
      </c>
      <c r="B1371" t="s">
        <v>6</v>
      </c>
      <c r="C1371" s="6" t="s">
        <v>416</v>
      </c>
      <c r="D1371" s="1" t="s">
        <v>449</v>
      </c>
      <c r="E1371" s="1">
        <v>0.41944444444444445</v>
      </c>
      <c r="F1371" s="1">
        <v>0.46458333333333335</v>
      </c>
      <c r="G1371" s="9">
        <f t="shared" si="142"/>
        <v>45194</v>
      </c>
      <c r="H1371" s="11">
        <f t="shared" si="143"/>
        <v>1.1000000000000001</v>
      </c>
      <c r="I1371" s="10">
        <f t="shared" si="144"/>
        <v>3.2</v>
      </c>
      <c r="J1371" s="10">
        <f t="shared" si="145"/>
        <v>7.2</v>
      </c>
      <c r="K1371" s="10">
        <f t="shared" si="147"/>
        <v>32.200000000000003</v>
      </c>
      <c r="L1371" s="10">
        <f t="shared" si="146"/>
        <v>147.1</v>
      </c>
    </row>
    <row r="1372" spans="1:12" x14ac:dyDescent="0.25">
      <c r="A1372" s="7">
        <v>45198</v>
      </c>
      <c r="B1372" t="s">
        <v>6</v>
      </c>
      <c r="C1372" s="6" t="s">
        <v>416</v>
      </c>
      <c r="D1372" s="1" t="s">
        <v>449</v>
      </c>
      <c r="E1372" s="1">
        <v>0.47083333333333338</v>
      </c>
      <c r="F1372" s="1">
        <v>0.58333333333333337</v>
      </c>
      <c r="G1372" s="9">
        <f t="shared" si="142"/>
        <v>45194</v>
      </c>
      <c r="H1372" s="11">
        <f t="shared" si="143"/>
        <v>2.7</v>
      </c>
      <c r="I1372" s="10">
        <f t="shared" si="144"/>
        <v>5.9</v>
      </c>
      <c r="J1372" s="10">
        <f t="shared" si="145"/>
        <v>7.2</v>
      </c>
      <c r="K1372" s="10">
        <f t="shared" si="147"/>
        <v>34.900000000000006</v>
      </c>
      <c r="L1372" s="10">
        <f t="shared" si="146"/>
        <v>149.79999999999998</v>
      </c>
    </row>
    <row r="1373" spans="1:12" x14ac:dyDescent="0.25">
      <c r="A1373" s="7">
        <v>45198</v>
      </c>
      <c r="B1373" t="s">
        <v>6</v>
      </c>
      <c r="C1373" s="6" t="s">
        <v>416</v>
      </c>
      <c r="D1373" s="1" t="s">
        <v>444</v>
      </c>
      <c r="E1373" s="1">
        <v>0.58333333333333337</v>
      </c>
      <c r="F1373" s="1">
        <v>0.63472222222222219</v>
      </c>
      <c r="G1373" s="9">
        <f t="shared" si="142"/>
        <v>45194</v>
      </c>
      <c r="H1373" s="11">
        <f t="shared" si="143"/>
        <v>1.2</v>
      </c>
      <c r="I1373" s="10">
        <f t="shared" si="144"/>
        <v>7.1000000000000005</v>
      </c>
      <c r="J1373" s="10">
        <f t="shared" si="145"/>
        <v>7.2</v>
      </c>
      <c r="K1373" s="10">
        <f t="shared" si="147"/>
        <v>36.1</v>
      </c>
      <c r="L1373" s="10">
        <f t="shared" si="146"/>
        <v>151</v>
      </c>
    </row>
    <row r="1374" spans="1:12" x14ac:dyDescent="0.25">
      <c r="A1374" s="7">
        <v>45201</v>
      </c>
      <c r="B1374" t="s">
        <v>6</v>
      </c>
      <c r="C1374" s="6" t="s">
        <v>416</v>
      </c>
      <c r="D1374" s="1" t="s">
        <v>446</v>
      </c>
      <c r="E1374" s="1">
        <v>0.33888888888888885</v>
      </c>
      <c r="F1374" s="1">
        <v>0.52083333333333337</v>
      </c>
      <c r="G1374" s="9">
        <f t="shared" si="142"/>
        <v>45201</v>
      </c>
      <c r="H1374" s="11">
        <f t="shared" si="143"/>
        <v>4.4000000000000004</v>
      </c>
      <c r="I1374" s="10">
        <f t="shared" si="144"/>
        <v>4.4000000000000004</v>
      </c>
      <c r="J1374" s="10">
        <f t="shared" si="145"/>
        <v>7.2</v>
      </c>
      <c r="K1374" s="10">
        <f t="shared" si="147"/>
        <v>4.4000000000000004</v>
      </c>
      <c r="L1374" s="10">
        <f t="shared" si="146"/>
        <v>4.4000000000000004</v>
      </c>
    </row>
    <row r="1375" spans="1:12" x14ac:dyDescent="0.25">
      <c r="A1375" s="7">
        <v>45201</v>
      </c>
      <c r="B1375" t="s">
        <v>6</v>
      </c>
      <c r="C1375" s="6" t="s">
        <v>416</v>
      </c>
      <c r="D1375" s="1" t="s">
        <v>447</v>
      </c>
      <c r="E1375" s="1">
        <v>0.53194444444444444</v>
      </c>
      <c r="F1375" s="1">
        <v>0.54166666666666663</v>
      </c>
      <c r="G1375" s="9">
        <f t="shared" si="142"/>
        <v>45201</v>
      </c>
      <c r="H1375" s="11">
        <f t="shared" si="143"/>
        <v>0.2</v>
      </c>
      <c r="I1375" s="10">
        <f t="shared" si="144"/>
        <v>4.6000000000000005</v>
      </c>
      <c r="J1375" s="10">
        <f t="shared" si="145"/>
        <v>7.2</v>
      </c>
      <c r="K1375" s="10">
        <f t="shared" si="147"/>
        <v>4.6000000000000005</v>
      </c>
      <c r="L1375" s="10">
        <f t="shared" si="146"/>
        <v>4.6000000000000005</v>
      </c>
    </row>
    <row r="1376" spans="1:12" x14ac:dyDescent="0.25">
      <c r="A1376" s="7">
        <v>45201</v>
      </c>
      <c r="B1376" t="s">
        <v>6</v>
      </c>
      <c r="C1376" s="6" t="s">
        <v>416</v>
      </c>
      <c r="D1376" s="1" t="s">
        <v>428</v>
      </c>
      <c r="E1376" s="1">
        <v>0.54166666666666663</v>
      </c>
      <c r="F1376" s="1">
        <v>0.58194444444444449</v>
      </c>
      <c r="G1376" s="9">
        <f t="shared" si="142"/>
        <v>45201</v>
      </c>
      <c r="H1376" s="11">
        <f t="shared" si="143"/>
        <v>1</v>
      </c>
      <c r="I1376" s="10">
        <f t="shared" si="144"/>
        <v>5.6</v>
      </c>
      <c r="J1376" s="10">
        <f t="shared" si="145"/>
        <v>7.2</v>
      </c>
      <c r="K1376" s="10">
        <f t="shared" si="147"/>
        <v>5.6</v>
      </c>
      <c r="L1376" s="10">
        <f t="shared" si="146"/>
        <v>5.6</v>
      </c>
    </row>
    <row r="1377" spans="1:12" x14ac:dyDescent="0.25">
      <c r="A1377" s="7">
        <v>45201</v>
      </c>
      <c r="B1377" t="s">
        <v>6</v>
      </c>
      <c r="C1377" s="6" t="s">
        <v>416</v>
      </c>
      <c r="D1377" s="1" t="s">
        <v>447</v>
      </c>
      <c r="E1377" s="1">
        <v>0.58194444444444449</v>
      </c>
      <c r="F1377" s="1">
        <v>0.6430555555555556</v>
      </c>
      <c r="G1377" s="9">
        <f t="shared" si="142"/>
        <v>45201</v>
      </c>
      <c r="H1377" s="11">
        <f t="shared" si="143"/>
        <v>1.5</v>
      </c>
      <c r="I1377" s="10">
        <f t="shared" si="144"/>
        <v>7.1</v>
      </c>
      <c r="J1377" s="10">
        <f t="shared" si="145"/>
        <v>7.2</v>
      </c>
      <c r="K1377" s="10">
        <f t="shared" si="147"/>
        <v>7.1</v>
      </c>
      <c r="L1377" s="10">
        <f t="shared" si="146"/>
        <v>7.1</v>
      </c>
    </row>
    <row r="1378" spans="1:12" x14ac:dyDescent="0.25">
      <c r="A1378" s="7">
        <v>45202</v>
      </c>
      <c r="B1378" t="s">
        <v>6</v>
      </c>
      <c r="C1378" s="6" t="s">
        <v>416</v>
      </c>
      <c r="D1378" s="1" t="s">
        <v>448</v>
      </c>
      <c r="E1378" s="1">
        <v>0.31527777777777777</v>
      </c>
      <c r="F1378" s="1">
        <v>0.41666666666666669</v>
      </c>
      <c r="G1378" s="9">
        <f t="shared" si="142"/>
        <v>45201</v>
      </c>
      <c r="H1378" s="11">
        <f t="shared" si="143"/>
        <v>2.4</v>
      </c>
      <c r="I1378" s="10">
        <f t="shared" si="144"/>
        <v>2.4</v>
      </c>
      <c r="J1378" s="10">
        <f t="shared" si="145"/>
        <v>7.2</v>
      </c>
      <c r="K1378" s="10">
        <f t="shared" si="147"/>
        <v>9.5</v>
      </c>
      <c r="L1378" s="10">
        <f t="shared" si="146"/>
        <v>9.5</v>
      </c>
    </row>
    <row r="1379" spans="1:12" x14ac:dyDescent="0.25">
      <c r="A1379" s="7">
        <v>45202</v>
      </c>
      <c r="B1379" t="s">
        <v>6</v>
      </c>
      <c r="C1379" s="6" t="s">
        <v>416</v>
      </c>
      <c r="D1379" s="1" t="s">
        <v>241</v>
      </c>
      <c r="E1379" s="1">
        <v>0.41666666666666669</v>
      </c>
      <c r="F1379" s="1">
        <v>0.44513888888888892</v>
      </c>
      <c r="G1379" s="9">
        <f t="shared" si="142"/>
        <v>45201</v>
      </c>
      <c r="H1379" s="11">
        <f t="shared" si="143"/>
        <v>0.7</v>
      </c>
      <c r="I1379" s="10">
        <f t="shared" si="144"/>
        <v>3.0999999999999996</v>
      </c>
      <c r="J1379" s="10">
        <f t="shared" si="145"/>
        <v>7.2</v>
      </c>
      <c r="K1379" s="10">
        <f t="shared" si="147"/>
        <v>10.199999999999999</v>
      </c>
      <c r="L1379" s="10">
        <f t="shared" si="146"/>
        <v>10.199999999999999</v>
      </c>
    </row>
    <row r="1380" spans="1:12" x14ac:dyDescent="0.25">
      <c r="A1380" s="7">
        <v>45202</v>
      </c>
      <c r="B1380" t="s">
        <v>6</v>
      </c>
      <c r="C1380" s="6" t="s">
        <v>416</v>
      </c>
      <c r="D1380" s="1" t="s">
        <v>448</v>
      </c>
      <c r="E1380" s="1">
        <v>0.44513888888888892</v>
      </c>
      <c r="F1380" s="1">
        <v>0.48888888888888887</v>
      </c>
      <c r="G1380" s="9">
        <f t="shared" si="142"/>
        <v>45201</v>
      </c>
      <c r="H1380" s="11">
        <f t="shared" si="143"/>
        <v>1.1000000000000001</v>
      </c>
      <c r="I1380" s="10">
        <f t="shared" si="144"/>
        <v>4.2</v>
      </c>
      <c r="J1380" s="10">
        <f t="shared" si="145"/>
        <v>7.2</v>
      </c>
      <c r="K1380" s="10">
        <f t="shared" si="147"/>
        <v>11.299999999999999</v>
      </c>
      <c r="L1380" s="10">
        <f t="shared" si="146"/>
        <v>11.299999999999999</v>
      </c>
    </row>
    <row r="1381" spans="1:12" x14ac:dyDescent="0.25">
      <c r="A1381" s="7">
        <v>45202</v>
      </c>
      <c r="B1381" t="s">
        <v>6</v>
      </c>
      <c r="C1381" s="6" t="s">
        <v>416</v>
      </c>
      <c r="D1381" s="1" t="s">
        <v>448</v>
      </c>
      <c r="E1381" s="1">
        <v>0.52430555555555558</v>
      </c>
      <c r="F1381" s="1">
        <v>0.58333333333333337</v>
      </c>
      <c r="G1381" s="9">
        <f t="shared" si="142"/>
        <v>45201</v>
      </c>
      <c r="H1381" s="11">
        <f t="shared" si="143"/>
        <v>1.4</v>
      </c>
      <c r="I1381" s="10">
        <f t="shared" si="144"/>
        <v>5.6</v>
      </c>
      <c r="J1381" s="10">
        <f t="shared" si="145"/>
        <v>7.2</v>
      </c>
      <c r="K1381" s="10">
        <f t="shared" si="147"/>
        <v>12.700000000000001</v>
      </c>
      <c r="L1381" s="10">
        <f t="shared" si="146"/>
        <v>12.700000000000001</v>
      </c>
    </row>
    <row r="1382" spans="1:12" x14ac:dyDescent="0.25">
      <c r="A1382" s="7">
        <v>45202</v>
      </c>
      <c r="B1382" t="s">
        <v>6</v>
      </c>
      <c r="C1382" s="6" t="s">
        <v>416</v>
      </c>
      <c r="D1382" s="1" t="s">
        <v>71</v>
      </c>
      <c r="E1382" s="1">
        <v>0.58333333333333337</v>
      </c>
      <c r="F1382" s="1">
        <v>0.63124999999999998</v>
      </c>
      <c r="G1382" s="9">
        <f t="shared" si="142"/>
        <v>45201</v>
      </c>
      <c r="H1382" s="11">
        <f t="shared" si="143"/>
        <v>1.2</v>
      </c>
      <c r="I1382" s="10">
        <f t="shared" si="144"/>
        <v>6.8</v>
      </c>
      <c r="J1382" s="10">
        <f t="shared" si="145"/>
        <v>7.2</v>
      </c>
      <c r="K1382" s="10">
        <f t="shared" si="147"/>
        <v>13.899999999999999</v>
      </c>
      <c r="L1382" s="10">
        <f t="shared" si="146"/>
        <v>13.899999999999999</v>
      </c>
    </row>
    <row r="1383" spans="1:12" x14ac:dyDescent="0.25">
      <c r="A1383" s="7">
        <v>45203</v>
      </c>
      <c r="B1383" t="s">
        <v>6</v>
      </c>
      <c r="C1383" s="6" t="s">
        <v>416</v>
      </c>
      <c r="D1383" s="1" t="s">
        <v>448</v>
      </c>
      <c r="E1383" s="1">
        <v>0.34097222222222223</v>
      </c>
      <c r="F1383" s="1">
        <v>0.375</v>
      </c>
      <c r="G1383" s="9">
        <f t="shared" si="142"/>
        <v>45201</v>
      </c>
      <c r="H1383" s="11">
        <f t="shared" si="143"/>
        <v>0.8</v>
      </c>
      <c r="I1383" s="10">
        <f t="shared" si="144"/>
        <v>0.8</v>
      </c>
      <c r="J1383" s="10">
        <f t="shared" si="145"/>
        <v>7.2</v>
      </c>
      <c r="K1383" s="10">
        <f t="shared" si="147"/>
        <v>14.700000000000001</v>
      </c>
      <c r="L1383" s="10">
        <f t="shared" si="146"/>
        <v>14.700000000000001</v>
      </c>
    </row>
    <row r="1384" spans="1:12" x14ac:dyDescent="0.25">
      <c r="A1384" s="7">
        <v>45203</v>
      </c>
      <c r="B1384" t="s">
        <v>426</v>
      </c>
      <c r="C1384" s="6">
        <v>6230</v>
      </c>
      <c r="D1384" s="1" t="s">
        <v>44</v>
      </c>
      <c r="E1384" s="1">
        <v>0.375</v>
      </c>
      <c r="F1384" s="1">
        <v>0.40625</v>
      </c>
      <c r="G1384" s="9">
        <f t="shared" si="142"/>
        <v>45201</v>
      </c>
      <c r="H1384" s="11">
        <f t="shared" si="143"/>
        <v>0.8</v>
      </c>
      <c r="I1384" s="10">
        <f t="shared" si="144"/>
        <v>1.6</v>
      </c>
      <c r="J1384" s="10">
        <f t="shared" si="145"/>
        <v>7.2</v>
      </c>
      <c r="K1384" s="10">
        <f t="shared" si="147"/>
        <v>15.5</v>
      </c>
      <c r="L1384" s="10">
        <f t="shared" si="146"/>
        <v>15.5</v>
      </c>
    </row>
    <row r="1385" spans="1:12" x14ac:dyDescent="0.25">
      <c r="A1385" s="7">
        <v>45203</v>
      </c>
      <c r="B1385" t="s">
        <v>6</v>
      </c>
      <c r="C1385" s="6" t="s">
        <v>416</v>
      </c>
      <c r="D1385" s="1" t="s">
        <v>448</v>
      </c>
      <c r="E1385" s="1">
        <v>0.40625</v>
      </c>
      <c r="F1385" s="1">
        <v>0.48472222222222222</v>
      </c>
      <c r="G1385" s="9">
        <f t="shared" si="142"/>
        <v>45201</v>
      </c>
      <c r="H1385" s="11">
        <f t="shared" si="143"/>
        <v>1.9</v>
      </c>
      <c r="I1385" s="10">
        <f t="shared" si="144"/>
        <v>3.5</v>
      </c>
      <c r="J1385" s="10">
        <f t="shared" si="145"/>
        <v>7.2</v>
      </c>
      <c r="K1385" s="10">
        <f t="shared" si="147"/>
        <v>17.399999999999999</v>
      </c>
      <c r="L1385" s="10">
        <f t="shared" si="146"/>
        <v>17.399999999999999</v>
      </c>
    </row>
    <row r="1386" spans="1:12" x14ac:dyDescent="0.25">
      <c r="A1386" s="7">
        <v>45203</v>
      </c>
      <c r="B1386" t="s">
        <v>6</v>
      </c>
      <c r="C1386" s="6" t="s">
        <v>416</v>
      </c>
      <c r="D1386" s="1" t="s">
        <v>448</v>
      </c>
      <c r="E1386" s="1">
        <v>0.49791666666666662</v>
      </c>
      <c r="F1386" s="1">
        <v>0.52916666666666667</v>
      </c>
      <c r="G1386" s="9">
        <f t="shared" si="142"/>
        <v>45201</v>
      </c>
      <c r="H1386" s="11">
        <f t="shared" si="143"/>
        <v>0.8</v>
      </c>
      <c r="I1386" s="10">
        <f t="shared" si="144"/>
        <v>4.3</v>
      </c>
      <c r="J1386" s="10">
        <f t="shared" si="145"/>
        <v>7.2</v>
      </c>
      <c r="K1386" s="10">
        <f t="shared" si="147"/>
        <v>18.2</v>
      </c>
      <c r="L1386" s="10">
        <f t="shared" si="146"/>
        <v>18.2</v>
      </c>
    </row>
    <row r="1387" spans="1:12" x14ac:dyDescent="0.25">
      <c r="A1387" s="7">
        <v>45203</v>
      </c>
      <c r="B1387" t="s">
        <v>426</v>
      </c>
      <c r="C1387" s="6">
        <v>6230</v>
      </c>
      <c r="D1387" s="1" t="s">
        <v>450</v>
      </c>
      <c r="E1387" s="1">
        <v>0.52916666666666667</v>
      </c>
      <c r="F1387" s="1">
        <v>0.67361111111111116</v>
      </c>
      <c r="G1387" s="9">
        <f t="shared" si="142"/>
        <v>45201</v>
      </c>
      <c r="H1387" s="11">
        <f t="shared" si="143"/>
        <v>3.5</v>
      </c>
      <c r="I1387" s="10">
        <f t="shared" si="144"/>
        <v>7.8</v>
      </c>
      <c r="J1387" s="10">
        <f t="shared" si="145"/>
        <v>7.2</v>
      </c>
      <c r="K1387" s="10">
        <f t="shared" si="147"/>
        <v>21.7</v>
      </c>
      <c r="L1387" s="10">
        <f t="shared" si="146"/>
        <v>21.7</v>
      </c>
    </row>
    <row r="1388" spans="1:12" x14ac:dyDescent="0.25">
      <c r="A1388" s="7">
        <v>45204</v>
      </c>
      <c r="B1388" t="s">
        <v>426</v>
      </c>
      <c r="C1388" s="6">
        <v>6230</v>
      </c>
      <c r="D1388" s="1" t="s">
        <v>450</v>
      </c>
      <c r="E1388" s="1">
        <v>0.29930555555555555</v>
      </c>
      <c r="F1388" s="1">
        <v>0.46111111111111108</v>
      </c>
      <c r="G1388" s="9">
        <f t="shared" si="142"/>
        <v>45201</v>
      </c>
      <c r="H1388" s="11">
        <f t="shared" si="143"/>
        <v>3.9</v>
      </c>
      <c r="I1388" s="10">
        <f t="shared" si="144"/>
        <v>3.9</v>
      </c>
      <c r="J1388" s="10">
        <f t="shared" si="145"/>
        <v>7.2</v>
      </c>
      <c r="K1388" s="10">
        <f t="shared" si="147"/>
        <v>25.599999999999998</v>
      </c>
      <c r="L1388" s="10">
        <f t="shared" si="146"/>
        <v>25.599999999999998</v>
      </c>
    </row>
    <row r="1389" spans="1:12" x14ac:dyDescent="0.25">
      <c r="A1389" s="7">
        <v>45204</v>
      </c>
      <c r="B1389" t="s">
        <v>6</v>
      </c>
      <c r="C1389" s="6" t="s">
        <v>416</v>
      </c>
      <c r="D1389" s="1" t="s">
        <v>448</v>
      </c>
      <c r="E1389" s="1">
        <v>0.4777777777777778</v>
      </c>
      <c r="F1389" s="1">
        <v>0.5625</v>
      </c>
      <c r="G1389" s="9">
        <f t="shared" ref="G1389:G1452" si="148">IF(E1389&gt;0,INT((A1389-2)/7)*7+2,"")</f>
        <v>45201</v>
      </c>
      <c r="H1389" s="11">
        <f t="shared" ref="H1389:H1452" si="149">IF(E1389&gt;0,ROUND(24*(IF(F1389&gt;0,F1389,NowTime)-E1389),1),"")</f>
        <v>2</v>
      </c>
      <c r="I1389" s="10">
        <f t="shared" ref="I1389:I1452" si="150">IF(H1389="",H1389,H1389+IF(A1389=A1388,_xlfn.NUMBERVALUE(I1388),0))</f>
        <v>5.9</v>
      </c>
      <c r="J1389" s="10">
        <f t="shared" ref="J1389:J1452" si="151">IF(H1389="",H1389,7.2)</f>
        <v>7.2</v>
      </c>
      <c r="K1389" s="10">
        <f t="shared" si="147"/>
        <v>27.6</v>
      </c>
      <c r="L1389" s="10">
        <f t="shared" ref="L1389:L1452" si="152">IF(H1389="",H1389,H1389+IF(MONTH(A1389)=MONTH(A1388),_xlfn.NUMBERVALUE(L1388),0))</f>
        <v>27.6</v>
      </c>
    </row>
    <row r="1390" spans="1:12" x14ac:dyDescent="0.25">
      <c r="A1390" s="7">
        <v>45204</v>
      </c>
      <c r="B1390" t="s">
        <v>6</v>
      </c>
      <c r="C1390" s="6" t="s">
        <v>416</v>
      </c>
      <c r="D1390" s="1" t="s">
        <v>451</v>
      </c>
      <c r="E1390" s="1">
        <v>0.5625</v>
      </c>
      <c r="F1390" s="1">
        <v>0.58333333333333337</v>
      </c>
      <c r="G1390" s="9">
        <f t="shared" si="148"/>
        <v>45201</v>
      </c>
      <c r="H1390" s="11">
        <f t="shared" si="149"/>
        <v>0.5</v>
      </c>
      <c r="I1390" s="10">
        <f t="shared" si="150"/>
        <v>6.4</v>
      </c>
      <c r="J1390" s="10">
        <f t="shared" si="151"/>
        <v>7.2</v>
      </c>
      <c r="K1390" s="10">
        <f t="shared" si="147"/>
        <v>28.1</v>
      </c>
      <c r="L1390" s="10">
        <f t="shared" si="152"/>
        <v>28.1</v>
      </c>
    </row>
    <row r="1391" spans="1:12" x14ac:dyDescent="0.25">
      <c r="A1391" s="7">
        <v>45204</v>
      </c>
      <c r="B1391" t="s">
        <v>6</v>
      </c>
      <c r="C1391" s="6" t="s">
        <v>416</v>
      </c>
      <c r="D1391" s="1" t="s">
        <v>448</v>
      </c>
      <c r="E1391" s="1">
        <v>0.58333333333333337</v>
      </c>
      <c r="F1391" s="1">
        <v>0.625</v>
      </c>
      <c r="G1391" s="9">
        <f t="shared" si="148"/>
        <v>45201</v>
      </c>
      <c r="H1391" s="11">
        <f t="shared" si="149"/>
        <v>1</v>
      </c>
      <c r="I1391" s="10">
        <f t="shared" si="150"/>
        <v>7.4</v>
      </c>
      <c r="J1391" s="10">
        <f t="shared" si="151"/>
        <v>7.2</v>
      </c>
      <c r="K1391" s="10">
        <f t="shared" si="147"/>
        <v>29.1</v>
      </c>
      <c r="L1391" s="10">
        <f t="shared" si="152"/>
        <v>29.1</v>
      </c>
    </row>
    <row r="1392" spans="1:12" x14ac:dyDescent="0.25">
      <c r="A1392" s="7">
        <v>45204</v>
      </c>
      <c r="B1392" t="s">
        <v>411</v>
      </c>
      <c r="C1392" s="6">
        <v>6181</v>
      </c>
      <c r="D1392" s="1" t="s">
        <v>452</v>
      </c>
      <c r="E1392" s="1">
        <v>0.625</v>
      </c>
      <c r="F1392" s="1">
        <v>0.68263888888888891</v>
      </c>
      <c r="G1392" s="9">
        <f t="shared" si="148"/>
        <v>45201</v>
      </c>
      <c r="H1392" s="11">
        <f t="shared" si="149"/>
        <v>1.4</v>
      </c>
      <c r="I1392" s="10">
        <f t="shared" si="150"/>
        <v>8.8000000000000007</v>
      </c>
      <c r="J1392" s="10">
        <f t="shared" si="151"/>
        <v>7.2</v>
      </c>
      <c r="K1392" s="10">
        <f t="shared" si="147"/>
        <v>30.5</v>
      </c>
      <c r="L1392" s="10">
        <f t="shared" si="152"/>
        <v>30.5</v>
      </c>
    </row>
    <row r="1393" spans="1:12" x14ac:dyDescent="0.25">
      <c r="A1393" s="7">
        <v>45205</v>
      </c>
      <c r="B1393" t="s">
        <v>411</v>
      </c>
      <c r="C1393" s="6">
        <v>6181</v>
      </c>
      <c r="D1393" s="1" t="s">
        <v>453</v>
      </c>
      <c r="E1393" s="1">
        <v>0.3444444444444445</v>
      </c>
      <c r="F1393" s="1">
        <v>0.60902777777777783</v>
      </c>
      <c r="G1393" s="9">
        <f t="shared" si="148"/>
        <v>45201</v>
      </c>
      <c r="H1393" s="11">
        <f t="shared" si="149"/>
        <v>6.4</v>
      </c>
      <c r="I1393" s="10">
        <f t="shared" si="150"/>
        <v>6.4</v>
      </c>
      <c r="J1393" s="10">
        <f t="shared" si="151"/>
        <v>7.2</v>
      </c>
      <c r="K1393" s="10">
        <f t="shared" si="147"/>
        <v>36.9</v>
      </c>
      <c r="L1393" s="10">
        <f t="shared" si="152"/>
        <v>36.9</v>
      </c>
    </row>
    <row r="1394" spans="1:12" x14ac:dyDescent="0.25">
      <c r="A1394" s="7">
        <v>45208</v>
      </c>
      <c r="B1394" t="s">
        <v>6</v>
      </c>
      <c r="C1394" s="6" t="s">
        <v>416</v>
      </c>
      <c r="D1394" s="1" t="s">
        <v>454</v>
      </c>
      <c r="E1394" s="1">
        <v>0.34930555555555554</v>
      </c>
      <c r="F1394" s="1">
        <v>0.50555555555555554</v>
      </c>
      <c r="G1394" s="9">
        <f t="shared" si="148"/>
        <v>45208</v>
      </c>
      <c r="H1394" s="11">
        <f t="shared" si="149"/>
        <v>3.8</v>
      </c>
      <c r="I1394" s="10">
        <f t="shared" si="150"/>
        <v>3.8</v>
      </c>
      <c r="J1394" s="10">
        <f t="shared" si="151"/>
        <v>7.2</v>
      </c>
      <c r="K1394" s="10">
        <f t="shared" si="147"/>
        <v>3.8</v>
      </c>
      <c r="L1394" s="10">
        <f t="shared" si="152"/>
        <v>40.699999999999996</v>
      </c>
    </row>
    <row r="1395" spans="1:12" x14ac:dyDescent="0.25">
      <c r="A1395" s="7">
        <v>45208</v>
      </c>
      <c r="B1395" t="s">
        <v>6</v>
      </c>
      <c r="C1395" s="6" t="s">
        <v>416</v>
      </c>
      <c r="D1395" s="1" t="s">
        <v>457</v>
      </c>
      <c r="E1395" s="1">
        <v>0.5229166666666667</v>
      </c>
      <c r="F1395" s="1">
        <v>0.54166666666666663</v>
      </c>
      <c r="G1395" s="9">
        <f t="shared" si="148"/>
        <v>45208</v>
      </c>
      <c r="H1395" s="11">
        <f t="shared" si="149"/>
        <v>0.4</v>
      </c>
      <c r="I1395" s="10">
        <f t="shared" si="150"/>
        <v>4.2</v>
      </c>
      <c r="J1395" s="10">
        <f t="shared" si="151"/>
        <v>7.2</v>
      </c>
      <c r="K1395" s="10">
        <f t="shared" si="147"/>
        <v>4.2</v>
      </c>
      <c r="L1395" s="10">
        <f t="shared" si="152"/>
        <v>41.1</v>
      </c>
    </row>
    <row r="1396" spans="1:12" x14ac:dyDescent="0.25">
      <c r="A1396" s="7">
        <v>45208</v>
      </c>
      <c r="B1396" t="s">
        <v>6</v>
      </c>
      <c r="C1396" s="6" t="s">
        <v>416</v>
      </c>
      <c r="D1396" s="1" t="s">
        <v>455</v>
      </c>
      <c r="E1396" s="1">
        <v>0.54166666666666663</v>
      </c>
      <c r="F1396" s="1">
        <v>0.58333333333333337</v>
      </c>
      <c r="G1396" s="9">
        <f t="shared" si="148"/>
        <v>45208</v>
      </c>
      <c r="H1396" s="11">
        <f t="shared" si="149"/>
        <v>1</v>
      </c>
      <c r="I1396" s="10">
        <f t="shared" si="150"/>
        <v>5.2</v>
      </c>
      <c r="J1396" s="10">
        <f t="shared" si="151"/>
        <v>7.2</v>
      </c>
      <c r="K1396" s="10">
        <f t="shared" si="147"/>
        <v>5.2</v>
      </c>
      <c r="L1396" s="10">
        <f t="shared" si="152"/>
        <v>42.1</v>
      </c>
    </row>
    <row r="1397" spans="1:12" x14ac:dyDescent="0.25">
      <c r="A1397" s="7">
        <v>45208</v>
      </c>
      <c r="B1397" t="s">
        <v>6</v>
      </c>
      <c r="C1397" s="6" t="s">
        <v>416</v>
      </c>
      <c r="D1397" s="1" t="s">
        <v>456</v>
      </c>
      <c r="E1397" s="1">
        <v>0.58333333333333337</v>
      </c>
      <c r="F1397" s="1">
        <v>0.62083333333333335</v>
      </c>
      <c r="G1397" s="9">
        <f t="shared" si="148"/>
        <v>45208</v>
      </c>
      <c r="H1397" s="11">
        <f t="shared" si="149"/>
        <v>0.9</v>
      </c>
      <c r="I1397" s="10">
        <f t="shared" si="150"/>
        <v>6.1000000000000005</v>
      </c>
      <c r="J1397" s="10">
        <f t="shared" si="151"/>
        <v>7.2</v>
      </c>
      <c r="K1397" s="10">
        <f t="shared" si="147"/>
        <v>6.1000000000000005</v>
      </c>
      <c r="L1397" s="10">
        <f t="shared" si="152"/>
        <v>43</v>
      </c>
    </row>
    <row r="1398" spans="1:12" x14ac:dyDescent="0.25">
      <c r="A1398" s="7">
        <v>45208</v>
      </c>
      <c r="B1398" t="s">
        <v>6</v>
      </c>
      <c r="C1398" s="6" t="s">
        <v>416</v>
      </c>
      <c r="D1398" s="1" t="s">
        <v>458</v>
      </c>
      <c r="E1398" s="1">
        <v>0.62083333333333335</v>
      </c>
      <c r="F1398" s="1">
        <v>0.65902777777777777</v>
      </c>
      <c r="G1398" s="9">
        <f t="shared" si="148"/>
        <v>45208</v>
      </c>
      <c r="H1398" s="11">
        <f t="shared" si="149"/>
        <v>0.9</v>
      </c>
      <c r="I1398" s="10">
        <f t="shared" si="150"/>
        <v>7</v>
      </c>
      <c r="J1398" s="10">
        <f t="shared" si="151"/>
        <v>7.2</v>
      </c>
      <c r="K1398" s="10">
        <f t="shared" si="147"/>
        <v>7</v>
      </c>
      <c r="L1398" s="10">
        <f t="shared" si="152"/>
        <v>43.9</v>
      </c>
    </row>
    <row r="1399" spans="1:12" x14ac:dyDescent="0.25">
      <c r="A1399" s="7">
        <v>45209</v>
      </c>
      <c r="B1399" t="s">
        <v>6</v>
      </c>
      <c r="C1399" s="6" t="s">
        <v>416</v>
      </c>
      <c r="D1399" s="1" t="s">
        <v>458</v>
      </c>
      <c r="E1399" s="1">
        <v>0.34375</v>
      </c>
      <c r="F1399" s="1">
        <v>0.44861111111111113</v>
      </c>
      <c r="G1399" s="9">
        <f t="shared" si="148"/>
        <v>45208</v>
      </c>
      <c r="H1399" s="11">
        <f t="shared" si="149"/>
        <v>2.5</v>
      </c>
      <c r="I1399" s="10">
        <f t="shared" si="150"/>
        <v>2.5</v>
      </c>
      <c r="J1399" s="10">
        <f t="shared" si="151"/>
        <v>7.2</v>
      </c>
      <c r="K1399" s="10">
        <f t="shared" si="147"/>
        <v>9.5</v>
      </c>
      <c r="L1399" s="10">
        <f t="shared" si="152"/>
        <v>46.4</v>
      </c>
    </row>
    <row r="1400" spans="1:12" x14ac:dyDescent="0.25">
      <c r="A1400" s="7">
        <v>45209</v>
      </c>
      <c r="B1400" t="s">
        <v>6</v>
      </c>
      <c r="C1400" s="6" t="s">
        <v>416</v>
      </c>
      <c r="D1400" s="1" t="s">
        <v>448</v>
      </c>
      <c r="E1400" s="1">
        <v>0.44861111111111113</v>
      </c>
      <c r="F1400" s="1">
        <v>0.49583333333333335</v>
      </c>
      <c r="G1400" s="9">
        <f t="shared" si="148"/>
        <v>45208</v>
      </c>
      <c r="H1400" s="11">
        <f t="shared" si="149"/>
        <v>1.1000000000000001</v>
      </c>
      <c r="I1400" s="10">
        <f t="shared" si="150"/>
        <v>3.6</v>
      </c>
      <c r="J1400" s="10">
        <f t="shared" si="151"/>
        <v>7.2</v>
      </c>
      <c r="K1400" s="10">
        <f t="shared" si="147"/>
        <v>10.6</v>
      </c>
      <c r="L1400" s="10">
        <f t="shared" si="152"/>
        <v>47.5</v>
      </c>
    </row>
    <row r="1401" spans="1:12" x14ac:dyDescent="0.25">
      <c r="A1401" s="7">
        <v>45209</v>
      </c>
      <c r="B1401" t="s">
        <v>6</v>
      </c>
      <c r="C1401" s="6" t="s">
        <v>416</v>
      </c>
      <c r="D1401" s="1" t="s">
        <v>448</v>
      </c>
      <c r="E1401" s="1">
        <v>0.51180555555555551</v>
      </c>
      <c r="F1401" s="1">
        <v>0.58333333333333337</v>
      </c>
      <c r="G1401" s="9">
        <f t="shared" si="148"/>
        <v>45208</v>
      </c>
      <c r="H1401" s="11">
        <f t="shared" si="149"/>
        <v>1.7</v>
      </c>
      <c r="I1401" s="10">
        <f t="shared" si="150"/>
        <v>5.3</v>
      </c>
      <c r="J1401" s="10">
        <f t="shared" si="151"/>
        <v>7.2</v>
      </c>
      <c r="K1401" s="10">
        <f t="shared" si="147"/>
        <v>12.299999999999999</v>
      </c>
      <c r="L1401" s="10">
        <f t="shared" si="152"/>
        <v>49.2</v>
      </c>
    </row>
    <row r="1402" spans="1:12" x14ac:dyDescent="0.25">
      <c r="A1402" s="7">
        <v>45209</v>
      </c>
      <c r="B1402" t="s">
        <v>311</v>
      </c>
      <c r="C1402" s="6">
        <v>2008</v>
      </c>
      <c r="D1402" s="1" t="s">
        <v>44</v>
      </c>
      <c r="E1402" s="1">
        <v>0.58333333333333337</v>
      </c>
      <c r="F1402" s="1">
        <v>0.66666666666666663</v>
      </c>
      <c r="G1402" s="9">
        <f t="shared" si="148"/>
        <v>45208</v>
      </c>
      <c r="H1402" s="11">
        <f t="shared" si="149"/>
        <v>2</v>
      </c>
      <c r="I1402" s="10">
        <f t="shared" si="150"/>
        <v>7.3</v>
      </c>
      <c r="J1402" s="10">
        <f t="shared" si="151"/>
        <v>7.2</v>
      </c>
      <c r="K1402" s="10">
        <f t="shared" si="147"/>
        <v>14.3</v>
      </c>
      <c r="L1402" s="10">
        <f t="shared" si="152"/>
        <v>51.2</v>
      </c>
    </row>
    <row r="1403" spans="1:12" x14ac:dyDescent="0.25">
      <c r="A1403" s="7">
        <v>45210</v>
      </c>
      <c r="B1403" t="s">
        <v>6</v>
      </c>
      <c r="C1403" s="6" t="s">
        <v>416</v>
      </c>
      <c r="D1403" s="1" t="s">
        <v>448</v>
      </c>
      <c r="E1403" s="1">
        <v>0.30763888888888891</v>
      </c>
      <c r="F1403" s="1">
        <v>0.41666666666666669</v>
      </c>
      <c r="G1403" s="9">
        <f t="shared" si="148"/>
        <v>45208</v>
      </c>
      <c r="H1403" s="11">
        <f t="shared" si="149"/>
        <v>2.6</v>
      </c>
      <c r="I1403" s="10">
        <f t="shared" si="150"/>
        <v>2.6</v>
      </c>
      <c r="J1403" s="10">
        <f t="shared" si="151"/>
        <v>7.2</v>
      </c>
      <c r="K1403" s="10">
        <f t="shared" si="147"/>
        <v>16.900000000000002</v>
      </c>
      <c r="L1403" s="10">
        <f t="shared" si="152"/>
        <v>53.800000000000004</v>
      </c>
    </row>
    <row r="1404" spans="1:12" x14ac:dyDescent="0.25">
      <c r="A1404" s="7">
        <v>45210</v>
      </c>
      <c r="B1404" t="s">
        <v>426</v>
      </c>
      <c r="C1404" s="6">
        <v>6230</v>
      </c>
      <c r="D1404" s="1" t="s">
        <v>459</v>
      </c>
      <c r="E1404" s="1">
        <v>0.41666666666666669</v>
      </c>
      <c r="F1404" s="1">
        <v>0.4777777777777778</v>
      </c>
      <c r="G1404" s="9">
        <f t="shared" si="148"/>
        <v>45208</v>
      </c>
      <c r="H1404" s="11">
        <f t="shared" si="149"/>
        <v>1.5</v>
      </c>
      <c r="I1404" s="10">
        <f t="shared" si="150"/>
        <v>4.0999999999999996</v>
      </c>
      <c r="J1404" s="10">
        <f t="shared" si="151"/>
        <v>7.2</v>
      </c>
      <c r="K1404" s="10">
        <f t="shared" si="147"/>
        <v>18.399999999999999</v>
      </c>
      <c r="L1404" s="10">
        <f t="shared" si="152"/>
        <v>55.3</v>
      </c>
    </row>
    <row r="1405" spans="1:12" x14ac:dyDescent="0.25">
      <c r="A1405" s="7">
        <v>45210</v>
      </c>
      <c r="B1405" t="s">
        <v>426</v>
      </c>
      <c r="C1405" s="6">
        <v>6230</v>
      </c>
      <c r="D1405" s="1" t="s">
        <v>329</v>
      </c>
      <c r="E1405" s="1">
        <v>0.48958333333333331</v>
      </c>
      <c r="F1405" s="1">
        <v>0.58333333333333337</v>
      </c>
      <c r="G1405" s="9">
        <f t="shared" si="148"/>
        <v>45208</v>
      </c>
      <c r="H1405" s="11">
        <f t="shared" si="149"/>
        <v>2.2999999999999998</v>
      </c>
      <c r="I1405" s="10">
        <f t="shared" si="150"/>
        <v>6.3999999999999995</v>
      </c>
      <c r="J1405" s="10">
        <f t="shared" si="151"/>
        <v>7.2</v>
      </c>
      <c r="K1405" s="10">
        <f t="shared" si="147"/>
        <v>20.7</v>
      </c>
      <c r="L1405" s="10">
        <f t="shared" si="152"/>
        <v>57.599999999999994</v>
      </c>
    </row>
    <row r="1406" spans="1:12" x14ac:dyDescent="0.25">
      <c r="A1406" s="7">
        <v>45210</v>
      </c>
      <c r="B1406" t="s">
        <v>6</v>
      </c>
      <c r="C1406" s="6" t="s">
        <v>416</v>
      </c>
      <c r="D1406" s="1" t="s">
        <v>451</v>
      </c>
      <c r="E1406" s="1">
        <v>0.58333333333333337</v>
      </c>
      <c r="F1406" s="1">
        <v>0.6020833333333333</v>
      </c>
      <c r="G1406" s="9">
        <f t="shared" si="148"/>
        <v>45208</v>
      </c>
      <c r="H1406" s="11">
        <f t="shared" si="149"/>
        <v>0.4</v>
      </c>
      <c r="I1406" s="10">
        <f t="shared" si="150"/>
        <v>6.8000000000000007</v>
      </c>
      <c r="J1406" s="10">
        <f t="shared" si="151"/>
        <v>7.2</v>
      </c>
      <c r="K1406" s="10">
        <f t="shared" si="147"/>
        <v>21.099999999999998</v>
      </c>
      <c r="L1406" s="10">
        <f t="shared" si="152"/>
        <v>58</v>
      </c>
    </row>
    <row r="1407" spans="1:12" x14ac:dyDescent="0.25">
      <c r="A1407" s="7">
        <v>45210</v>
      </c>
      <c r="B1407" t="s">
        <v>426</v>
      </c>
      <c r="C1407" s="6">
        <v>6230</v>
      </c>
      <c r="D1407" s="1" t="s">
        <v>329</v>
      </c>
      <c r="E1407" s="1">
        <v>0.6020833333333333</v>
      </c>
      <c r="F1407" s="1">
        <v>0.65902777777777777</v>
      </c>
      <c r="G1407" s="9">
        <f t="shared" si="148"/>
        <v>45208</v>
      </c>
      <c r="H1407" s="11">
        <f t="shared" si="149"/>
        <v>1.4</v>
      </c>
      <c r="I1407" s="10">
        <f t="shared" si="150"/>
        <v>8.1999999999999993</v>
      </c>
      <c r="J1407" s="10">
        <f t="shared" si="151"/>
        <v>7.2</v>
      </c>
      <c r="K1407" s="10">
        <f t="shared" si="147"/>
        <v>22.5</v>
      </c>
      <c r="L1407" s="10">
        <f t="shared" si="152"/>
        <v>59.4</v>
      </c>
    </row>
    <row r="1408" spans="1:12" x14ac:dyDescent="0.25">
      <c r="A1408" s="7">
        <v>45211</v>
      </c>
      <c r="B1408" t="s">
        <v>426</v>
      </c>
      <c r="C1408" s="6">
        <v>6230</v>
      </c>
      <c r="D1408" s="1" t="s">
        <v>329</v>
      </c>
      <c r="E1408" s="1">
        <v>0.35694444444444445</v>
      </c>
      <c r="F1408" s="1">
        <v>0.45833333333333331</v>
      </c>
      <c r="G1408" s="9">
        <f t="shared" si="148"/>
        <v>45208</v>
      </c>
      <c r="H1408" s="11">
        <f t="shared" si="149"/>
        <v>2.4</v>
      </c>
      <c r="I1408" s="10">
        <f t="shared" si="150"/>
        <v>2.4</v>
      </c>
      <c r="J1408" s="10">
        <f t="shared" si="151"/>
        <v>7.2</v>
      </c>
      <c r="K1408" s="10">
        <f t="shared" si="147"/>
        <v>24.9</v>
      </c>
      <c r="L1408" s="10">
        <f t="shared" si="152"/>
        <v>61.8</v>
      </c>
    </row>
    <row r="1409" spans="1:12" x14ac:dyDescent="0.25">
      <c r="A1409" s="7">
        <v>45211</v>
      </c>
      <c r="B1409" t="s">
        <v>411</v>
      </c>
      <c r="C1409" s="6">
        <v>6181</v>
      </c>
      <c r="D1409" s="1" t="s">
        <v>460</v>
      </c>
      <c r="E1409" s="1">
        <v>0.45833333333333331</v>
      </c>
      <c r="F1409" s="1">
        <v>0.49583333333333335</v>
      </c>
      <c r="G1409" s="9">
        <f t="shared" si="148"/>
        <v>45208</v>
      </c>
      <c r="H1409" s="11">
        <f t="shared" si="149"/>
        <v>0.9</v>
      </c>
      <c r="I1409" s="10">
        <f t="shared" si="150"/>
        <v>3.3</v>
      </c>
      <c r="J1409" s="10">
        <f t="shared" si="151"/>
        <v>7.2</v>
      </c>
      <c r="K1409" s="10">
        <f t="shared" si="147"/>
        <v>25.799999999999997</v>
      </c>
      <c r="L1409" s="10">
        <f t="shared" si="152"/>
        <v>62.699999999999996</v>
      </c>
    </row>
    <row r="1410" spans="1:12" x14ac:dyDescent="0.25">
      <c r="A1410" s="7">
        <v>45211</v>
      </c>
      <c r="B1410" t="s">
        <v>426</v>
      </c>
      <c r="C1410" s="6">
        <v>6230</v>
      </c>
      <c r="D1410" s="1" t="s">
        <v>329</v>
      </c>
      <c r="E1410" s="1">
        <v>0.52638888888888891</v>
      </c>
      <c r="F1410" s="1">
        <v>0.65416666666666667</v>
      </c>
      <c r="G1410" s="9">
        <f t="shared" si="148"/>
        <v>45208</v>
      </c>
      <c r="H1410" s="11">
        <f t="shared" si="149"/>
        <v>3.1</v>
      </c>
      <c r="I1410" s="10">
        <f t="shared" si="150"/>
        <v>6.4</v>
      </c>
      <c r="J1410" s="10">
        <f t="shared" si="151"/>
        <v>7.2</v>
      </c>
      <c r="K1410" s="10">
        <f t="shared" si="147"/>
        <v>28.900000000000002</v>
      </c>
      <c r="L1410" s="10">
        <f t="shared" si="152"/>
        <v>65.8</v>
      </c>
    </row>
    <row r="1411" spans="1:12" x14ac:dyDescent="0.25">
      <c r="A1411" s="7">
        <v>45212</v>
      </c>
      <c r="B1411" t="s">
        <v>426</v>
      </c>
      <c r="C1411" s="6">
        <v>6230</v>
      </c>
      <c r="D1411" s="1" t="s">
        <v>329</v>
      </c>
      <c r="E1411" s="1">
        <v>0.31666666666666665</v>
      </c>
      <c r="F1411" s="1">
        <v>0.48888888888888887</v>
      </c>
      <c r="G1411" s="9">
        <f t="shared" si="148"/>
        <v>45208</v>
      </c>
      <c r="H1411" s="11">
        <f t="shared" si="149"/>
        <v>4.0999999999999996</v>
      </c>
      <c r="I1411" s="10">
        <f t="shared" si="150"/>
        <v>4.0999999999999996</v>
      </c>
      <c r="J1411" s="10">
        <f t="shared" si="151"/>
        <v>7.2</v>
      </c>
      <c r="K1411" s="10">
        <f t="shared" ref="K1411:K1474" si="153">IF(H1411="",H1411,H1411+IF(G1411=G1410,_xlfn.NUMBERVALUE(K1410),0))</f>
        <v>33</v>
      </c>
      <c r="L1411" s="10">
        <f t="shared" si="152"/>
        <v>69.899999999999991</v>
      </c>
    </row>
    <row r="1412" spans="1:12" x14ac:dyDescent="0.25">
      <c r="A1412" s="7">
        <v>45212</v>
      </c>
      <c r="B1412" t="s">
        <v>411</v>
      </c>
      <c r="C1412" s="6">
        <v>6181</v>
      </c>
      <c r="D1412" s="1" t="s">
        <v>461</v>
      </c>
      <c r="E1412" s="1">
        <v>0.50694444444444442</v>
      </c>
      <c r="F1412" s="1">
        <v>0.63750000000000007</v>
      </c>
      <c r="G1412" s="9">
        <f t="shared" si="148"/>
        <v>45208</v>
      </c>
      <c r="H1412" s="11">
        <f t="shared" si="149"/>
        <v>3.1</v>
      </c>
      <c r="I1412" s="10">
        <f t="shared" si="150"/>
        <v>7.1999999999999993</v>
      </c>
      <c r="J1412" s="10">
        <f t="shared" si="151"/>
        <v>7.2</v>
      </c>
      <c r="K1412" s="10">
        <f t="shared" si="153"/>
        <v>36.1</v>
      </c>
      <c r="L1412" s="10">
        <f t="shared" si="152"/>
        <v>73</v>
      </c>
    </row>
    <row r="1413" spans="1:12" x14ac:dyDescent="0.25">
      <c r="A1413" s="7">
        <v>45215</v>
      </c>
      <c r="B1413" t="s">
        <v>411</v>
      </c>
      <c r="C1413" s="6">
        <v>6181</v>
      </c>
      <c r="D1413" s="1" t="s">
        <v>462</v>
      </c>
      <c r="E1413" s="1">
        <v>0.31041666666666667</v>
      </c>
      <c r="F1413" s="1">
        <v>0.41666666666666669</v>
      </c>
      <c r="G1413" s="9">
        <f t="shared" si="148"/>
        <v>45215</v>
      </c>
      <c r="H1413" s="11">
        <f t="shared" si="149"/>
        <v>2.6</v>
      </c>
      <c r="I1413" s="10">
        <f t="shared" si="150"/>
        <v>2.6</v>
      </c>
      <c r="J1413" s="10">
        <f t="shared" si="151"/>
        <v>7.2</v>
      </c>
      <c r="K1413" s="10">
        <f t="shared" si="153"/>
        <v>2.6</v>
      </c>
      <c r="L1413" s="10">
        <f t="shared" si="152"/>
        <v>75.599999999999994</v>
      </c>
    </row>
    <row r="1414" spans="1:12" x14ac:dyDescent="0.25">
      <c r="A1414" s="7">
        <v>45215</v>
      </c>
      <c r="B1414" t="s">
        <v>6</v>
      </c>
      <c r="C1414" s="6" t="s">
        <v>416</v>
      </c>
      <c r="D1414" s="1" t="s">
        <v>112</v>
      </c>
      <c r="E1414" s="1">
        <v>0.41666666666666669</v>
      </c>
      <c r="F1414" s="1">
        <v>0.46319444444444446</v>
      </c>
      <c r="G1414" s="9">
        <f t="shared" si="148"/>
        <v>45215</v>
      </c>
      <c r="H1414" s="11">
        <f t="shared" si="149"/>
        <v>1.1000000000000001</v>
      </c>
      <c r="I1414" s="10">
        <f t="shared" si="150"/>
        <v>3.7</v>
      </c>
      <c r="J1414" s="10">
        <f t="shared" si="151"/>
        <v>7.2</v>
      </c>
      <c r="K1414" s="10">
        <f t="shared" si="153"/>
        <v>3.7</v>
      </c>
      <c r="L1414" s="10">
        <f t="shared" si="152"/>
        <v>76.699999999999989</v>
      </c>
    </row>
    <row r="1415" spans="1:12" x14ac:dyDescent="0.25">
      <c r="A1415" s="7">
        <v>45215</v>
      </c>
      <c r="B1415" t="s">
        <v>411</v>
      </c>
      <c r="C1415" s="6">
        <v>6181</v>
      </c>
      <c r="D1415" s="1" t="s">
        <v>462</v>
      </c>
      <c r="E1415" s="1">
        <v>0.46319444444444446</v>
      </c>
      <c r="F1415" s="1">
        <v>0.48541666666666666</v>
      </c>
      <c r="G1415" s="9">
        <f t="shared" si="148"/>
        <v>45215</v>
      </c>
      <c r="H1415" s="11">
        <f t="shared" si="149"/>
        <v>0.5</v>
      </c>
      <c r="I1415" s="10">
        <f t="shared" si="150"/>
        <v>4.2</v>
      </c>
      <c r="J1415" s="10">
        <f t="shared" si="151"/>
        <v>7.2</v>
      </c>
      <c r="K1415" s="10">
        <f t="shared" si="153"/>
        <v>4.2</v>
      </c>
      <c r="L1415" s="10">
        <f t="shared" si="152"/>
        <v>77.2</v>
      </c>
    </row>
    <row r="1416" spans="1:12" x14ac:dyDescent="0.25">
      <c r="A1416" s="7">
        <v>45215</v>
      </c>
      <c r="B1416" t="s">
        <v>411</v>
      </c>
      <c r="C1416" s="6">
        <v>6181</v>
      </c>
      <c r="D1416" s="1" t="s">
        <v>462</v>
      </c>
      <c r="E1416" s="1">
        <v>0.50694444444444442</v>
      </c>
      <c r="F1416" s="1">
        <v>0.58333333333333337</v>
      </c>
      <c r="G1416" s="9">
        <f t="shared" si="148"/>
        <v>45215</v>
      </c>
      <c r="H1416" s="11">
        <f t="shared" si="149"/>
        <v>1.8</v>
      </c>
      <c r="I1416" s="10">
        <f t="shared" si="150"/>
        <v>6</v>
      </c>
      <c r="J1416" s="10">
        <f t="shared" si="151"/>
        <v>7.2</v>
      </c>
      <c r="K1416" s="10">
        <f t="shared" si="153"/>
        <v>6</v>
      </c>
      <c r="L1416" s="10">
        <f t="shared" si="152"/>
        <v>79</v>
      </c>
    </row>
    <row r="1417" spans="1:12" x14ac:dyDescent="0.25">
      <c r="A1417" s="7">
        <v>45215</v>
      </c>
      <c r="B1417" t="s">
        <v>426</v>
      </c>
      <c r="C1417" s="6">
        <v>6230</v>
      </c>
      <c r="D1417" s="1" t="s">
        <v>44</v>
      </c>
      <c r="E1417" s="1">
        <v>0.58333333333333337</v>
      </c>
      <c r="F1417" s="1">
        <v>0.63541666666666663</v>
      </c>
      <c r="G1417" s="9">
        <f t="shared" si="148"/>
        <v>45215</v>
      </c>
      <c r="H1417" s="11">
        <f>IF(E1417&gt;0,ROUND(24*(IF(F1417&gt;0,F1417,NowTime)-E1417),1),"")</f>
        <v>1.3</v>
      </c>
      <c r="I1417" s="10">
        <f>IF(H1417="",H1417,H1417+IF(A1417=A1416,_xlfn.NUMBERVALUE(I1416),0))</f>
        <v>7.3</v>
      </c>
      <c r="J1417" s="10">
        <f>IF(H1417="",H1417,7.2)</f>
        <v>7.2</v>
      </c>
      <c r="K1417" s="10">
        <f>IF(H1417="",H1417,H1417+IF(G1417=G1416,_xlfn.NUMBERVALUE(K1416),0))</f>
        <v>7.3</v>
      </c>
      <c r="L1417" s="10">
        <f>IF(H1417="",H1417,H1417+IF(MONTH(A1417)=MONTH(A1416),_xlfn.NUMBERVALUE(L1416),0))</f>
        <v>80.3</v>
      </c>
    </row>
    <row r="1418" spans="1:12" x14ac:dyDescent="0.25">
      <c r="A1418" s="7">
        <v>45215</v>
      </c>
      <c r="B1418" t="s">
        <v>411</v>
      </c>
      <c r="C1418" s="6">
        <v>6181</v>
      </c>
      <c r="D1418" s="1" t="s">
        <v>462</v>
      </c>
      <c r="E1418" s="1">
        <v>0.63541666666666663</v>
      </c>
      <c r="F1418" s="1">
        <v>0.65486111111111112</v>
      </c>
      <c r="G1418" s="9">
        <f t="shared" si="148"/>
        <v>45215</v>
      </c>
      <c r="H1418" s="11">
        <f t="shared" si="149"/>
        <v>0.5</v>
      </c>
      <c r="I1418" s="10">
        <f t="shared" si="150"/>
        <v>7.8</v>
      </c>
      <c r="J1418" s="10">
        <f t="shared" si="151"/>
        <v>7.2</v>
      </c>
      <c r="K1418" s="10">
        <f t="shared" si="153"/>
        <v>7.8</v>
      </c>
      <c r="L1418" s="10">
        <f t="shared" si="152"/>
        <v>80.8</v>
      </c>
    </row>
    <row r="1419" spans="1:12" x14ac:dyDescent="0.25">
      <c r="A1419" s="7">
        <v>45216</v>
      </c>
      <c r="B1419" t="s">
        <v>411</v>
      </c>
      <c r="C1419" s="6">
        <v>6181</v>
      </c>
      <c r="D1419" s="1" t="s">
        <v>462</v>
      </c>
      <c r="E1419" s="1">
        <v>0.33194444444444443</v>
      </c>
      <c r="F1419" s="1">
        <v>0.41041666666666665</v>
      </c>
      <c r="G1419" s="9">
        <f t="shared" si="148"/>
        <v>45215</v>
      </c>
      <c r="H1419" s="11">
        <f t="shared" si="149"/>
        <v>1.9</v>
      </c>
      <c r="I1419" s="10">
        <f t="shared" si="150"/>
        <v>1.9</v>
      </c>
      <c r="J1419" s="10">
        <f t="shared" si="151"/>
        <v>7.2</v>
      </c>
      <c r="K1419" s="10">
        <f t="shared" si="153"/>
        <v>9.6999999999999993</v>
      </c>
      <c r="L1419" s="10">
        <f t="shared" si="152"/>
        <v>82.7</v>
      </c>
    </row>
    <row r="1420" spans="1:12" x14ac:dyDescent="0.25">
      <c r="A1420" s="7">
        <v>45216</v>
      </c>
      <c r="B1420" t="s">
        <v>411</v>
      </c>
      <c r="C1420" s="6">
        <v>6181</v>
      </c>
      <c r="D1420" s="1" t="s">
        <v>463</v>
      </c>
      <c r="E1420" s="1">
        <v>0.41041666666666665</v>
      </c>
      <c r="F1420" s="1">
        <v>0.45833333333333331</v>
      </c>
      <c r="G1420" s="9">
        <f t="shared" si="148"/>
        <v>45215</v>
      </c>
      <c r="H1420" s="11">
        <f t="shared" si="149"/>
        <v>1.2</v>
      </c>
      <c r="I1420" s="10">
        <f t="shared" si="150"/>
        <v>3.0999999999999996</v>
      </c>
      <c r="J1420" s="10">
        <f t="shared" si="151"/>
        <v>7.2</v>
      </c>
      <c r="K1420" s="10">
        <f t="shared" si="153"/>
        <v>10.899999999999999</v>
      </c>
      <c r="L1420" s="10">
        <f t="shared" si="152"/>
        <v>83.9</v>
      </c>
    </row>
    <row r="1421" spans="1:12" x14ac:dyDescent="0.25">
      <c r="A1421" s="7">
        <v>45216</v>
      </c>
      <c r="B1421" s="2" t="s">
        <v>464</v>
      </c>
      <c r="C1421" s="6">
        <v>2431</v>
      </c>
      <c r="D1421" s="1" t="s">
        <v>465</v>
      </c>
      <c r="E1421" s="1">
        <v>0.45833333333333331</v>
      </c>
      <c r="F1421" s="1">
        <v>0.50555555555555554</v>
      </c>
      <c r="G1421" s="9">
        <f t="shared" si="148"/>
        <v>45215</v>
      </c>
      <c r="H1421" s="11">
        <f t="shared" si="149"/>
        <v>1.1000000000000001</v>
      </c>
      <c r="I1421" s="10">
        <f t="shared" si="150"/>
        <v>4.2</v>
      </c>
      <c r="J1421" s="10">
        <f t="shared" si="151"/>
        <v>7.2</v>
      </c>
      <c r="K1421" s="10">
        <f t="shared" si="153"/>
        <v>12</v>
      </c>
      <c r="L1421" s="10">
        <f t="shared" si="152"/>
        <v>85</v>
      </c>
    </row>
    <row r="1422" spans="1:12" x14ac:dyDescent="0.25">
      <c r="A1422" s="7">
        <v>45216</v>
      </c>
      <c r="B1422" t="s">
        <v>411</v>
      </c>
      <c r="C1422" s="6">
        <v>6181</v>
      </c>
      <c r="D1422" s="1" t="s">
        <v>463</v>
      </c>
      <c r="E1422" s="1">
        <v>0.51736111111111105</v>
      </c>
      <c r="F1422" s="1">
        <v>0.64861111111111114</v>
      </c>
      <c r="G1422" s="9">
        <f t="shared" si="148"/>
        <v>45215</v>
      </c>
      <c r="H1422" s="11">
        <f t="shared" si="149"/>
        <v>3.2</v>
      </c>
      <c r="I1422" s="10">
        <f t="shared" si="150"/>
        <v>7.4</v>
      </c>
      <c r="J1422" s="10">
        <f t="shared" si="151"/>
        <v>7.2</v>
      </c>
      <c r="K1422" s="10">
        <f t="shared" si="153"/>
        <v>15.2</v>
      </c>
      <c r="L1422" s="10">
        <f t="shared" si="152"/>
        <v>88.2</v>
      </c>
    </row>
    <row r="1423" spans="1:12" x14ac:dyDescent="0.25">
      <c r="A1423" s="7">
        <v>45217</v>
      </c>
      <c r="B1423" t="s">
        <v>411</v>
      </c>
      <c r="C1423" s="6">
        <v>6181</v>
      </c>
      <c r="D1423" s="1" t="s">
        <v>466</v>
      </c>
      <c r="E1423" s="1">
        <v>0.34375</v>
      </c>
      <c r="F1423" s="1">
        <v>0.48055555555555557</v>
      </c>
      <c r="G1423" s="9">
        <f t="shared" si="148"/>
        <v>45215</v>
      </c>
      <c r="H1423" s="11">
        <f t="shared" si="149"/>
        <v>3.3</v>
      </c>
      <c r="I1423" s="10">
        <f t="shared" si="150"/>
        <v>3.3</v>
      </c>
      <c r="J1423" s="10">
        <f t="shared" si="151"/>
        <v>7.2</v>
      </c>
      <c r="K1423" s="10">
        <f t="shared" si="153"/>
        <v>18.5</v>
      </c>
      <c r="L1423" s="10">
        <f t="shared" si="152"/>
        <v>91.5</v>
      </c>
    </row>
    <row r="1424" spans="1:12" x14ac:dyDescent="0.25">
      <c r="A1424" s="7">
        <v>45217</v>
      </c>
      <c r="B1424" t="s">
        <v>411</v>
      </c>
      <c r="C1424" s="6">
        <v>6181</v>
      </c>
      <c r="D1424" s="1" t="s">
        <v>466</v>
      </c>
      <c r="E1424" s="1">
        <v>0.49791666666666662</v>
      </c>
      <c r="F1424" s="1">
        <v>0.58333333333333337</v>
      </c>
      <c r="G1424" s="9">
        <f t="shared" si="148"/>
        <v>45215</v>
      </c>
      <c r="H1424" s="11">
        <f t="shared" si="149"/>
        <v>2.1</v>
      </c>
      <c r="I1424" s="10">
        <f t="shared" si="150"/>
        <v>5.4</v>
      </c>
      <c r="J1424" s="10">
        <f t="shared" si="151"/>
        <v>7.2</v>
      </c>
      <c r="K1424" s="10">
        <f t="shared" si="153"/>
        <v>20.6</v>
      </c>
      <c r="L1424" s="10">
        <f t="shared" si="152"/>
        <v>93.6</v>
      </c>
    </row>
    <row r="1425" spans="1:12" x14ac:dyDescent="0.25">
      <c r="A1425" s="7">
        <v>45217</v>
      </c>
      <c r="B1425" t="s">
        <v>426</v>
      </c>
      <c r="C1425" s="6">
        <v>6230</v>
      </c>
      <c r="D1425" s="1" t="s">
        <v>44</v>
      </c>
      <c r="E1425" s="1">
        <v>0.58333333333333337</v>
      </c>
      <c r="F1425" s="1">
        <v>0.625</v>
      </c>
      <c r="G1425" s="9">
        <f t="shared" si="148"/>
        <v>45215</v>
      </c>
      <c r="H1425" s="11">
        <f t="shared" si="149"/>
        <v>1</v>
      </c>
      <c r="I1425" s="10">
        <f t="shared" si="150"/>
        <v>6.4</v>
      </c>
      <c r="J1425" s="10">
        <f t="shared" si="151"/>
        <v>7.2</v>
      </c>
      <c r="K1425" s="10">
        <f t="shared" si="153"/>
        <v>21.6</v>
      </c>
      <c r="L1425" s="10">
        <f t="shared" si="152"/>
        <v>94.6</v>
      </c>
    </row>
    <row r="1426" spans="1:12" x14ac:dyDescent="0.25">
      <c r="A1426" s="7">
        <v>45217</v>
      </c>
      <c r="B1426" t="s">
        <v>6</v>
      </c>
      <c r="C1426" s="6" t="s">
        <v>416</v>
      </c>
      <c r="D1426" s="1" t="s">
        <v>241</v>
      </c>
      <c r="E1426" s="1">
        <v>0.625</v>
      </c>
      <c r="F1426" s="1">
        <v>0.65277777777777779</v>
      </c>
      <c r="G1426" s="9">
        <f t="shared" si="148"/>
        <v>45215</v>
      </c>
      <c r="H1426" s="11">
        <f t="shared" si="149"/>
        <v>0.7</v>
      </c>
      <c r="I1426" s="10">
        <f t="shared" si="150"/>
        <v>7.1000000000000005</v>
      </c>
      <c r="J1426" s="10">
        <f t="shared" si="151"/>
        <v>7.2</v>
      </c>
      <c r="K1426" s="10">
        <f t="shared" si="153"/>
        <v>22.3</v>
      </c>
      <c r="L1426" s="10">
        <f t="shared" si="152"/>
        <v>95.3</v>
      </c>
    </row>
    <row r="1427" spans="1:12" x14ac:dyDescent="0.25">
      <c r="A1427" s="7">
        <v>45218</v>
      </c>
      <c r="B1427" t="s">
        <v>426</v>
      </c>
      <c r="C1427" s="6">
        <v>6230</v>
      </c>
      <c r="D1427" s="1" t="s">
        <v>467</v>
      </c>
      <c r="E1427" s="1">
        <v>0.32777777777777778</v>
      </c>
      <c r="F1427" s="1">
        <v>0.52847222222222223</v>
      </c>
      <c r="G1427" s="9">
        <f t="shared" si="148"/>
        <v>45215</v>
      </c>
      <c r="H1427" s="11">
        <f t="shared" si="149"/>
        <v>4.8</v>
      </c>
      <c r="I1427" s="10">
        <f t="shared" si="150"/>
        <v>4.8</v>
      </c>
      <c r="J1427" s="10">
        <f t="shared" si="151"/>
        <v>7.2</v>
      </c>
      <c r="K1427" s="10">
        <f t="shared" si="153"/>
        <v>27.1</v>
      </c>
      <c r="L1427" s="10">
        <f t="shared" si="152"/>
        <v>100.1</v>
      </c>
    </row>
    <row r="1428" spans="1:12" x14ac:dyDescent="0.25">
      <c r="A1428" s="7">
        <v>45218</v>
      </c>
      <c r="B1428" t="s">
        <v>411</v>
      </c>
      <c r="C1428" s="6">
        <v>6181</v>
      </c>
      <c r="D1428" s="1" t="s">
        <v>468</v>
      </c>
      <c r="E1428" s="1">
        <v>0.54513888888888895</v>
      </c>
      <c r="F1428" s="1">
        <v>0.625</v>
      </c>
      <c r="G1428" s="9">
        <f t="shared" si="148"/>
        <v>45215</v>
      </c>
      <c r="H1428" s="11">
        <f t="shared" si="149"/>
        <v>1.9</v>
      </c>
      <c r="I1428" s="10">
        <f t="shared" si="150"/>
        <v>6.6999999999999993</v>
      </c>
      <c r="J1428" s="10">
        <f t="shared" si="151"/>
        <v>7.2</v>
      </c>
      <c r="K1428" s="10">
        <f t="shared" si="153"/>
        <v>29</v>
      </c>
      <c r="L1428" s="10">
        <f t="shared" si="152"/>
        <v>102</v>
      </c>
    </row>
    <row r="1429" spans="1:12" x14ac:dyDescent="0.25">
      <c r="A1429" s="7">
        <v>45218</v>
      </c>
      <c r="B1429" t="s">
        <v>6</v>
      </c>
      <c r="C1429" s="6" t="s">
        <v>416</v>
      </c>
      <c r="D1429" s="1" t="s">
        <v>469</v>
      </c>
      <c r="E1429" s="1">
        <v>0.625</v>
      </c>
      <c r="F1429" s="1">
        <v>0.66805555555555562</v>
      </c>
      <c r="G1429" s="9">
        <f t="shared" si="148"/>
        <v>45215</v>
      </c>
      <c r="H1429" s="11">
        <f t="shared" si="149"/>
        <v>1</v>
      </c>
      <c r="I1429" s="10">
        <f t="shared" si="150"/>
        <v>7.7</v>
      </c>
      <c r="J1429" s="10">
        <f t="shared" si="151"/>
        <v>7.2</v>
      </c>
      <c r="K1429" s="10">
        <f t="shared" si="153"/>
        <v>30</v>
      </c>
      <c r="L1429" s="10">
        <f t="shared" si="152"/>
        <v>103</v>
      </c>
    </row>
    <row r="1430" spans="1:12" x14ac:dyDescent="0.25">
      <c r="A1430" s="7">
        <v>45219</v>
      </c>
      <c r="B1430" t="s">
        <v>411</v>
      </c>
      <c r="C1430" s="6">
        <v>6181</v>
      </c>
      <c r="D1430" s="1" t="s">
        <v>468</v>
      </c>
      <c r="E1430" s="1">
        <v>0.32569444444444445</v>
      </c>
      <c r="F1430" s="1">
        <v>0.51111111111111118</v>
      </c>
      <c r="G1430" s="9">
        <f t="shared" si="148"/>
        <v>45215</v>
      </c>
      <c r="H1430" s="11">
        <f t="shared" si="149"/>
        <v>4.5</v>
      </c>
      <c r="I1430" s="10">
        <f t="shared" si="150"/>
        <v>4.5</v>
      </c>
      <c r="J1430" s="10">
        <f t="shared" si="151"/>
        <v>7.2</v>
      </c>
      <c r="K1430" s="10">
        <f t="shared" si="153"/>
        <v>34.5</v>
      </c>
      <c r="L1430" s="10">
        <f t="shared" si="152"/>
        <v>107.5</v>
      </c>
    </row>
    <row r="1431" spans="1:12" x14ac:dyDescent="0.25">
      <c r="A1431" s="7">
        <v>45219</v>
      </c>
      <c r="B1431" t="s">
        <v>411</v>
      </c>
      <c r="C1431" s="6">
        <v>6181</v>
      </c>
      <c r="D1431" s="1" t="s">
        <v>468</v>
      </c>
      <c r="E1431" s="1">
        <v>0.52361111111111114</v>
      </c>
      <c r="F1431" s="1">
        <v>0.66666666666666663</v>
      </c>
      <c r="G1431" s="9">
        <f t="shared" si="148"/>
        <v>45215</v>
      </c>
      <c r="H1431" s="11">
        <f t="shared" si="149"/>
        <v>3.4</v>
      </c>
      <c r="I1431" s="10">
        <f t="shared" si="150"/>
        <v>7.9</v>
      </c>
      <c r="J1431" s="10">
        <f t="shared" si="151"/>
        <v>7.2</v>
      </c>
      <c r="K1431" s="10">
        <f t="shared" si="153"/>
        <v>37.9</v>
      </c>
      <c r="L1431" s="10">
        <f t="shared" si="152"/>
        <v>110.9</v>
      </c>
    </row>
    <row r="1432" spans="1:12" x14ac:dyDescent="0.25">
      <c r="A1432" s="7">
        <v>45222</v>
      </c>
      <c r="B1432" t="s">
        <v>7</v>
      </c>
      <c r="C1432" s="6" t="s">
        <v>22</v>
      </c>
      <c r="D1432" t="s">
        <v>215</v>
      </c>
      <c r="E1432" s="1">
        <v>0.40972222222222227</v>
      </c>
      <c r="F1432" s="1">
        <v>0.70833333333333337</v>
      </c>
      <c r="G1432" s="9">
        <f t="shared" si="148"/>
        <v>45222</v>
      </c>
      <c r="H1432" s="11">
        <f t="shared" si="149"/>
        <v>7.2</v>
      </c>
      <c r="I1432" s="10">
        <f t="shared" si="150"/>
        <v>7.2</v>
      </c>
      <c r="J1432" s="10">
        <f t="shared" si="151"/>
        <v>7.2</v>
      </c>
      <c r="K1432" s="10">
        <f t="shared" si="153"/>
        <v>7.2</v>
      </c>
      <c r="L1432" s="10">
        <f t="shared" si="152"/>
        <v>118.10000000000001</v>
      </c>
    </row>
    <row r="1433" spans="1:12" x14ac:dyDescent="0.25">
      <c r="A1433" s="7">
        <v>45223</v>
      </c>
      <c r="B1433" t="s">
        <v>411</v>
      </c>
      <c r="C1433" s="6">
        <v>6181</v>
      </c>
      <c r="D1433" s="1" t="s">
        <v>470</v>
      </c>
      <c r="E1433" s="1">
        <v>0.29722222222222222</v>
      </c>
      <c r="F1433" s="1">
        <v>0.40833333333333338</v>
      </c>
      <c r="G1433" s="9">
        <f t="shared" si="148"/>
        <v>45222</v>
      </c>
      <c r="H1433" s="11">
        <f t="shared" si="149"/>
        <v>2.7</v>
      </c>
      <c r="I1433" s="10">
        <f t="shared" si="150"/>
        <v>2.7</v>
      </c>
      <c r="J1433" s="10">
        <f t="shared" si="151"/>
        <v>7.2</v>
      </c>
      <c r="K1433" s="10">
        <f t="shared" si="153"/>
        <v>9.9</v>
      </c>
      <c r="L1433" s="10">
        <f t="shared" si="152"/>
        <v>120.8</v>
      </c>
    </row>
    <row r="1434" spans="1:12" x14ac:dyDescent="0.25">
      <c r="A1434" s="7">
        <v>45223</v>
      </c>
      <c r="B1434" t="s">
        <v>411</v>
      </c>
      <c r="C1434" s="6">
        <v>6181</v>
      </c>
      <c r="D1434" s="1" t="s">
        <v>466</v>
      </c>
      <c r="E1434" s="1">
        <v>0.40833333333333338</v>
      </c>
      <c r="F1434" s="1">
        <v>0.45833333333333331</v>
      </c>
      <c r="G1434" s="9">
        <f t="shared" si="148"/>
        <v>45222</v>
      </c>
      <c r="H1434" s="11">
        <f t="shared" si="149"/>
        <v>1.2</v>
      </c>
      <c r="I1434" s="10">
        <f t="shared" si="150"/>
        <v>3.9000000000000004</v>
      </c>
      <c r="J1434" s="10">
        <f t="shared" si="151"/>
        <v>7.2</v>
      </c>
      <c r="K1434" s="10">
        <f t="shared" si="153"/>
        <v>11.1</v>
      </c>
      <c r="L1434" s="10">
        <f t="shared" si="152"/>
        <v>122</v>
      </c>
    </row>
    <row r="1435" spans="1:12" x14ac:dyDescent="0.25">
      <c r="A1435" s="7">
        <v>45223</v>
      </c>
      <c r="B1435" t="s">
        <v>6</v>
      </c>
      <c r="C1435" s="6" t="s">
        <v>416</v>
      </c>
      <c r="D1435" s="1" t="s">
        <v>112</v>
      </c>
      <c r="E1435" s="1">
        <v>0.45833333333333331</v>
      </c>
      <c r="F1435" s="1">
        <v>0.50416666666666665</v>
      </c>
      <c r="G1435" s="9">
        <f t="shared" si="148"/>
        <v>45222</v>
      </c>
      <c r="H1435" s="11">
        <f t="shared" si="149"/>
        <v>1.1000000000000001</v>
      </c>
      <c r="I1435" s="10">
        <f t="shared" si="150"/>
        <v>5</v>
      </c>
      <c r="J1435" s="10">
        <f t="shared" si="151"/>
        <v>7.2</v>
      </c>
      <c r="K1435" s="10">
        <f t="shared" si="153"/>
        <v>12.2</v>
      </c>
      <c r="L1435" s="10">
        <f t="shared" si="152"/>
        <v>123.1</v>
      </c>
    </row>
    <row r="1436" spans="1:12" x14ac:dyDescent="0.25">
      <c r="A1436" s="7">
        <v>45223</v>
      </c>
      <c r="B1436" t="s">
        <v>411</v>
      </c>
      <c r="C1436" s="6">
        <v>6181</v>
      </c>
      <c r="D1436" s="1" t="s">
        <v>466</v>
      </c>
      <c r="E1436" s="1">
        <v>0.52708333333333335</v>
      </c>
      <c r="F1436" s="1">
        <v>0.58402777777777781</v>
      </c>
      <c r="G1436" s="9">
        <f t="shared" si="148"/>
        <v>45222</v>
      </c>
      <c r="H1436" s="11">
        <f t="shared" si="149"/>
        <v>1.4</v>
      </c>
      <c r="I1436" s="10">
        <f t="shared" si="150"/>
        <v>6.4</v>
      </c>
      <c r="J1436" s="10">
        <f t="shared" si="151"/>
        <v>7.2</v>
      </c>
      <c r="K1436" s="10">
        <f t="shared" si="153"/>
        <v>13.6</v>
      </c>
      <c r="L1436" s="10">
        <f t="shared" si="152"/>
        <v>124.5</v>
      </c>
    </row>
    <row r="1437" spans="1:12" x14ac:dyDescent="0.25">
      <c r="A1437" s="7">
        <v>45223</v>
      </c>
      <c r="B1437" s="2" t="s">
        <v>464</v>
      </c>
      <c r="C1437" s="6">
        <v>2431</v>
      </c>
      <c r="D1437" s="1" t="s">
        <v>465</v>
      </c>
      <c r="E1437" s="1">
        <v>0.58402777777777781</v>
      </c>
      <c r="F1437" s="1">
        <v>0.63263888888888886</v>
      </c>
      <c r="G1437" s="9">
        <f t="shared" si="148"/>
        <v>45222</v>
      </c>
      <c r="H1437" s="11">
        <f t="shared" si="149"/>
        <v>1.2</v>
      </c>
      <c r="I1437" s="10">
        <f t="shared" si="150"/>
        <v>7.6000000000000005</v>
      </c>
      <c r="J1437" s="10">
        <f t="shared" si="151"/>
        <v>7.2</v>
      </c>
      <c r="K1437" s="10">
        <f t="shared" si="153"/>
        <v>14.799999999999999</v>
      </c>
      <c r="L1437" s="10">
        <f t="shared" si="152"/>
        <v>125.7</v>
      </c>
    </row>
    <row r="1438" spans="1:12" x14ac:dyDescent="0.25">
      <c r="A1438" s="7">
        <v>45224</v>
      </c>
      <c r="B1438" t="s">
        <v>411</v>
      </c>
      <c r="C1438" s="6">
        <v>6181</v>
      </c>
      <c r="D1438" s="1" t="s">
        <v>466</v>
      </c>
      <c r="E1438" s="1">
        <v>0.29236111111111113</v>
      </c>
      <c r="F1438" s="1">
        <v>0.45833333333333331</v>
      </c>
      <c r="G1438" s="9">
        <f t="shared" si="148"/>
        <v>45222</v>
      </c>
      <c r="H1438" s="11">
        <f t="shared" si="149"/>
        <v>4</v>
      </c>
      <c r="I1438" s="10">
        <f t="shared" si="150"/>
        <v>4</v>
      </c>
      <c r="J1438" s="10">
        <f t="shared" si="151"/>
        <v>7.2</v>
      </c>
      <c r="K1438" s="10">
        <f t="shared" si="153"/>
        <v>18.8</v>
      </c>
      <c r="L1438" s="10">
        <f t="shared" si="152"/>
        <v>129.69999999999999</v>
      </c>
    </row>
    <row r="1439" spans="1:12" x14ac:dyDescent="0.25">
      <c r="A1439" s="7">
        <v>45224</v>
      </c>
      <c r="B1439" t="s">
        <v>411</v>
      </c>
      <c r="C1439" s="6">
        <v>6181</v>
      </c>
      <c r="D1439" s="1" t="s">
        <v>44</v>
      </c>
      <c r="E1439" s="1">
        <v>0.45833333333333331</v>
      </c>
      <c r="F1439" s="1">
        <v>0.48472222222222222</v>
      </c>
      <c r="G1439" s="9">
        <f t="shared" si="148"/>
        <v>45222</v>
      </c>
      <c r="H1439" s="11">
        <f t="shared" si="149"/>
        <v>0.6</v>
      </c>
      <c r="I1439" s="10">
        <f t="shared" si="150"/>
        <v>4.5999999999999996</v>
      </c>
      <c r="J1439" s="10">
        <f t="shared" si="151"/>
        <v>7.2</v>
      </c>
      <c r="K1439" s="10">
        <f t="shared" si="153"/>
        <v>19.400000000000002</v>
      </c>
      <c r="L1439" s="10">
        <f t="shared" si="152"/>
        <v>130.29999999999998</v>
      </c>
    </row>
    <row r="1440" spans="1:12" x14ac:dyDescent="0.25">
      <c r="A1440" s="7">
        <v>45224</v>
      </c>
      <c r="B1440" t="s">
        <v>411</v>
      </c>
      <c r="C1440" s="6">
        <v>6181</v>
      </c>
      <c r="D1440" s="1" t="s">
        <v>471</v>
      </c>
      <c r="E1440" s="1">
        <v>0.55555555555555558</v>
      </c>
      <c r="F1440" s="1">
        <v>0.62638888888888888</v>
      </c>
      <c r="G1440" s="9">
        <f t="shared" si="148"/>
        <v>45222</v>
      </c>
      <c r="H1440" s="11">
        <f t="shared" si="149"/>
        <v>1.7</v>
      </c>
      <c r="I1440" s="10">
        <f t="shared" si="150"/>
        <v>6.3</v>
      </c>
      <c r="J1440" s="10">
        <f t="shared" si="151"/>
        <v>7.2</v>
      </c>
      <c r="K1440" s="10">
        <f t="shared" si="153"/>
        <v>21.099999999999998</v>
      </c>
      <c r="L1440" s="10">
        <f t="shared" si="152"/>
        <v>132</v>
      </c>
    </row>
    <row r="1441" spans="1:12" x14ac:dyDescent="0.25">
      <c r="A1441" s="7">
        <v>45225</v>
      </c>
      <c r="B1441" t="s">
        <v>411</v>
      </c>
      <c r="C1441" s="6">
        <v>6181</v>
      </c>
      <c r="D1441" s="1" t="s">
        <v>342</v>
      </c>
      <c r="E1441" s="1">
        <v>0.31805555555555554</v>
      </c>
      <c r="F1441" s="1">
        <v>0.41666666666666669</v>
      </c>
      <c r="G1441" s="9">
        <f t="shared" si="148"/>
        <v>45222</v>
      </c>
      <c r="H1441" s="11">
        <f t="shared" si="149"/>
        <v>2.4</v>
      </c>
      <c r="I1441" s="10">
        <f t="shared" si="150"/>
        <v>2.4</v>
      </c>
      <c r="J1441" s="10">
        <f t="shared" si="151"/>
        <v>7.2</v>
      </c>
      <c r="K1441" s="10">
        <f t="shared" si="153"/>
        <v>23.5</v>
      </c>
      <c r="L1441" s="10">
        <f t="shared" si="152"/>
        <v>134.4</v>
      </c>
    </row>
    <row r="1442" spans="1:12" x14ac:dyDescent="0.25">
      <c r="A1442" s="7">
        <v>45225</v>
      </c>
      <c r="B1442" t="s">
        <v>426</v>
      </c>
      <c r="C1442" s="6">
        <v>6230</v>
      </c>
      <c r="D1442" s="1" t="s">
        <v>472</v>
      </c>
      <c r="E1442" s="1">
        <v>0.41666666666666669</v>
      </c>
      <c r="F1442" s="1">
        <v>0.4770833333333333</v>
      </c>
      <c r="G1442" s="9">
        <f t="shared" si="148"/>
        <v>45222</v>
      </c>
      <c r="H1442" s="11">
        <f t="shared" si="149"/>
        <v>1.5</v>
      </c>
      <c r="I1442" s="10">
        <f t="shared" si="150"/>
        <v>3.9</v>
      </c>
      <c r="J1442" s="10">
        <f t="shared" si="151"/>
        <v>7.2</v>
      </c>
      <c r="K1442" s="10">
        <f t="shared" si="153"/>
        <v>25</v>
      </c>
      <c r="L1442" s="10">
        <f t="shared" si="152"/>
        <v>135.9</v>
      </c>
    </row>
    <row r="1443" spans="1:12" x14ac:dyDescent="0.25">
      <c r="A1443" s="7">
        <v>45225</v>
      </c>
      <c r="B1443" t="s">
        <v>411</v>
      </c>
      <c r="C1443" s="6">
        <v>6181</v>
      </c>
      <c r="D1443" s="1" t="s">
        <v>471</v>
      </c>
      <c r="E1443" s="1">
        <v>0.49513888888888885</v>
      </c>
      <c r="F1443" s="1">
        <v>0.62430555555555556</v>
      </c>
      <c r="G1443" s="9">
        <f t="shared" si="148"/>
        <v>45222</v>
      </c>
      <c r="H1443" s="11">
        <f t="shared" si="149"/>
        <v>3.1</v>
      </c>
      <c r="I1443" s="10">
        <f t="shared" si="150"/>
        <v>7</v>
      </c>
      <c r="J1443" s="10">
        <f t="shared" si="151"/>
        <v>7.2</v>
      </c>
      <c r="K1443" s="10">
        <f t="shared" si="153"/>
        <v>28.1</v>
      </c>
      <c r="L1443" s="10">
        <f t="shared" si="152"/>
        <v>139</v>
      </c>
    </row>
    <row r="1444" spans="1:12" x14ac:dyDescent="0.25">
      <c r="A1444" s="7">
        <v>45225</v>
      </c>
      <c r="B1444" t="s">
        <v>411</v>
      </c>
      <c r="C1444" s="6">
        <v>6181</v>
      </c>
      <c r="D1444" s="1" t="s">
        <v>466</v>
      </c>
      <c r="E1444" s="1">
        <v>0.62430555555555556</v>
      </c>
      <c r="F1444" s="1">
        <v>0.65208333333333335</v>
      </c>
      <c r="G1444" s="9">
        <f t="shared" si="148"/>
        <v>45222</v>
      </c>
      <c r="H1444" s="11">
        <f t="shared" si="149"/>
        <v>0.7</v>
      </c>
      <c r="I1444" s="10">
        <f t="shared" si="150"/>
        <v>7.7</v>
      </c>
      <c r="J1444" s="10">
        <f t="shared" si="151"/>
        <v>7.2</v>
      </c>
      <c r="K1444" s="10">
        <f t="shared" si="153"/>
        <v>28.8</v>
      </c>
      <c r="L1444" s="10">
        <f t="shared" si="152"/>
        <v>139.69999999999999</v>
      </c>
    </row>
    <row r="1445" spans="1:12" x14ac:dyDescent="0.25">
      <c r="A1445" s="7">
        <v>45226</v>
      </c>
      <c r="B1445" t="s">
        <v>426</v>
      </c>
      <c r="C1445" s="6">
        <v>6230</v>
      </c>
      <c r="D1445" s="1" t="s">
        <v>467</v>
      </c>
      <c r="E1445" s="1">
        <v>0.31111111111111112</v>
      </c>
      <c r="F1445" s="1">
        <v>0.3520833333333333</v>
      </c>
      <c r="G1445" s="9">
        <f t="shared" si="148"/>
        <v>45222</v>
      </c>
      <c r="H1445" s="11">
        <f t="shared" si="149"/>
        <v>1</v>
      </c>
      <c r="I1445" s="10">
        <f t="shared" si="150"/>
        <v>1</v>
      </c>
      <c r="J1445" s="10">
        <f t="shared" si="151"/>
        <v>7.2</v>
      </c>
      <c r="K1445" s="10">
        <f t="shared" si="153"/>
        <v>29.8</v>
      </c>
      <c r="L1445" s="10">
        <f t="shared" si="152"/>
        <v>140.69999999999999</v>
      </c>
    </row>
    <row r="1446" spans="1:12" x14ac:dyDescent="0.25">
      <c r="A1446" s="7">
        <v>45226</v>
      </c>
      <c r="B1446" t="s">
        <v>426</v>
      </c>
      <c r="C1446" s="6">
        <v>6230</v>
      </c>
      <c r="D1446" s="1" t="s">
        <v>467</v>
      </c>
      <c r="E1446" s="1">
        <v>0.44722222222222219</v>
      </c>
      <c r="F1446" s="1">
        <v>0.47222222222222227</v>
      </c>
      <c r="G1446" s="9">
        <f t="shared" si="148"/>
        <v>45222</v>
      </c>
      <c r="H1446" s="11">
        <f t="shared" si="149"/>
        <v>0.6</v>
      </c>
      <c r="I1446" s="10">
        <f t="shared" si="150"/>
        <v>1.6</v>
      </c>
      <c r="J1446" s="10">
        <f t="shared" si="151"/>
        <v>7.2</v>
      </c>
      <c r="K1446" s="10">
        <f t="shared" si="153"/>
        <v>30.400000000000002</v>
      </c>
      <c r="L1446" s="10">
        <f t="shared" si="152"/>
        <v>141.29999999999998</v>
      </c>
    </row>
    <row r="1447" spans="1:12" x14ac:dyDescent="0.25">
      <c r="A1447" s="7">
        <v>45226</v>
      </c>
      <c r="B1447" t="s">
        <v>426</v>
      </c>
      <c r="C1447" s="6">
        <v>6230</v>
      </c>
      <c r="D1447" s="1" t="s">
        <v>467</v>
      </c>
      <c r="E1447" s="1">
        <v>0.49861111111111112</v>
      </c>
      <c r="F1447" s="1">
        <v>0.62638888888888888</v>
      </c>
      <c r="G1447" s="9">
        <f t="shared" si="148"/>
        <v>45222</v>
      </c>
      <c r="H1447" s="11">
        <f t="shared" si="149"/>
        <v>3.1</v>
      </c>
      <c r="I1447" s="10">
        <f t="shared" si="150"/>
        <v>4.7</v>
      </c>
      <c r="J1447" s="10">
        <f t="shared" si="151"/>
        <v>7.2</v>
      </c>
      <c r="K1447" s="10">
        <f t="shared" si="153"/>
        <v>33.5</v>
      </c>
      <c r="L1447" s="10">
        <f t="shared" si="152"/>
        <v>144.4</v>
      </c>
    </row>
    <row r="1448" spans="1:12" x14ac:dyDescent="0.25">
      <c r="A1448" s="7">
        <v>45229</v>
      </c>
      <c r="B1448" t="s">
        <v>6</v>
      </c>
      <c r="C1448" s="6" t="s">
        <v>416</v>
      </c>
      <c r="D1448" s="1" t="s">
        <v>473</v>
      </c>
      <c r="E1448" s="1">
        <v>0.3215277777777778</v>
      </c>
      <c r="F1448" s="1">
        <v>0.41666666666666669</v>
      </c>
      <c r="G1448" s="9">
        <f t="shared" si="148"/>
        <v>45229</v>
      </c>
      <c r="H1448" s="11">
        <f t="shared" si="149"/>
        <v>2.2999999999999998</v>
      </c>
      <c r="I1448" s="10">
        <f t="shared" si="150"/>
        <v>2.2999999999999998</v>
      </c>
      <c r="J1448" s="10">
        <f t="shared" si="151"/>
        <v>7.2</v>
      </c>
      <c r="K1448" s="10">
        <f t="shared" si="153"/>
        <v>2.2999999999999998</v>
      </c>
      <c r="L1448" s="10">
        <f t="shared" si="152"/>
        <v>146.70000000000002</v>
      </c>
    </row>
    <row r="1449" spans="1:12" x14ac:dyDescent="0.25">
      <c r="A1449" s="7">
        <v>45229</v>
      </c>
      <c r="B1449" t="s">
        <v>6</v>
      </c>
      <c r="C1449" s="6" t="s">
        <v>416</v>
      </c>
      <c r="D1449" s="1" t="s">
        <v>112</v>
      </c>
      <c r="E1449" s="1">
        <v>0.41666666666666669</v>
      </c>
      <c r="F1449" s="1">
        <v>0.45833333333333331</v>
      </c>
      <c r="G1449" s="9">
        <f t="shared" si="148"/>
        <v>45229</v>
      </c>
      <c r="H1449" s="11">
        <f t="shared" si="149"/>
        <v>1</v>
      </c>
      <c r="I1449" s="10">
        <f t="shared" si="150"/>
        <v>3.3</v>
      </c>
      <c r="J1449" s="10">
        <f t="shared" si="151"/>
        <v>7.2</v>
      </c>
      <c r="K1449" s="10">
        <f t="shared" si="153"/>
        <v>3.3</v>
      </c>
      <c r="L1449" s="10">
        <f t="shared" si="152"/>
        <v>147.69999999999999</v>
      </c>
    </row>
    <row r="1450" spans="1:12" x14ac:dyDescent="0.25">
      <c r="A1450" s="7">
        <v>45229</v>
      </c>
      <c r="B1450" t="s">
        <v>411</v>
      </c>
      <c r="C1450" s="6">
        <v>6181</v>
      </c>
      <c r="D1450" s="1" t="s">
        <v>44</v>
      </c>
      <c r="E1450" s="1">
        <v>0.45833333333333331</v>
      </c>
      <c r="F1450" s="1">
        <v>0.5131944444444444</v>
      </c>
      <c r="G1450" s="9">
        <f t="shared" si="148"/>
        <v>45229</v>
      </c>
      <c r="H1450" s="11">
        <f t="shared" si="149"/>
        <v>1.3</v>
      </c>
      <c r="I1450" s="10">
        <f t="shared" si="150"/>
        <v>4.5999999999999996</v>
      </c>
      <c r="J1450" s="10">
        <f t="shared" si="151"/>
        <v>7.2</v>
      </c>
      <c r="K1450" s="10">
        <f t="shared" si="153"/>
        <v>4.5999999999999996</v>
      </c>
      <c r="L1450" s="10">
        <f t="shared" si="152"/>
        <v>149</v>
      </c>
    </row>
    <row r="1451" spans="1:12" x14ac:dyDescent="0.25">
      <c r="A1451" s="7">
        <v>45229</v>
      </c>
      <c r="B1451" s="2" t="s">
        <v>464</v>
      </c>
      <c r="C1451" s="6">
        <v>2431</v>
      </c>
      <c r="D1451" s="1" t="s">
        <v>465</v>
      </c>
      <c r="E1451" s="1">
        <v>0.52638888888888891</v>
      </c>
      <c r="F1451" s="1">
        <v>0.59583333333333333</v>
      </c>
      <c r="G1451" s="9">
        <f t="shared" si="148"/>
        <v>45229</v>
      </c>
      <c r="H1451" s="11">
        <f t="shared" si="149"/>
        <v>1.7</v>
      </c>
      <c r="I1451" s="10">
        <f t="shared" si="150"/>
        <v>6.3</v>
      </c>
      <c r="J1451" s="10">
        <f t="shared" si="151"/>
        <v>7.2</v>
      </c>
      <c r="K1451" s="10">
        <f t="shared" si="153"/>
        <v>6.3</v>
      </c>
      <c r="L1451" s="10">
        <f t="shared" si="152"/>
        <v>150.69999999999999</v>
      </c>
    </row>
    <row r="1452" spans="1:12" x14ac:dyDescent="0.25">
      <c r="A1452" s="7">
        <v>45230</v>
      </c>
      <c r="B1452" t="s">
        <v>426</v>
      </c>
      <c r="C1452" s="6">
        <v>6230</v>
      </c>
      <c r="D1452" s="1" t="s">
        <v>310</v>
      </c>
      <c r="E1452" s="1">
        <v>0.2951388888888889</v>
      </c>
      <c r="F1452" s="1">
        <v>0.3527777777777778</v>
      </c>
      <c r="G1452" s="9">
        <f t="shared" si="148"/>
        <v>45229</v>
      </c>
      <c r="H1452" s="11">
        <f t="shared" si="149"/>
        <v>1.4</v>
      </c>
      <c r="I1452" s="10">
        <f t="shared" si="150"/>
        <v>1.4</v>
      </c>
      <c r="J1452" s="10">
        <f t="shared" si="151"/>
        <v>7.2</v>
      </c>
      <c r="K1452" s="10">
        <f t="shared" si="153"/>
        <v>7.6999999999999993</v>
      </c>
      <c r="L1452" s="10">
        <f t="shared" si="152"/>
        <v>152.1</v>
      </c>
    </row>
    <row r="1453" spans="1:12" x14ac:dyDescent="0.25">
      <c r="A1453" s="7">
        <v>45230</v>
      </c>
      <c r="B1453" t="s">
        <v>311</v>
      </c>
      <c r="C1453" s="6">
        <v>2008</v>
      </c>
      <c r="D1453" s="1" t="s">
        <v>474</v>
      </c>
      <c r="E1453" s="1">
        <v>0.3527777777777778</v>
      </c>
      <c r="F1453" s="1">
        <v>0.41666666666666669</v>
      </c>
      <c r="G1453" s="9">
        <f t="shared" ref="G1453:G1516" si="154">IF(E1453&gt;0,INT((A1453-2)/7)*7+2,"")</f>
        <v>45229</v>
      </c>
      <c r="H1453" s="11">
        <f t="shared" ref="H1453:H1516" si="155">IF(E1453&gt;0,ROUND(24*(IF(F1453&gt;0,F1453,NowTime)-E1453),1),"")</f>
        <v>1.5</v>
      </c>
      <c r="I1453" s="10">
        <f t="shared" ref="I1453:I1516" si="156">IF(H1453="",H1453,H1453+IF(A1453=A1452,_xlfn.NUMBERVALUE(I1452),0))</f>
        <v>2.9</v>
      </c>
      <c r="J1453" s="10">
        <f t="shared" ref="J1453:J1516" si="157">IF(H1453="",H1453,7.2)</f>
        <v>7.2</v>
      </c>
      <c r="K1453" s="10">
        <f t="shared" si="153"/>
        <v>9.1999999999999993</v>
      </c>
      <c r="L1453" s="10">
        <f t="shared" ref="L1453:L1516" si="158">IF(H1453="",H1453,H1453+IF(MONTH(A1453)=MONTH(A1452),_xlfn.NUMBERVALUE(L1452),0))</f>
        <v>153.6</v>
      </c>
    </row>
    <row r="1454" spans="1:12" x14ac:dyDescent="0.25">
      <c r="A1454" s="7">
        <v>45230</v>
      </c>
      <c r="B1454" t="s">
        <v>6</v>
      </c>
      <c r="C1454" s="6" t="s">
        <v>416</v>
      </c>
      <c r="D1454" s="1" t="s">
        <v>130</v>
      </c>
      <c r="E1454" s="1">
        <v>0.41666666666666669</v>
      </c>
      <c r="F1454" s="1">
        <v>0.47222222222222227</v>
      </c>
      <c r="G1454" s="9">
        <f t="shared" si="154"/>
        <v>45229</v>
      </c>
      <c r="H1454" s="11">
        <f t="shared" si="155"/>
        <v>1.3</v>
      </c>
      <c r="I1454" s="10">
        <f t="shared" si="156"/>
        <v>4.2</v>
      </c>
      <c r="J1454" s="10">
        <f t="shared" si="157"/>
        <v>7.2</v>
      </c>
      <c r="K1454" s="10">
        <f t="shared" si="153"/>
        <v>10.5</v>
      </c>
      <c r="L1454" s="10">
        <f t="shared" si="158"/>
        <v>154.9</v>
      </c>
    </row>
    <row r="1455" spans="1:12" x14ac:dyDescent="0.25">
      <c r="A1455" s="7">
        <v>45230</v>
      </c>
      <c r="B1455" t="s">
        <v>6</v>
      </c>
      <c r="C1455" s="6" t="s">
        <v>416</v>
      </c>
      <c r="D1455" s="1" t="s">
        <v>447</v>
      </c>
      <c r="E1455" s="1">
        <v>0.50624999999999998</v>
      </c>
      <c r="F1455" s="1">
        <v>0.5541666666666667</v>
      </c>
      <c r="G1455" s="9">
        <f t="shared" si="154"/>
        <v>45229</v>
      </c>
      <c r="H1455" s="11">
        <f t="shared" si="155"/>
        <v>1.2</v>
      </c>
      <c r="I1455" s="10">
        <f t="shared" si="156"/>
        <v>5.4</v>
      </c>
      <c r="J1455" s="10">
        <f t="shared" si="157"/>
        <v>7.2</v>
      </c>
      <c r="K1455" s="10">
        <f t="shared" si="153"/>
        <v>11.7</v>
      </c>
      <c r="L1455" s="10">
        <f t="shared" si="158"/>
        <v>156.1</v>
      </c>
    </row>
    <row r="1456" spans="1:12" x14ac:dyDescent="0.25">
      <c r="A1456" s="7">
        <v>45230</v>
      </c>
      <c r="B1456" t="s">
        <v>411</v>
      </c>
      <c r="C1456" s="6">
        <v>6181</v>
      </c>
      <c r="D1456" s="1" t="s">
        <v>475</v>
      </c>
      <c r="E1456" s="1">
        <v>0.5541666666666667</v>
      </c>
      <c r="F1456" s="1">
        <v>0.6430555555555556</v>
      </c>
      <c r="G1456" s="9">
        <f>IF(E1456&gt;0,INT((A1456-2)/7)*7+2,"")</f>
        <v>45229</v>
      </c>
      <c r="H1456" s="11">
        <f>IF(E1456&gt;0,ROUND(24*(IF(F1456&gt;0,F1456,NowTime)-E1456),1),"")</f>
        <v>2.1</v>
      </c>
      <c r="I1456" s="10">
        <f>IF(H1456="",H1456,H1456+IF(A1456=A1455,_xlfn.NUMBERVALUE(I1455),0))</f>
        <v>7.5</v>
      </c>
      <c r="J1456" s="10">
        <f>IF(H1456="",H1456,7.2)</f>
        <v>7.2</v>
      </c>
      <c r="K1456" s="10">
        <f>IF(H1456="",H1456,H1456+IF(G1456=G1455,_xlfn.NUMBERVALUE(K1455),0))</f>
        <v>13.799999999999999</v>
      </c>
      <c r="L1456" s="10">
        <f>IF(H1456="",H1456,H1456+IF(MONTH(A1456)=MONTH(A1455),_xlfn.NUMBERVALUE(L1455),0))</f>
        <v>158.19999999999999</v>
      </c>
    </row>
    <row r="1457" spans="1:12" x14ac:dyDescent="0.25">
      <c r="A1457" s="7">
        <v>45231</v>
      </c>
      <c r="B1457" t="s">
        <v>426</v>
      </c>
      <c r="C1457" s="6">
        <v>6230</v>
      </c>
      <c r="D1457" s="1" t="s">
        <v>310</v>
      </c>
      <c r="E1457" s="1">
        <v>0.27708333333333335</v>
      </c>
      <c r="F1457" s="1">
        <v>0.41666666666666669</v>
      </c>
      <c r="G1457" s="9">
        <f>IF(E1457&gt;0,INT((A1457-2)/7)*7+2,"")</f>
        <v>45229</v>
      </c>
      <c r="H1457" s="11">
        <f>IF(E1457&gt;0,ROUND(24*(IF(F1457&gt;0,F1457,NowTime)-E1457),1),"")</f>
        <v>3.4</v>
      </c>
      <c r="I1457" s="10">
        <f>IF(H1457="",H1457,H1457+IF(A1457=A1456,_xlfn.NUMBERVALUE(I1456),0))</f>
        <v>3.4</v>
      </c>
      <c r="J1457" s="10">
        <f>IF(H1457="",H1457,7.2)</f>
        <v>7.2</v>
      </c>
      <c r="K1457" s="10">
        <f>IF(H1457="",H1457,H1457+IF(G1457=G1456,_xlfn.NUMBERVALUE(K1456),0))</f>
        <v>17.2</v>
      </c>
      <c r="L1457" s="10">
        <f>IF(H1457="",H1457,H1457+IF(MONTH(A1457)=MONTH(A1456),_xlfn.NUMBERVALUE(L1456),0))</f>
        <v>3.4</v>
      </c>
    </row>
    <row r="1458" spans="1:12" x14ac:dyDescent="0.25">
      <c r="A1458" s="7">
        <v>45231</v>
      </c>
      <c r="B1458" t="s">
        <v>426</v>
      </c>
      <c r="C1458" s="6">
        <v>6230</v>
      </c>
      <c r="D1458" s="1" t="s">
        <v>44</v>
      </c>
      <c r="E1458" s="1">
        <v>0.41666666666666669</v>
      </c>
      <c r="F1458" s="1">
        <v>0.46319444444444446</v>
      </c>
      <c r="G1458" s="9">
        <f>IF(E1458&gt;0,INT((A1458-2)/7)*7+2,"")</f>
        <v>45229</v>
      </c>
      <c r="H1458" s="11">
        <f>IF(E1458&gt;0,ROUND(24*(IF(F1458&gt;0,F1458,NowTime)-E1458),1),"")</f>
        <v>1.1000000000000001</v>
      </c>
      <c r="I1458" s="10">
        <f>IF(H1458="",H1458,H1458+IF(A1458=A1457,_xlfn.NUMBERVALUE(I1457),0))</f>
        <v>4.5</v>
      </c>
      <c r="J1458" s="10">
        <f>IF(H1458="",H1458,7.2)</f>
        <v>7.2</v>
      </c>
      <c r="K1458" s="10">
        <f>IF(H1458="",H1458,H1458+IF(G1458=G1457,_xlfn.NUMBERVALUE(K1457),0))</f>
        <v>18.3</v>
      </c>
      <c r="L1458" s="10">
        <f>IF(H1458="",H1458,H1458+IF(MONTH(A1458)=MONTH(A1457),_xlfn.NUMBERVALUE(L1457),0))</f>
        <v>4.5</v>
      </c>
    </row>
    <row r="1459" spans="1:12" x14ac:dyDescent="0.25">
      <c r="A1459" s="7">
        <v>45231</v>
      </c>
      <c r="B1459" t="s">
        <v>426</v>
      </c>
      <c r="C1459" s="6">
        <v>6230</v>
      </c>
      <c r="D1459" s="1" t="s">
        <v>476</v>
      </c>
      <c r="E1459" s="1">
        <v>0.51180555555555551</v>
      </c>
      <c r="F1459" s="1">
        <v>0.62083333333333335</v>
      </c>
      <c r="G1459" s="9">
        <f>IF(E1459&gt;0,INT((A1459-2)/7)*7+2,"")</f>
        <v>45229</v>
      </c>
      <c r="H1459" s="11">
        <f>IF(E1459&gt;0,ROUND(24*(IF(F1459&gt;0,F1459,NowTime)-E1459),1),"")</f>
        <v>2.6</v>
      </c>
      <c r="I1459" s="10">
        <f>IF(H1459="",H1459,H1459+IF(A1459=A1458,_xlfn.NUMBERVALUE(I1458),0))</f>
        <v>7.1</v>
      </c>
      <c r="J1459" s="10">
        <f>IF(H1459="",H1459,7.2)</f>
        <v>7.2</v>
      </c>
      <c r="K1459" s="10">
        <f>IF(H1459="",H1459,H1459+IF(G1459=G1458,_xlfn.NUMBERVALUE(K1458),0))</f>
        <v>20.900000000000002</v>
      </c>
      <c r="L1459" s="10">
        <f>IF(H1459="",H1459,H1459+IF(MONTH(A1459)=MONTH(A1458),_xlfn.NUMBERVALUE(L1458),0))</f>
        <v>7.1</v>
      </c>
    </row>
    <row r="1460" spans="1:12" x14ac:dyDescent="0.25">
      <c r="A1460" s="7">
        <v>45232</v>
      </c>
      <c r="B1460" t="s">
        <v>411</v>
      </c>
      <c r="C1460" s="6">
        <v>6181</v>
      </c>
      <c r="D1460" s="1" t="s">
        <v>475</v>
      </c>
      <c r="E1460" s="1">
        <v>0.32013888888888892</v>
      </c>
      <c r="F1460" s="1">
        <v>0.375</v>
      </c>
      <c r="G1460" s="9">
        <f t="shared" si="154"/>
        <v>45229</v>
      </c>
      <c r="H1460" s="11">
        <f t="shared" si="155"/>
        <v>1.3</v>
      </c>
      <c r="I1460" s="10">
        <f t="shared" si="156"/>
        <v>1.3</v>
      </c>
      <c r="J1460" s="10">
        <f t="shared" si="157"/>
        <v>7.2</v>
      </c>
      <c r="K1460" s="10">
        <f t="shared" si="153"/>
        <v>22.2</v>
      </c>
      <c r="L1460" s="10">
        <f t="shared" si="158"/>
        <v>8.4</v>
      </c>
    </row>
    <row r="1461" spans="1:12" x14ac:dyDescent="0.25">
      <c r="A1461" s="7">
        <v>45232</v>
      </c>
      <c r="B1461" t="s">
        <v>6</v>
      </c>
      <c r="C1461" s="6" t="s">
        <v>416</v>
      </c>
      <c r="D1461" s="1" t="s">
        <v>424</v>
      </c>
      <c r="E1461" s="1">
        <v>0.375</v>
      </c>
      <c r="F1461" s="1">
        <v>0.44861111111111113</v>
      </c>
      <c r="G1461" s="9">
        <f t="shared" si="154"/>
        <v>45229</v>
      </c>
      <c r="H1461" s="11">
        <f t="shared" si="155"/>
        <v>1.8</v>
      </c>
      <c r="I1461" s="10">
        <f t="shared" si="156"/>
        <v>3.1</v>
      </c>
      <c r="J1461" s="10">
        <f t="shared" si="157"/>
        <v>7.2</v>
      </c>
      <c r="K1461" s="10">
        <f t="shared" si="153"/>
        <v>24</v>
      </c>
      <c r="L1461" s="10">
        <f t="shared" si="158"/>
        <v>10.200000000000001</v>
      </c>
    </row>
    <row r="1462" spans="1:12" x14ac:dyDescent="0.25">
      <c r="A1462" s="7">
        <v>45232</v>
      </c>
      <c r="B1462" t="s">
        <v>426</v>
      </c>
      <c r="C1462" s="6">
        <v>6230</v>
      </c>
      <c r="D1462" s="1" t="s">
        <v>477</v>
      </c>
      <c r="E1462" s="1">
        <v>0.44861111111111113</v>
      </c>
      <c r="F1462" s="1">
        <v>0.47361111111111115</v>
      </c>
      <c r="G1462" s="9">
        <f t="shared" si="154"/>
        <v>45229</v>
      </c>
      <c r="H1462" s="11">
        <f t="shared" si="155"/>
        <v>0.6</v>
      </c>
      <c r="I1462" s="10">
        <f t="shared" si="156"/>
        <v>3.7</v>
      </c>
      <c r="J1462" s="10">
        <f t="shared" si="157"/>
        <v>7.2</v>
      </c>
      <c r="K1462" s="10">
        <f t="shared" si="153"/>
        <v>24.6</v>
      </c>
      <c r="L1462" s="10">
        <f t="shared" si="158"/>
        <v>10.799999999999999</v>
      </c>
    </row>
    <row r="1463" spans="1:12" x14ac:dyDescent="0.25">
      <c r="A1463" s="7">
        <v>45232</v>
      </c>
      <c r="B1463" t="s">
        <v>311</v>
      </c>
      <c r="C1463" s="6">
        <v>2008</v>
      </c>
      <c r="D1463" s="1" t="s">
        <v>478</v>
      </c>
      <c r="E1463" s="1">
        <v>0.49722222222222223</v>
      </c>
      <c r="F1463" s="1">
        <v>0.52083333333333337</v>
      </c>
      <c r="G1463" s="9">
        <f t="shared" si="154"/>
        <v>45229</v>
      </c>
      <c r="H1463" s="11">
        <f t="shared" si="155"/>
        <v>0.6</v>
      </c>
      <c r="I1463" s="10">
        <f t="shared" si="156"/>
        <v>4.3</v>
      </c>
      <c r="J1463" s="10">
        <f t="shared" si="157"/>
        <v>7.2</v>
      </c>
      <c r="K1463" s="10">
        <f t="shared" si="153"/>
        <v>25.200000000000003</v>
      </c>
      <c r="L1463" s="10">
        <f t="shared" si="158"/>
        <v>11.4</v>
      </c>
    </row>
    <row r="1464" spans="1:12" x14ac:dyDescent="0.25">
      <c r="A1464" s="7">
        <v>45232</v>
      </c>
      <c r="B1464" t="s">
        <v>426</v>
      </c>
      <c r="C1464" s="6">
        <v>6230</v>
      </c>
      <c r="D1464" s="1" t="s">
        <v>479</v>
      </c>
      <c r="E1464" s="1">
        <v>0.52083333333333337</v>
      </c>
      <c r="F1464" s="1">
        <v>0.56111111111111112</v>
      </c>
      <c r="G1464" s="9">
        <f t="shared" si="154"/>
        <v>45229</v>
      </c>
      <c r="H1464" s="11">
        <f t="shared" si="155"/>
        <v>1</v>
      </c>
      <c r="I1464" s="10">
        <f t="shared" si="156"/>
        <v>5.3</v>
      </c>
      <c r="J1464" s="10">
        <f t="shared" si="157"/>
        <v>7.2</v>
      </c>
      <c r="K1464" s="10">
        <f t="shared" si="153"/>
        <v>26.2</v>
      </c>
      <c r="L1464" s="10">
        <f t="shared" si="158"/>
        <v>12.4</v>
      </c>
    </row>
    <row r="1465" spans="1:12" x14ac:dyDescent="0.25">
      <c r="A1465" s="7">
        <v>45232</v>
      </c>
      <c r="B1465" t="s">
        <v>411</v>
      </c>
      <c r="C1465" s="6">
        <v>6181</v>
      </c>
      <c r="D1465" s="1" t="s">
        <v>480</v>
      </c>
      <c r="E1465" s="1">
        <v>0.56111111111111112</v>
      </c>
      <c r="F1465" s="1">
        <v>0.58472222222222225</v>
      </c>
      <c r="G1465" s="9">
        <f t="shared" si="154"/>
        <v>45229</v>
      </c>
      <c r="H1465" s="11">
        <f t="shared" si="155"/>
        <v>0.6</v>
      </c>
      <c r="I1465" s="10">
        <f t="shared" si="156"/>
        <v>5.8999999999999995</v>
      </c>
      <c r="J1465" s="10">
        <f t="shared" si="157"/>
        <v>7.2</v>
      </c>
      <c r="K1465" s="10">
        <f t="shared" si="153"/>
        <v>26.8</v>
      </c>
      <c r="L1465" s="10">
        <f t="shared" si="158"/>
        <v>13</v>
      </c>
    </row>
    <row r="1466" spans="1:12" x14ac:dyDescent="0.25">
      <c r="A1466" s="7">
        <v>45232</v>
      </c>
      <c r="B1466" t="s">
        <v>426</v>
      </c>
      <c r="C1466" s="6">
        <v>6230</v>
      </c>
      <c r="D1466" s="1" t="s">
        <v>479</v>
      </c>
      <c r="E1466" s="1">
        <v>0.58472222222222225</v>
      </c>
      <c r="F1466" s="1">
        <v>0.64374999999999993</v>
      </c>
      <c r="G1466" s="9">
        <f t="shared" si="154"/>
        <v>45229</v>
      </c>
      <c r="H1466" s="11">
        <f t="shared" si="155"/>
        <v>1.4</v>
      </c>
      <c r="I1466" s="10">
        <f t="shared" si="156"/>
        <v>7.3000000000000007</v>
      </c>
      <c r="J1466" s="10">
        <f t="shared" si="157"/>
        <v>7.2</v>
      </c>
      <c r="K1466" s="10">
        <f t="shared" si="153"/>
        <v>28.2</v>
      </c>
      <c r="L1466" s="10">
        <f t="shared" si="158"/>
        <v>14.4</v>
      </c>
    </row>
    <row r="1467" spans="1:12" x14ac:dyDescent="0.25">
      <c r="A1467" s="7">
        <v>45233</v>
      </c>
      <c r="B1467" t="s">
        <v>426</v>
      </c>
      <c r="C1467" s="6">
        <v>6230</v>
      </c>
      <c r="D1467" s="1" t="s">
        <v>479</v>
      </c>
      <c r="E1467" s="1">
        <v>0.31319444444444444</v>
      </c>
      <c r="F1467" s="1">
        <v>0.44861111111111113</v>
      </c>
      <c r="G1467" s="9">
        <f t="shared" si="154"/>
        <v>45229</v>
      </c>
      <c r="H1467" s="11">
        <f t="shared" si="155"/>
        <v>3.3</v>
      </c>
      <c r="I1467" s="10">
        <f t="shared" si="156"/>
        <v>3.3</v>
      </c>
      <c r="J1467" s="10">
        <f t="shared" si="157"/>
        <v>7.2</v>
      </c>
      <c r="K1467" s="10">
        <f t="shared" si="153"/>
        <v>31.5</v>
      </c>
      <c r="L1467" s="10">
        <f t="shared" si="158"/>
        <v>17.7</v>
      </c>
    </row>
    <row r="1468" spans="1:12" x14ac:dyDescent="0.25">
      <c r="A1468" s="7">
        <v>45233</v>
      </c>
      <c r="B1468" t="s">
        <v>411</v>
      </c>
      <c r="C1468" s="6">
        <v>6181</v>
      </c>
      <c r="D1468" s="1" t="s">
        <v>466</v>
      </c>
      <c r="E1468" s="1">
        <v>0.44861111111111113</v>
      </c>
      <c r="F1468" s="1">
        <v>0.4694444444444445</v>
      </c>
      <c r="G1468" s="9">
        <f t="shared" si="154"/>
        <v>45229</v>
      </c>
      <c r="H1468" s="11">
        <f t="shared" si="155"/>
        <v>0.5</v>
      </c>
      <c r="I1468" s="10">
        <f t="shared" si="156"/>
        <v>3.8</v>
      </c>
      <c r="J1468" s="10">
        <f t="shared" si="157"/>
        <v>7.2</v>
      </c>
      <c r="K1468" s="10">
        <f t="shared" si="153"/>
        <v>32</v>
      </c>
      <c r="L1468" s="10">
        <f t="shared" si="158"/>
        <v>18.2</v>
      </c>
    </row>
    <row r="1469" spans="1:12" x14ac:dyDescent="0.25">
      <c r="A1469" s="7">
        <v>45233</v>
      </c>
      <c r="B1469" t="s">
        <v>411</v>
      </c>
      <c r="C1469" s="6">
        <v>6181</v>
      </c>
      <c r="D1469" s="1" t="s">
        <v>466</v>
      </c>
      <c r="E1469" s="1">
        <v>0.4916666666666667</v>
      </c>
      <c r="F1469" s="1">
        <v>0.54166666666666663</v>
      </c>
      <c r="G1469" s="9">
        <f t="shared" si="154"/>
        <v>45229</v>
      </c>
      <c r="H1469" s="11">
        <f t="shared" si="155"/>
        <v>1.2</v>
      </c>
      <c r="I1469" s="10">
        <f t="shared" si="156"/>
        <v>5</v>
      </c>
      <c r="J1469" s="10">
        <f t="shared" si="157"/>
        <v>7.2</v>
      </c>
      <c r="K1469" s="10">
        <f t="shared" si="153"/>
        <v>33.200000000000003</v>
      </c>
      <c r="L1469" s="10">
        <f t="shared" si="158"/>
        <v>19.399999999999999</v>
      </c>
    </row>
    <row r="1470" spans="1:12" x14ac:dyDescent="0.25">
      <c r="A1470" s="7">
        <v>45233</v>
      </c>
      <c r="B1470" t="s">
        <v>6</v>
      </c>
      <c r="C1470" s="6" t="s">
        <v>416</v>
      </c>
      <c r="D1470" s="1" t="s">
        <v>374</v>
      </c>
      <c r="E1470" s="1">
        <v>0.54166666666666663</v>
      </c>
      <c r="F1470" s="1">
        <v>0.58333333333333337</v>
      </c>
      <c r="G1470" s="9">
        <f t="shared" si="154"/>
        <v>45229</v>
      </c>
      <c r="H1470" s="11">
        <f t="shared" si="155"/>
        <v>1</v>
      </c>
      <c r="I1470" s="10">
        <f t="shared" si="156"/>
        <v>6</v>
      </c>
      <c r="J1470" s="10">
        <f t="shared" si="157"/>
        <v>7.2</v>
      </c>
      <c r="K1470" s="10">
        <f t="shared" si="153"/>
        <v>34.200000000000003</v>
      </c>
      <c r="L1470" s="10">
        <f t="shared" si="158"/>
        <v>20.399999999999999</v>
      </c>
    </row>
    <row r="1471" spans="1:12" x14ac:dyDescent="0.25">
      <c r="A1471" s="7">
        <v>45233</v>
      </c>
      <c r="B1471" t="s">
        <v>426</v>
      </c>
      <c r="C1471" s="6">
        <v>6230</v>
      </c>
      <c r="D1471" s="1" t="s">
        <v>44</v>
      </c>
      <c r="E1471" s="1">
        <v>0.58333333333333337</v>
      </c>
      <c r="F1471" s="1">
        <v>0.66041666666666665</v>
      </c>
      <c r="G1471" s="9">
        <f t="shared" si="154"/>
        <v>45229</v>
      </c>
      <c r="H1471" s="11">
        <f t="shared" si="155"/>
        <v>1.9</v>
      </c>
      <c r="I1471" s="10">
        <f t="shared" si="156"/>
        <v>7.9</v>
      </c>
      <c r="J1471" s="10">
        <f t="shared" si="157"/>
        <v>7.2</v>
      </c>
      <c r="K1471" s="10">
        <f t="shared" si="153"/>
        <v>36.1</v>
      </c>
      <c r="L1471" s="10">
        <f t="shared" si="158"/>
        <v>22.299999999999997</v>
      </c>
    </row>
    <row r="1472" spans="1:12" x14ac:dyDescent="0.25">
      <c r="A1472" s="7">
        <v>45236</v>
      </c>
      <c r="B1472" t="s">
        <v>411</v>
      </c>
      <c r="C1472" s="6">
        <v>6181</v>
      </c>
      <c r="D1472" s="1" t="s">
        <v>466</v>
      </c>
      <c r="E1472" s="1">
        <v>0.35555555555555557</v>
      </c>
      <c r="F1472" s="1">
        <v>0.41666666666666669</v>
      </c>
      <c r="G1472" s="9">
        <f t="shared" si="154"/>
        <v>45236</v>
      </c>
      <c r="H1472" s="11">
        <f t="shared" si="155"/>
        <v>1.5</v>
      </c>
      <c r="I1472" s="10">
        <f t="shared" si="156"/>
        <v>1.5</v>
      </c>
      <c r="J1472" s="10">
        <f t="shared" si="157"/>
        <v>7.2</v>
      </c>
      <c r="K1472" s="10">
        <f t="shared" si="153"/>
        <v>1.5</v>
      </c>
      <c r="L1472" s="10">
        <f t="shared" si="158"/>
        <v>23.8</v>
      </c>
    </row>
    <row r="1473" spans="1:12" x14ac:dyDescent="0.25">
      <c r="A1473" s="7">
        <v>45236</v>
      </c>
      <c r="B1473" t="s">
        <v>6</v>
      </c>
      <c r="C1473" s="6" t="s">
        <v>416</v>
      </c>
      <c r="D1473" s="1" t="s">
        <v>112</v>
      </c>
      <c r="E1473" s="1">
        <v>0.41666666666666669</v>
      </c>
      <c r="F1473" s="1">
        <v>0.47430555555555554</v>
      </c>
      <c r="G1473" s="9">
        <f t="shared" si="154"/>
        <v>45236</v>
      </c>
      <c r="H1473" s="11">
        <f t="shared" si="155"/>
        <v>1.4</v>
      </c>
      <c r="I1473" s="10">
        <f t="shared" si="156"/>
        <v>2.9</v>
      </c>
      <c r="J1473" s="10">
        <f t="shared" si="157"/>
        <v>7.2</v>
      </c>
      <c r="K1473" s="10">
        <f t="shared" si="153"/>
        <v>2.9</v>
      </c>
      <c r="L1473" s="10">
        <f t="shared" si="158"/>
        <v>25.2</v>
      </c>
    </row>
    <row r="1474" spans="1:12" x14ac:dyDescent="0.25">
      <c r="A1474" s="7">
        <v>45236</v>
      </c>
      <c r="B1474" t="s">
        <v>411</v>
      </c>
      <c r="C1474" s="6">
        <v>6181</v>
      </c>
      <c r="D1474" s="1" t="s">
        <v>466</v>
      </c>
      <c r="E1474" s="1">
        <v>0.49513888888888885</v>
      </c>
      <c r="F1474" s="1">
        <v>0.54166666666666663</v>
      </c>
      <c r="G1474" s="9">
        <f t="shared" si="154"/>
        <v>45236</v>
      </c>
      <c r="H1474" s="11">
        <f t="shared" si="155"/>
        <v>1.1000000000000001</v>
      </c>
      <c r="I1474" s="10">
        <f t="shared" si="156"/>
        <v>4</v>
      </c>
      <c r="J1474" s="10">
        <f t="shared" si="157"/>
        <v>7.2</v>
      </c>
      <c r="K1474" s="10">
        <f t="shared" si="153"/>
        <v>4</v>
      </c>
      <c r="L1474" s="10">
        <f t="shared" si="158"/>
        <v>26.3</v>
      </c>
    </row>
    <row r="1475" spans="1:12" x14ac:dyDescent="0.25">
      <c r="A1475" s="7">
        <v>45236</v>
      </c>
      <c r="B1475" s="2" t="s">
        <v>464</v>
      </c>
      <c r="C1475" s="6">
        <v>2431</v>
      </c>
      <c r="D1475" s="1" t="s">
        <v>465</v>
      </c>
      <c r="E1475" s="1">
        <v>0.54166666666666663</v>
      </c>
      <c r="F1475" s="1">
        <v>0.58680555555555558</v>
      </c>
      <c r="G1475" s="9">
        <f t="shared" si="154"/>
        <v>45236</v>
      </c>
      <c r="H1475" s="11">
        <f t="shared" si="155"/>
        <v>1.1000000000000001</v>
      </c>
      <c r="I1475" s="10">
        <f t="shared" si="156"/>
        <v>5.0999999999999996</v>
      </c>
      <c r="J1475" s="10">
        <f t="shared" si="157"/>
        <v>7.2</v>
      </c>
      <c r="K1475" s="10">
        <f t="shared" ref="K1475:K1538" si="159">IF(H1475="",H1475,H1475+IF(G1475=G1474,_xlfn.NUMBERVALUE(K1474),0))</f>
        <v>5.0999999999999996</v>
      </c>
      <c r="L1475" s="10">
        <f t="shared" si="158"/>
        <v>27.400000000000002</v>
      </c>
    </row>
    <row r="1476" spans="1:12" x14ac:dyDescent="0.25">
      <c r="A1476" s="7">
        <v>45236</v>
      </c>
      <c r="B1476" t="s">
        <v>411</v>
      </c>
      <c r="C1476" s="6">
        <v>6181</v>
      </c>
      <c r="D1476" s="1" t="s">
        <v>466</v>
      </c>
      <c r="E1476" s="1">
        <v>0.58680555555555558</v>
      </c>
      <c r="F1476" s="1">
        <v>0.65138888888888891</v>
      </c>
      <c r="G1476" s="9">
        <f t="shared" si="154"/>
        <v>45236</v>
      </c>
      <c r="H1476" s="11">
        <f t="shared" si="155"/>
        <v>1.6</v>
      </c>
      <c r="I1476" s="10">
        <f t="shared" si="156"/>
        <v>6.6999999999999993</v>
      </c>
      <c r="J1476" s="10">
        <f t="shared" si="157"/>
        <v>7.2</v>
      </c>
      <c r="K1476" s="10">
        <f t="shared" si="159"/>
        <v>6.6999999999999993</v>
      </c>
      <c r="L1476" s="10">
        <f t="shared" si="158"/>
        <v>29</v>
      </c>
    </row>
    <row r="1477" spans="1:12" x14ac:dyDescent="0.25">
      <c r="A1477" s="7">
        <v>45237</v>
      </c>
      <c r="B1477" t="s">
        <v>411</v>
      </c>
      <c r="C1477" s="6">
        <v>6181</v>
      </c>
      <c r="D1477" s="1" t="s">
        <v>481</v>
      </c>
      <c r="E1477" s="1">
        <v>0.29444444444444445</v>
      </c>
      <c r="F1477" s="1">
        <v>0.47152777777777777</v>
      </c>
      <c r="G1477" s="9">
        <f t="shared" si="154"/>
        <v>45236</v>
      </c>
      <c r="H1477" s="11">
        <f t="shared" si="155"/>
        <v>4.3</v>
      </c>
      <c r="I1477" s="10">
        <f t="shared" si="156"/>
        <v>4.3</v>
      </c>
      <c r="J1477" s="10">
        <f t="shared" si="157"/>
        <v>7.2</v>
      </c>
      <c r="K1477" s="10">
        <f t="shared" si="159"/>
        <v>11</v>
      </c>
      <c r="L1477" s="10">
        <f t="shared" si="158"/>
        <v>33.299999999999997</v>
      </c>
    </row>
    <row r="1478" spans="1:12" x14ac:dyDescent="0.25">
      <c r="A1478" s="7">
        <v>45237</v>
      </c>
      <c r="B1478" t="s">
        <v>411</v>
      </c>
      <c r="C1478" s="6">
        <v>6181</v>
      </c>
      <c r="D1478" s="1" t="s">
        <v>481</v>
      </c>
      <c r="E1478" s="1">
        <v>0.48333333333333334</v>
      </c>
      <c r="F1478" s="1">
        <v>0.54166666666666663</v>
      </c>
      <c r="G1478" s="9">
        <f t="shared" si="154"/>
        <v>45236</v>
      </c>
      <c r="H1478" s="11">
        <f t="shared" si="155"/>
        <v>1.4</v>
      </c>
      <c r="I1478" s="10">
        <f t="shared" si="156"/>
        <v>5.6999999999999993</v>
      </c>
      <c r="J1478" s="10">
        <f t="shared" si="157"/>
        <v>7.2</v>
      </c>
      <c r="K1478" s="10">
        <f t="shared" si="159"/>
        <v>12.4</v>
      </c>
      <c r="L1478" s="10">
        <f t="shared" si="158"/>
        <v>34.699999999999996</v>
      </c>
    </row>
    <row r="1479" spans="1:12" x14ac:dyDescent="0.25">
      <c r="A1479" s="7">
        <v>45237</v>
      </c>
      <c r="B1479" t="s">
        <v>311</v>
      </c>
      <c r="C1479" s="6">
        <v>2008</v>
      </c>
      <c r="D1479" s="1" t="s">
        <v>44</v>
      </c>
      <c r="E1479" s="1">
        <v>0.54166666666666663</v>
      </c>
      <c r="F1479" s="1">
        <v>0.58333333333333337</v>
      </c>
      <c r="G1479" s="9">
        <f t="shared" si="154"/>
        <v>45236</v>
      </c>
      <c r="H1479" s="11">
        <f t="shared" si="155"/>
        <v>1</v>
      </c>
      <c r="I1479" s="10">
        <f t="shared" si="156"/>
        <v>6.7</v>
      </c>
      <c r="J1479" s="10">
        <f t="shared" si="157"/>
        <v>7.2</v>
      </c>
      <c r="K1479" s="10">
        <f t="shared" si="159"/>
        <v>13.4</v>
      </c>
      <c r="L1479" s="10">
        <f t="shared" si="158"/>
        <v>35.700000000000003</v>
      </c>
    </row>
    <row r="1480" spans="1:12" x14ac:dyDescent="0.25">
      <c r="A1480" s="7">
        <v>45237</v>
      </c>
      <c r="B1480" t="s">
        <v>6</v>
      </c>
      <c r="C1480" s="6" t="s">
        <v>416</v>
      </c>
      <c r="D1480" s="1" t="s">
        <v>71</v>
      </c>
      <c r="E1480" s="1">
        <v>0.58333333333333337</v>
      </c>
      <c r="F1480" s="1">
        <v>0.6479166666666667</v>
      </c>
      <c r="G1480" s="9">
        <f t="shared" si="154"/>
        <v>45236</v>
      </c>
      <c r="H1480" s="11">
        <f t="shared" si="155"/>
        <v>1.6</v>
      </c>
      <c r="I1480" s="10">
        <f t="shared" si="156"/>
        <v>8.3000000000000007</v>
      </c>
      <c r="J1480" s="10">
        <f t="shared" si="157"/>
        <v>7.2</v>
      </c>
      <c r="K1480" s="10">
        <f t="shared" si="159"/>
        <v>15</v>
      </c>
      <c r="L1480" s="10">
        <f t="shared" si="158"/>
        <v>37.300000000000004</v>
      </c>
    </row>
    <row r="1481" spans="1:12" x14ac:dyDescent="0.25">
      <c r="A1481" s="7">
        <v>45238</v>
      </c>
      <c r="B1481" t="s">
        <v>411</v>
      </c>
      <c r="C1481" s="6">
        <v>6181</v>
      </c>
      <c r="D1481" s="1" t="s">
        <v>482</v>
      </c>
      <c r="E1481" s="1">
        <v>0.33124999999999999</v>
      </c>
      <c r="F1481" s="1">
        <v>0.41666666666666669</v>
      </c>
      <c r="G1481" s="9">
        <f t="shared" si="154"/>
        <v>45236</v>
      </c>
      <c r="H1481" s="11">
        <f t="shared" si="155"/>
        <v>2.1</v>
      </c>
      <c r="I1481" s="10">
        <f t="shared" si="156"/>
        <v>2.1</v>
      </c>
      <c r="J1481" s="10">
        <f t="shared" si="157"/>
        <v>7.2</v>
      </c>
      <c r="K1481" s="10">
        <f t="shared" si="159"/>
        <v>17.100000000000001</v>
      </c>
      <c r="L1481" s="10">
        <f t="shared" si="158"/>
        <v>39.4</v>
      </c>
    </row>
    <row r="1482" spans="1:12" x14ac:dyDescent="0.25">
      <c r="A1482" s="7">
        <v>45238</v>
      </c>
      <c r="B1482" t="s">
        <v>426</v>
      </c>
      <c r="C1482" s="6">
        <v>6230</v>
      </c>
      <c r="D1482" s="1" t="s">
        <v>483</v>
      </c>
      <c r="E1482" s="1">
        <v>0.41666666666666669</v>
      </c>
      <c r="F1482" s="1">
        <v>0.52013888888888882</v>
      </c>
      <c r="G1482" s="9">
        <f t="shared" si="154"/>
        <v>45236</v>
      </c>
      <c r="H1482" s="11">
        <f t="shared" si="155"/>
        <v>2.5</v>
      </c>
      <c r="I1482" s="10">
        <f t="shared" si="156"/>
        <v>4.5999999999999996</v>
      </c>
      <c r="J1482" s="10">
        <f t="shared" si="157"/>
        <v>7.2</v>
      </c>
      <c r="K1482" s="10">
        <f t="shared" si="159"/>
        <v>19.600000000000001</v>
      </c>
      <c r="L1482" s="10">
        <f t="shared" si="158"/>
        <v>41.9</v>
      </c>
    </row>
    <row r="1483" spans="1:12" x14ac:dyDescent="0.25">
      <c r="A1483" s="7">
        <v>45238</v>
      </c>
      <c r="B1483" t="s">
        <v>411</v>
      </c>
      <c r="C1483" s="6">
        <v>6181</v>
      </c>
      <c r="D1483" s="1" t="s">
        <v>484</v>
      </c>
      <c r="E1483" s="1">
        <v>0.52013888888888882</v>
      </c>
      <c r="F1483" s="1">
        <v>0.65069444444444446</v>
      </c>
      <c r="G1483" s="9">
        <f t="shared" si="154"/>
        <v>45236</v>
      </c>
      <c r="H1483" s="11">
        <f t="shared" si="155"/>
        <v>3.1</v>
      </c>
      <c r="I1483" s="10">
        <f t="shared" si="156"/>
        <v>7.6999999999999993</v>
      </c>
      <c r="J1483" s="10">
        <f t="shared" si="157"/>
        <v>7.2</v>
      </c>
      <c r="K1483" s="10">
        <f t="shared" si="159"/>
        <v>22.700000000000003</v>
      </c>
      <c r="L1483" s="10">
        <f t="shared" si="158"/>
        <v>45</v>
      </c>
    </row>
    <row r="1484" spans="1:12" x14ac:dyDescent="0.25">
      <c r="A1484" s="7">
        <v>45238</v>
      </c>
      <c r="B1484" t="s">
        <v>426</v>
      </c>
      <c r="C1484" s="6">
        <v>6230</v>
      </c>
      <c r="D1484" s="1" t="s">
        <v>485</v>
      </c>
      <c r="E1484" s="1">
        <v>0.65069444444444446</v>
      </c>
      <c r="F1484" s="1">
        <v>0.66180555555555554</v>
      </c>
      <c r="G1484" s="9">
        <f t="shared" si="154"/>
        <v>45236</v>
      </c>
      <c r="H1484" s="11">
        <f t="shared" si="155"/>
        <v>0.3</v>
      </c>
      <c r="I1484" s="10">
        <f t="shared" si="156"/>
        <v>8</v>
      </c>
      <c r="J1484" s="10">
        <f t="shared" si="157"/>
        <v>7.2</v>
      </c>
      <c r="K1484" s="10">
        <f t="shared" si="159"/>
        <v>23</v>
      </c>
      <c r="L1484" s="10">
        <f t="shared" si="158"/>
        <v>45.3</v>
      </c>
    </row>
    <row r="1485" spans="1:12" x14ac:dyDescent="0.25">
      <c r="A1485" s="7">
        <v>45239</v>
      </c>
      <c r="B1485" t="s">
        <v>426</v>
      </c>
      <c r="C1485" s="6">
        <v>6230</v>
      </c>
      <c r="D1485" s="1" t="s">
        <v>485</v>
      </c>
      <c r="E1485" s="1">
        <v>0.32430555555555557</v>
      </c>
      <c r="F1485" s="1">
        <v>0.3666666666666667</v>
      </c>
      <c r="G1485" s="9">
        <f t="shared" si="154"/>
        <v>45236</v>
      </c>
      <c r="H1485" s="11">
        <f t="shared" si="155"/>
        <v>1</v>
      </c>
      <c r="I1485" s="10">
        <f t="shared" si="156"/>
        <v>1</v>
      </c>
      <c r="J1485" s="10">
        <f t="shared" si="157"/>
        <v>7.2</v>
      </c>
      <c r="K1485" s="10">
        <f t="shared" si="159"/>
        <v>24</v>
      </c>
      <c r="L1485" s="10">
        <f t="shared" si="158"/>
        <v>46.3</v>
      </c>
    </row>
    <row r="1486" spans="1:12" x14ac:dyDescent="0.25">
      <c r="A1486" s="7">
        <v>45239</v>
      </c>
      <c r="B1486" t="s">
        <v>411</v>
      </c>
      <c r="C1486" s="6">
        <v>6181</v>
      </c>
      <c r="D1486" s="1" t="s">
        <v>484</v>
      </c>
      <c r="E1486" s="1">
        <v>0.3666666666666667</v>
      </c>
      <c r="F1486" s="1">
        <v>0.50972222222222219</v>
      </c>
      <c r="G1486" s="9">
        <f t="shared" si="154"/>
        <v>45236</v>
      </c>
      <c r="H1486" s="11">
        <f t="shared" si="155"/>
        <v>3.4</v>
      </c>
      <c r="I1486" s="10">
        <f t="shared" si="156"/>
        <v>4.4000000000000004</v>
      </c>
      <c r="J1486" s="10">
        <f t="shared" si="157"/>
        <v>7.2</v>
      </c>
      <c r="K1486" s="10">
        <f t="shared" si="159"/>
        <v>27.4</v>
      </c>
      <c r="L1486" s="10">
        <f t="shared" si="158"/>
        <v>49.699999999999996</v>
      </c>
    </row>
    <row r="1487" spans="1:12" x14ac:dyDescent="0.25">
      <c r="A1487" s="7">
        <v>45239</v>
      </c>
      <c r="B1487" t="s">
        <v>411</v>
      </c>
      <c r="C1487" s="6">
        <v>6181</v>
      </c>
      <c r="D1487" s="1" t="s">
        <v>484</v>
      </c>
      <c r="E1487" s="1">
        <v>0.55625000000000002</v>
      </c>
      <c r="F1487" s="1">
        <v>0.62986111111111109</v>
      </c>
      <c r="G1487" s="9">
        <f t="shared" si="154"/>
        <v>45236</v>
      </c>
      <c r="H1487" s="11">
        <f t="shared" si="155"/>
        <v>1.8</v>
      </c>
      <c r="I1487" s="10">
        <f t="shared" si="156"/>
        <v>6.2</v>
      </c>
      <c r="J1487" s="10">
        <f t="shared" si="157"/>
        <v>7.2</v>
      </c>
      <c r="K1487" s="10">
        <f t="shared" si="159"/>
        <v>29.2</v>
      </c>
      <c r="L1487" s="10">
        <f t="shared" si="158"/>
        <v>51.5</v>
      </c>
    </row>
    <row r="1488" spans="1:12" x14ac:dyDescent="0.25">
      <c r="A1488" s="7">
        <v>45240</v>
      </c>
      <c r="B1488" t="s">
        <v>6</v>
      </c>
      <c r="C1488" s="6" t="s">
        <v>416</v>
      </c>
      <c r="D1488" s="1" t="s">
        <v>486</v>
      </c>
      <c r="E1488" s="1">
        <v>0.31666666666666665</v>
      </c>
      <c r="F1488" s="1">
        <v>0.39583333333333331</v>
      </c>
      <c r="G1488" s="9">
        <f t="shared" si="154"/>
        <v>45236</v>
      </c>
      <c r="H1488" s="11">
        <f t="shared" si="155"/>
        <v>1.9</v>
      </c>
      <c r="I1488" s="10">
        <f t="shared" si="156"/>
        <v>1.9</v>
      </c>
      <c r="J1488" s="10">
        <f t="shared" si="157"/>
        <v>7.2</v>
      </c>
      <c r="K1488" s="10">
        <f t="shared" si="159"/>
        <v>31.099999999999998</v>
      </c>
      <c r="L1488" s="10">
        <f t="shared" si="158"/>
        <v>53.4</v>
      </c>
    </row>
    <row r="1489" spans="1:12" x14ac:dyDescent="0.25">
      <c r="A1489" s="7">
        <v>45240</v>
      </c>
      <c r="B1489" t="s">
        <v>411</v>
      </c>
      <c r="C1489" s="6">
        <v>6181</v>
      </c>
      <c r="D1489" s="1" t="s">
        <v>487</v>
      </c>
      <c r="E1489" s="1">
        <v>0.39583333333333331</v>
      </c>
      <c r="F1489" s="1">
        <v>0.52777777777777779</v>
      </c>
      <c r="G1489" s="9">
        <f t="shared" si="154"/>
        <v>45236</v>
      </c>
      <c r="H1489" s="11">
        <f t="shared" si="155"/>
        <v>3.2</v>
      </c>
      <c r="I1489" s="10">
        <f t="shared" si="156"/>
        <v>5.0999999999999996</v>
      </c>
      <c r="J1489" s="10">
        <f t="shared" si="157"/>
        <v>7.2</v>
      </c>
      <c r="K1489" s="10">
        <f t="shared" si="159"/>
        <v>34.300000000000004</v>
      </c>
      <c r="L1489" s="10">
        <f t="shared" si="158"/>
        <v>56.6</v>
      </c>
    </row>
    <row r="1490" spans="1:12" x14ac:dyDescent="0.25">
      <c r="A1490" s="7">
        <v>45240</v>
      </c>
      <c r="B1490" t="s">
        <v>6</v>
      </c>
      <c r="C1490" s="6" t="s">
        <v>416</v>
      </c>
      <c r="D1490" s="1" t="s">
        <v>351</v>
      </c>
      <c r="E1490" s="1">
        <v>0.54166666666666663</v>
      </c>
      <c r="F1490" s="1">
        <v>0.62916666666666665</v>
      </c>
      <c r="G1490" s="9">
        <f t="shared" si="154"/>
        <v>45236</v>
      </c>
      <c r="H1490" s="11">
        <f t="shared" si="155"/>
        <v>2.1</v>
      </c>
      <c r="I1490" s="10">
        <f t="shared" si="156"/>
        <v>7.1999999999999993</v>
      </c>
      <c r="J1490" s="10">
        <f t="shared" si="157"/>
        <v>7.2</v>
      </c>
      <c r="K1490" s="10">
        <f t="shared" si="159"/>
        <v>36.4</v>
      </c>
      <c r="L1490" s="10">
        <f t="shared" si="158"/>
        <v>58.7</v>
      </c>
    </row>
    <row r="1491" spans="1:12" x14ac:dyDescent="0.25">
      <c r="A1491" s="7">
        <v>45243</v>
      </c>
      <c r="B1491" t="s">
        <v>426</v>
      </c>
      <c r="C1491" s="6">
        <v>6230</v>
      </c>
      <c r="D1491" s="1" t="s">
        <v>485</v>
      </c>
      <c r="E1491" s="1">
        <v>0.3125</v>
      </c>
      <c r="F1491" s="1">
        <v>0.38750000000000001</v>
      </c>
      <c r="G1491" s="9">
        <f t="shared" si="154"/>
        <v>45243</v>
      </c>
      <c r="H1491" s="11">
        <f t="shared" si="155"/>
        <v>1.8</v>
      </c>
      <c r="I1491" s="10">
        <f t="shared" si="156"/>
        <v>1.8</v>
      </c>
      <c r="J1491" s="10">
        <f t="shared" si="157"/>
        <v>7.2</v>
      </c>
      <c r="K1491" s="10">
        <f t="shared" si="159"/>
        <v>1.8</v>
      </c>
      <c r="L1491" s="10">
        <f t="shared" si="158"/>
        <v>60.5</v>
      </c>
    </row>
    <row r="1492" spans="1:12" x14ac:dyDescent="0.25">
      <c r="A1492" s="7">
        <v>45243</v>
      </c>
      <c r="B1492" t="s">
        <v>411</v>
      </c>
      <c r="C1492" s="6">
        <v>6181</v>
      </c>
      <c r="D1492" s="1" t="s">
        <v>487</v>
      </c>
      <c r="E1492" s="1">
        <v>0.38750000000000001</v>
      </c>
      <c r="F1492" s="1">
        <v>0.41666666666666669</v>
      </c>
      <c r="G1492" s="9">
        <f t="shared" si="154"/>
        <v>45243</v>
      </c>
      <c r="H1492" s="11">
        <f t="shared" si="155"/>
        <v>0.7</v>
      </c>
      <c r="I1492" s="10">
        <f t="shared" si="156"/>
        <v>2.5</v>
      </c>
      <c r="J1492" s="10">
        <f t="shared" si="157"/>
        <v>7.2</v>
      </c>
      <c r="K1492" s="10">
        <f t="shared" si="159"/>
        <v>2.5</v>
      </c>
      <c r="L1492" s="10">
        <f t="shared" si="158"/>
        <v>61.2</v>
      </c>
    </row>
    <row r="1493" spans="1:12" x14ac:dyDescent="0.25">
      <c r="A1493" s="7">
        <v>45243</v>
      </c>
      <c r="B1493" t="s">
        <v>6</v>
      </c>
      <c r="C1493" s="6" t="s">
        <v>416</v>
      </c>
      <c r="D1493" s="1" t="s">
        <v>112</v>
      </c>
      <c r="E1493" s="1">
        <v>0.41666666666666669</v>
      </c>
      <c r="F1493" s="1">
        <v>0.45833333333333331</v>
      </c>
      <c r="G1493" s="9">
        <f t="shared" si="154"/>
        <v>45243</v>
      </c>
      <c r="H1493" s="11">
        <f t="shared" si="155"/>
        <v>1</v>
      </c>
      <c r="I1493" s="10">
        <f t="shared" si="156"/>
        <v>3.5</v>
      </c>
      <c r="J1493" s="10">
        <f t="shared" si="157"/>
        <v>7.2</v>
      </c>
      <c r="K1493" s="10">
        <f t="shared" si="159"/>
        <v>3.5</v>
      </c>
      <c r="L1493" s="10">
        <f t="shared" si="158"/>
        <v>62.2</v>
      </c>
    </row>
    <row r="1494" spans="1:12" x14ac:dyDescent="0.25">
      <c r="A1494" s="7">
        <v>45243</v>
      </c>
      <c r="B1494" t="s">
        <v>311</v>
      </c>
      <c r="C1494" s="6">
        <v>2008</v>
      </c>
      <c r="D1494" s="1" t="s">
        <v>44</v>
      </c>
      <c r="E1494" s="1">
        <v>0.45833333333333331</v>
      </c>
      <c r="F1494" s="1">
        <v>0.48333333333333334</v>
      </c>
      <c r="G1494" s="9">
        <f t="shared" si="154"/>
        <v>45243</v>
      </c>
      <c r="H1494" s="11">
        <f t="shared" si="155"/>
        <v>0.6</v>
      </c>
      <c r="I1494" s="10">
        <f t="shared" si="156"/>
        <v>4.0999999999999996</v>
      </c>
      <c r="J1494" s="10">
        <f t="shared" si="157"/>
        <v>7.2</v>
      </c>
      <c r="K1494" s="10">
        <f t="shared" si="159"/>
        <v>4.0999999999999996</v>
      </c>
      <c r="L1494" s="10">
        <f t="shared" si="158"/>
        <v>62.800000000000004</v>
      </c>
    </row>
    <row r="1495" spans="1:12" x14ac:dyDescent="0.25">
      <c r="A1495" s="7">
        <v>45243</v>
      </c>
      <c r="B1495" t="s">
        <v>411</v>
      </c>
      <c r="C1495" s="6">
        <v>6181</v>
      </c>
      <c r="D1495" s="1" t="s">
        <v>487</v>
      </c>
      <c r="E1495" s="1">
        <v>0.50624999999999998</v>
      </c>
      <c r="F1495" s="1">
        <v>0.54166666666666663</v>
      </c>
      <c r="G1495" s="9">
        <f t="shared" si="154"/>
        <v>45243</v>
      </c>
      <c r="H1495" s="11">
        <f t="shared" si="155"/>
        <v>0.9</v>
      </c>
      <c r="I1495" s="10">
        <f t="shared" si="156"/>
        <v>5</v>
      </c>
      <c r="J1495" s="10">
        <f t="shared" si="157"/>
        <v>7.2</v>
      </c>
      <c r="K1495" s="10">
        <f t="shared" si="159"/>
        <v>5</v>
      </c>
      <c r="L1495" s="10">
        <f t="shared" si="158"/>
        <v>63.699999999999996</v>
      </c>
    </row>
    <row r="1496" spans="1:12" x14ac:dyDescent="0.25">
      <c r="A1496" s="7">
        <v>45243</v>
      </c>
      <c r="B1496" s="2" t="s">
        <v>464</v>
      </c>
      <c r="C1496" s="6">
        <v>2431</v>
      </c>
      <c r="D1496" s="1" t="s">
        <v>465</v>
      </c>
      <c r="E1496" s="1">
        <v>0.54166666666666663</v>
      </c>
      <c r="F1496" s="1">
        <v>0.61597222222222225</v>
      </c>
      <c r="G1496" s="9">
        <f t="shared" si="154"/>
        <v>45243</v>
      </c>
      <c r="H1496" s="11">
        <f t="shared" si="155"/>
        <v>1.8</v>
      </c>
      <c r="I1496" s="10">
        <f t="shared" si="156"/>
        <v>6.8</v>
      </c>
      <c r="J1496" s="10">
        <f t="shared" si="157"/>
        <v>7.2</v>
      </c>
      <c r="K1496" s="10">
        <f t="shared" si="159"/>
        <v>6.8</v>
      </c>
      <c r="L1496" s="10">
        <f t="shared" si="158"/>
        <v>65.5</v>
      </c>
    </row>
    <row r="1497" spans="1:12" x14ac:dyDescent="0.25">
      <c r="A1497" s="7">
        <v>45244</v>
      </c>
      <c r="B1497" t="s">
        <v>411</v>
      </c>
      <c r="C1497" s="6">
        <v>6181</v>
      </c>
      <c r="D1497" s="1" t="s">
        <v>384</v>
      </c>
      <c r="E1497" s="1">
        <v>0.3298611111111111</v>
      </c>
      <c r="F1497" s="1">
        <v>0.4375</v>
      </c>
      <c r="G1497" s="9">
        <f t="shared" si="154"/>
        <v>45243</v>
      </c>
      <c r="H1497" s="11">
        <f t="shared" si="155"/>
        <v>2.6</v>
      </c>
      <c r="I1497" s="10">
        <f t="shared" si="156"/>
        <v>2.6</v>
      </c>
      <c r="J1497" s="10">
        <f t="shared" si="157"/>
        <v>7.2</v>
      </c>
      <c r="K1497" s="10">
        <f t="shared" si="159"/>
        <v>9.4</v>
      </c>
      <c r="L1497" s="10">
        <f t="shared" si="158"/>
        <v>68.099999999999994</v>
      </c>
    </row>
    <row r="1498" spans="1:12" x14ac:dyDescent="0.25">
      <c r="A1498" s="7">
        <v>45244</v>
      </c>
      <c r="B1498" t="s">
        <v>426</v>
      </c>
      <c r="C1498" s="6">
        <v>6230</v>
      </c>
      <c r="D1498" s="1" t="s">
        <v>488</v>
      </c>
      <c r="E1498" s="1">
        <v>0.4375</v>
      </c>
      <c r="F1498" s="1">
        <v>0.47916666666666669</v>
      </c>
      <c r="G1498" s="9">
        <f t="shared" si="154"/>
        <v>45243</v>
      </c>
      <c r="H1498" s="11">
        <f t="shared" si="155"/>
        <v>1</v>
      </c>
      <c r="I1498" s="10">
        <f t="shared" si="156"/>
        <v>3.6</v>
      </c>
      <c r="J1498" s="10">
        <f t="shared" si="157"/>
        <v>7.2</v>
      </c>
      <c r="K1498" s="10">
        <f t="shared" si="159"/>
        <v>10.4</v>
      </c>
      <c r="L1498" s="10">
        <f t="shared" si="158"/>
        <v>69.099999999999994</v>
      </c>
    </row>
    <row r="1499" spans="1:12" x14ac:dyDescent="0.25">
      <c r="A1499" s="7">
        <v>45244</v>
      </c>
      <c r="B1499" t="s">
        <v>426</v>
      </c>
      <c r="C1499" s="6">
        <v>6230</v>
      </c>
      <c r="D1499" s="1" t="s">
        <v>489</v>
      </c>
      <c r="E1499" s="1">
        <v>0.49652777777777773</v>
      </c>
      <c r="F1499" s="1">
        <v>0.56041666666666667</v>
      </c>
      <c r="G1499" s="9">
        <f t="shared" si="154"/>
        <v>45243</v>
      </c>
      <c r="H1499" s="11">
        <f t="shared" si="155"/>
        <v>1.5</v>
      </c>
      <c r="I1499" s="10">
        <f t="shared" si="156"/>
        <v>5.0999999999999996</v>
      </c>
      <c r="J1499" s="10">
        <f t="shared" si="157"/>
        <v>7.2</v>
      </c>
      <c r="K1499" s="10">
        <f t="shared" si="159"/>
        <v>11.9</v>
      </c>
      <c r="L1499" s="10">
        <f t="shared" si="158"/>
        <v>70.599999999999994</v>
      </c>
    </row>
    <row r="1500" spans="1:12" x14ac:dyDescent="0.25">
      <c r="A1500" s="7">
        <v>45244</v>
      </c>
      <c r="B1500" t="s">
        <v>411</v>
      </c>
      <c r="C1500" s="6">
        <v>6181</v>
      </c>
      <c r="D1500" s="1" t="s">
        <v>384</v>
      </c>
      <c r="E1500" s="1">
        <v>0.56041666666666667</v>
      </c>
      <c r="F1500" s="1">
        <v>0.625</v>
      </c>
      <c r="G1500" s="9">
        <f t="shared" si="154"/>
        <v>45243</v>
      </c>
      <c r="H1500" s="11">
        <f t="shared" si="155"/>
        <v>1.6</v>
      </c>
      <c r="I1500" s="10">
        <f t="shared" si="156"/>
        <v>6.6999999999999993</v>
      </c>
      <c r="J1500" s="10">
        <f t="shared" si="157"/>
        <v>7.2</v>
      </c>
      <c r="K1500" s="10">
        <f t="shared" si="159"/>
        <v>13.5</v>
      </c>
      <c r="L1500" s="10">
        <f t="shared" si="158"/>
        <v>72.199999999999989</v>
      </c>
    </row>
    <row r="1501" spans="1:12" x14ac:dyDescent="0.25">
      <c r="A1501" s="7">
        <v>45244</v>
      </c>
      <c r="B1501" t="s">
        <v>411</v>
      </c>
      <c r="C1501" s="6">
        <v>6181</v>
      </c>
      <c r="D1501" s="1" t="s">
        <v>44</v>
      </c>
      <c r="E1501" s="1">
        <v>0.625</v>
      </c>
      <c r="F1501" s="1">
        <v>0.70347222222222217</v>
      </c>
      <c r="G1501" s="9">
        <f t="shared" si="154"/>
        <v>45243</v>
      </c>
      <c r="H1501" s="11">
        <f t="shared" si="155"/>
        <v>1.9</v>
      </c>
      <c r="I1501" s="10">
        <f t="shared" si="156"/>
        <v>8.6</v>
      </c>
      <c r="J1501" s="10">
        <f t="shared" si="157"/>
        <v>7.2</v>
      </c>
      <c r="K1501" s="10">
        <f t="shared" si="159"/>
        <v>15.4</v>
      </c>
      <c r="L1501" s="10">
        <f t="shared" si="158"/>
        <v>74.100000000000009</v>
      </c>
    </row>
    <row r="1502" spans="1:12" x14ac:dyDescent="0.25">
      <c r="A1502" s="7">
        <v>45245</v>
      </c>
      <c r="B1502" t="s">
        <v>411</v>
      </c>
      <c r="C1502" s="6">
        <v>6181</v>
      </c>
      <c r="D1502" s="1" t="s">
        <v>384</v>
      </c>
      <c r="E1502" s="1">
        <v>0.32222222222222224</v>
      </c>
      <c r="F1502" s="1">
        <v>0.47847222222222219</v>
      </c>
      <c r="G1502" s="9">
        <f t="shared" si="154"/>
        <v>45243</v>
      </c>
      <c r="H1502" s="11">
        <f t="shared" si="155"/>
        <v>3.8</v>
      </c>
      <c r="I1502" s="10">
        <f t="shared" si="156"/>
        <v>3.8</v>
      </c>
      <c r="J1502" s="10">
        <f t="shared" si="157"/>
        <v>7.2</v>
      </c>
      <c r="K1502" s="10">
        <f t="shared" si="159"/>
        <v>19.2</v>
      </c>
      <c r="L1502" s="10">
        <f t="shared" si="158"/>
        <v>77.899999999999991</v>
      </c>
    </row>
    <row r="1503" spans="1:12" x14ac:dyDescent="0.25">
      <c r="A1503" s="7">
        <v>45245</v>
      </c>
      <c r="B1503" t="s">
        <v>411</v>
      </c>
      <c r="C1503" s="6">
        <v>6181</v>
      </c>
      <c r="D1503" s="1" t="s">
        <v>384</v>
      </c>
      <c r="E1503" s="1">
        <v>0.4916666666666667</v>
      </c>
      <c r="F1503" s="1">
        <v>0.6479166666666667</v>
      </c>
      <c r="G1503" s="9">
        <f t="shared" si="154"/>
        <v>45243</v>
      </c>
      <c r="H1503" s="11">
        <f t="shared" si="155"/>
        <v>3.8</v>
      </c>
      <c r="I1503" s="10">
        <f t="shared" si="156"/>
        <v>7.6</v>
      </c>
      <c r="J1503" s="10">
        <f t="shared" si="157"/>
        <v>7.2</v>
      </c>
      <c r="K1503" s="10">
        <f t="shared" si="159"/>
        <v>23</v>
      </c>
      <c r="L1503" s="10">
        <f t="shared" si="158"/>
        <v>81.7</v>
      </c>
    </row>
    <row r="1504" spans="1:12" x14ac:dyDescent="0.25">
      <c r="A1504" s="7">
        <v>45246</v>
      </c>
      <c r="B1504" t="s">
        <v>411</v>
      </c>
      <c r="C1504" s="6">
        <v>6181</v>
      </c>
      <c r="D1504" s="1" t="s">
        <v>384</v>
      </c>
      <c r="E1504" s="1">
        <v>0.3298611111111111</v>
      </c>
      <c r="F1504" s="1">
        <v>0.48333333333333334</v>
      </c>
      <c r="G1504" s="9">
        <f t="shared" si="154"/>
        <v>45243</v>
      </c>
      <c r="H1504" s="11">
        <f t="shared" si="155"/>
        <v>3.7</v>
      </c>
      <c r="I1504" s="10">
        <f t="shared" si="156"/>
        <v>3.7</v>
      </c>
      <c r="J1504" s="10">
        <f t="shared" si="157"/>
        <v>7.2</v>
      </c>
      <c r="K1504" s="10">
        <f t="shared" si="159"/>
        <v>26.7</v>
      </c>
      <c r="L1504" s="10">
        <f t="shared" si="158"/>
        <v>85.4</v>
      </c>
    </row>
    <row r="1505" spans="1:12" x14ac:dyDescent="0.25">
      <c r="A1505" s="7">
        <v>45246</v>
      </c>
      <c r="B1505" t="s">
        <v>411</v>
      </c>
      <c r="C1505" s="6">
        <v>6181</v>
      </c>
      <c r="D1505" s="1" t="s">
        <v>490</v>
      </c>
      <c r="E1505" s="1">
        <v>0.4909722222222222</v>
      </c>
      <c r="F1505" s="1">
        <v>0.63402777777777775</v>
      </c>
      <c r="G1505" s="9">
        <f t="shared" si="154"/>
        <v>45243</v>
      </c>
      <c r="H1505" s="11">
        <f t="shared" si="155"/>
        <v>3.4</v>
      </c>
      <c r="I1505" s="10">
        <f t="shared" si="156"/>
        <v>7.1</v>
      </c>
      <c r="J1505" s="10">
        <f t="shared" si="157"/>
        <v>7.2</v>
      </c>
      <c r="K1505" s="10">
        <f t="shared" si="159"/>
        <v>30.099999999999998</v>
      </c>
      <c r="L1505" s="10">
        <f t="shared" si="158"/>
        <v>88.800000000000011</v>
      </c>
    </row>
    <row r="1506" spans="1:12" x14ac:dyDescent="0.25">
      <c r="A1506" s="7">
        <v>45247</v>
      </c>
      <c r="B1506" t="s">
        <v>411</v>
      </c>
      <c r="C1506" s="6">
        <v>6181</v>
      </c>
      <c r="D1506" s="1" t="s">
        <v>468</v>
      </c>
      <c r="E1506" s="1">
        <v>0.30972222222222223</v>
      </c>
      <c r="F1506" s="1">
        <v>0.46875</v>
      </c>
      <c r="G1506" s="9">
        <f t="shared" si="154"/>
        <v>45243</v>
      </c>
      <c r="H1506" s="11">
        <f t="shared" si="155"/>
        <v>3.8</v>
      </c>
      <c r="I1506" s="10">
        <f t="shared" si="156"/>
        <v>3.8</v>
      </c>
      <c r="J1506" s="10">
        <f t="shared" si="157"/>
        <v>7.2</v>
      </c>
      <c r="K1506" s="10">
        <f t="shared" si="159"/>
        <v>33.9</v>
      </c>
      <c r="L1506" s="10">
        <f t="shared" si="158"/>
        <v>92.6</v>
      </c>
    </row>
    <row r="1507" spans="1:12" x14ac:dyDescent="0.25">
      <c r="A1507" s="7">
        <v>45247</v>
      </c>
      <c r="B1507" t="s">
        <v>411</v>
      </c>
      <c r="C1507" s="6">
        <v>6181</v>
      </c>
      <c r="D1507" s="1" t="s">
        <v>468</v>
      </c>
      <c r="E1507" s="1">
        <v>0.48194444444444445</v>
      </c>
      <c r="F1507" s="1">
        <v>0.55972222222222223</v>
      </c>
      <c r="G1507" s="9">
        <f t="shared" si="154"/>
        <v>45243</v>
      </c>
      <c r="H1507" s="11">
        <f t="shared" si="155"/>
        <v>1.9</v>
      </c>
      <c r="I1507" s="10">
        <f t="shared" si="156"/>
        <v>5.6999999999999993</v>
      </c>
      <c r="J1507" s="10">
        <f t="shared" si="157"/>
        <v>7.2</v>
      </c>
      <c r="K1507" s="10">
        <f t="shared" si="159"/>
        <v>35.799999999999997</v>
      </c>
      <c r="L1507" s="10">
        <f t="shared" si="158"/>
        <v>94.5</v>
      </c>
    </row>
    <row r="1508" spans="1:12" x14ac:dyDescent="0.25">
      <c r="A1508" s="7">
        <v>45247</v>
      </c>
      <c r="B1508" t="s">
        <v>411</v>
      </c>
      <c r="C1508" s="6">
        <v>6181</v>
      </c>
      <c r="D1508" s="1" t="s">
        <v>466</v>
      </c>
      <c r="E1508" s="1">
        <v>0.55972222222222223</v>
      </c>
      <c r="F1508" s="1">
        <v>0.58611111111111114</v>
      </c>
      <c r="G1508" s="9">
        <f t="shared" si="154"/>
        <v>45243</v>
      </c>
      <c r="H1508" s="11">
        <f t="shared" si="155"/>
        <v>0.6</v>
      </c>
      <c r="I1508" s="10">
        <f t="shared" si="156"/>
        <v>6.3</v>
      </c>
      <c r="J1508" s="10">
        <f t="shared" si="157"/>
        <v>7.2</v>
      </c>
      <c r="K1508" s="10">
        <f t="shared" si="159"/>
        <v>36.4</v>
      </c>
      <c r="L1508" s="10">
        <f t="shared" si="158"/>
        <v>95.1</v>
      </c>
    </row>
    <row r="1509" spans="1:12" x14ac:dyDescent="0.25">
      <c r="A1509" s="7">
        <v>45250</v>
      </c>
      <c r="B1509" t="s">
        <v>411</v>
      </c>
      <c r="C1509" s="6">
        <v>6181</v>
      </c>
      <c r="D1509" s="1" t="s">
        <v>107</v>
      </c>
      <c r="E1509" s="1">
        <v>0.31736111111111115</v>
      </c>
      <c r="F1509" s="1">
        <v>0.41666666666666669</v>
      </c>
      <c r="G1509" s="9">
        <f t="shared" si="154"/>
        <v>45250</v>
      </c>
      <c r="H1509" s="11">
        <f t="shared" si="155"/>
        <v>2.4</v>
      </c>
      <c r="I1509" s="10">
        <f t="shared" si="156"/>
        <v>2.4</v>
      </c>
      <c r="J1509" s="10">
        <f t="shared" si="157"/>
        <v>7.2</v>
      </c>
      <c r="K1509" s="10">
        <f t="shared" si="159"/>
        <v>2.4</v>
      </c>
      <c r="L1509" s="10">
        <f t="shared" si="158"/>
        <v>97.5</v>
      </c>
    </row>
    <row r="1510" spans="1:12" x14ac:dyDescent="0.25">
      <c r="A1510" s="7">
        <v>45250</v>
      </c>
      <c r="B1510" t="s">
        <v>6</v>
      </c>
      <c r="C1510" s="6" t="s">
        <v>416</v>
      </c>
      <c r="D1510" s="1" t="s">
        <v>112</v>
      </c>
      <c r="E1510" s="1">
        <v>0.41666666666666669</v>
      </c>
      <c r="F1510" s="1">
        <v>0.46875</v>
      </c>
      <c r="G1510" s="9">
        <f t="shared" si="154"/>
        <v>45250</v>
      </c>
      <c r="H1510" s="11">
        <f t="shared" si="155"/>
        <v>1.3</v>
      </c>
      <c r="I1510" s="10">
        <f t="shared" si="156"/>
        <v>3.7</v>
      </c>
      <c r="J1510" s="10">
        <f t="shared" si="157"/>
        <v>7.2</v>
      </c>
      <c r="K1510" s="10">
        <f t="shared" si="159"/>
        <v>3.7</v>
      </c>
      <c r="L1510" s="10">
        <f t="shared" si="158"/>
        <v>98.8</v>
      </c>
    </row>
    <row r="1511" spans="1:12" x14ac:dyDescent="0.25">
      <c r="A1511" s="7">
        <v>45250</v>
      </c>
      <c r="B1511" t="s">
        <v>411</v>
      </c>
      <c r="C1511" s="6">
        <v>6181</v>
      </c>
      <c r="D1511" s="1" t="s">
        <v>107</v>
      </c>
      <c r="E1511" s="1">
        <v>0.46875</v>
      </c>
      <c r="F1511" s="1">
        <v>0.47569444444444442</v>
      </c>
      <c r="G1511" s="9">
        <f t="shared" si="154"/>
        <v>45250</v>
      </c>
      <c r="H1511" s="11">
        <f t="shared" si="155"/>
        <v>0.2</v>
      </c>
      <c r="I1511" s="10">
        <f t="shared" si="156"/>
        <v>3.9000000000000004</v>
      </c>
      <c r="J1511" s="10">
        <f t="shared" si="157"/>
        <v>7.2</v>
      </c>
      <c r="K1511" s="10">
        <f t="shared" si="159"/>
        <v>3.9000000000000004</v>
      </c>
      <c r="L1511" s="10">
        <f t="shared" si="158"/>
        <v>99</v>
      </c>
    </row>
    <row r="1512" spans="1:12" x14ac:dyDescent="0.25">
      <c r="A1512" s="7">
        <v>45250</v>
      </c>
      <c r="B1512" t="s">
        <v>411</v>
      </c>
      <c r="C1512" s="6">
        <v>6181</v>
      </c>
      <c r="D1512" s="1" t="s">
        <v>107</v>
      </c>
      <c r="E1512" s="1">
        <v>0.50486111111111109</v>
      </c>
      <c r="F1512" s="1">
        <v>0.58333333333333337</v>
      </c>
      <c r="G1512" s="9">
        <f t="shared" si="154"/>
        <v>45250</v>
      </c>
      <c r="H1512" s="11">
        <f t="shared" si="155"/>
        <v>1.9</v>
      </c>
      <c r="I1512" s="10">
        <f t="shared" si="156"/>
        <v>5.8</v>
      </c>
      <c r="J1512" s="10">
        <f t="shared" si="157"/>
        <v>7.2</v>
      </c>
      <c r="K1512" s="10">
        <f t="shared" si="159"/>
        <v>5.8</v>
      </c>
      <c r="L1512" s="10">
        <f t="shared" si="158"/>
        <v>100.9</v>
      </c>
    </row>
    <row r="1513" spans="1:12" x14ac:dyDescent="0.25">
      <c r="A1513" s="7">
        <v>45250</v>
      </c>
      <c r="B1513" s="2" t="s">
        <v>464</v>
      </c>
      <c r="C1513" s="6">
        <v>2431</v>
      </c>
      <c r="D1513" s="1" t="s">
        <v>465</v>
      </c>
      <c r="E1513" s="1">
        <v>0.58333333333333337</v>
      </c>
      <c r="F1513" s="1">
        <v>0.63611111111111118</v>
      </c>
      <c r="G1513" s="9">
        <f t="shared" si="154"/>
        <v>45250</v>
      </c>
      <c r="H1513" s="11">
        <f t="shared" si="155"/>
        <v>1.3</v>
      </c>
      <c r="I1513" s="10">
        <f t="shared" si="156"/>
        <v>7.1</v>
      </c>
      <c r="J1513" s="10">
        <f t="shared" si="157"/>
        <v>7.2</v>
      </c>
      <c r="K1513" s="10">
        <f t="shared" si="159"/>
        <v>7.1</v>
      </c>
      <c r="L1513" s="10">
        <f t="shared" si="158"/>
        <v>102.2</v>
      </c>
    </row>
    <row r="1514" spans="1:12" x14ac:dyDescent="0.25">
      <c r="A1514" s="7">
        <v>45251</v>
      </c>
      <c r="B1514" t="s">
        <v>411</v>
      </c>
      <c r="C1514" s="6">
        <v>6181</v>
      </c>
      <c r="D1514" s="1" t="s">
        <v>107</v>
      </c>
      <c r="E1514" s="1">
        <v>0.31527777777777777</v>
      </c>
      <c r="F1514" s="1">
        <v>0.3972222222222222</v>
      </c>
      <c r="G1514" s="9">
        <f t="shared" si="154"/>
        <v>45250</v>
      </c>
      <c r="H1514" s="11">
        <f t="shared" si="155"/>
        <v>2</v>
      </c>
      <c r="I1514" s="10">
        <f t="shared" si="156"/>
        <v>2</v>
      </c>
      <c r="J1514" s="10">
        <f t="shared" si="157"/>
        <v>7.2</v>
      </c>
      <c r="K1514" s="10">
        <f t="shared" si="159"/>
        <v>9.1</v>
      </c>
      <c r="L1514" s="10">
        <f t="shared" si="158"/>
        <v>104.2</v>
      </c>
    </row>
    <row r="1515" spans="1:12" x14ac:dyDescent="0.25">
      <c r="A1515" s="7">
        <v>45251</v>
      </c>
      <c r="B1515" t="s">
        <v>411</v>
      </c>
      <c r="C1515" s="6">
        <v>6181</v>
      </c>
      <c r="D1515" s="1" t="s">
        <v>107</v>
      </c>
      <c r="E1515" s="1">
        <v>0.53125</v>
      </c>
      <c r="F1515" s="1">
        <v>0.6972222222222223</v>
      </c>
      <c r="G1515" s="9">
        <f t="shared" si="154"/>
        <v>45250</v>
      </c>
      <c r="H1515" s="11">
        <f t="shared" si="155"/>
        <v>4</v>
      </c>
      <c r="I1515" s="10">
        <f t="shared" si="156"/>
        <v>6</v>
      </c>
      <c r="J1515" s="10">
        <f t="shared" si="157"/>
        <v>7.2</v>
      </c>
      <c r="K1515" s="10">
        <f t="shared" si="159"/>
        <v>13.1</v>
      </c>
      <c r="L1515" s="10">
        <f t="shared" si="158"/>
        <v>108.2</v>
      </c>
    </row>
    <row r="1516" spans="1:12" x14ac:dyDescent="0.25">
      <c r="A1516" s="7">
        <v>45252</v>
      </c>
      <c r="B1516" t="s">
        <v>411</v>
      </c>
      <c r="C1516" s="6">
        <v>6181</v>
      </c>
      <c r="D1516" s="1" t="s">
        <v>107</v>
      </c>
      <c r="E1516" s="1">
        <v>0.31597222222222221</v>
      </c>
      <c r="F1516" s="1">
        <v>0.49652777777777773</v>
      </c>
      <c r="G1516" s="9">
        <f t="shared" si="154"/>
        <v>45250</v>
      </c>
      <c r="H1516" s="11">
        <f t="shared" si="155"/>
        <v>4.3</v>
      </c>
      <c r="I1516" s="10">
        <f t="shared" si="156"/>
        <v>4.3</v>
      </c>
      <c r="J1516" s="10">
        <f t="shared" si="157"/>
        <v>7.2</v>
      </c>
      <c r="K1516" s="10">
        <f t="shared" si="159"/>
        <v>17.399999999999999</v>
      </c>
      <c r="L1516" s="10">
        <f t="shared" si="158"/>
        <v>112.5</v>
      </c>
    </row>
    <row r="1517" spans="1:12" x14ac:dyDescent="0.25">
      <c r="A1517" s="7">
        <v>45252</v>
      </c>
      <c r="B1517" t="s">
        <v>411</v>
      </c>
      <c r="C1517" s="6">
        <v>6181</v>
      </c>
      <c r="D1517" s="1" t="s">
        <v>107</v>
      </c>
      <c r="E1517" s="1">
        <v>0.50763888888888886</v>
      </c>
      <c r="F1517" s="1">
        <v>0.64444444444444449</v>
      </c>
      <c r="G1517" s="9">
        <f t="shared" ref="G1517:G1580" si="160">IF(E1517&gt;0,INT((A1517-2)/7)*7+2,"")</f>
        <v>45250</v>
      </c>
      <c r="H1517" s="11">
        <f t="shared" ref="H1517:H1580" si="161">IF(E1517&gt;0,ROUND(24*(IF(F1517&gt;0,F1517,NowTime)-E1517),1),"")</f>
        <v>3.3</v>
      </c>
      <c r="I1517" s="10">
        <f t="shared" ref="I1517:I1580" si="162">IF(H1517="",H1517,H1517+IF(A1517=A1516,_xlfn.NUMBERVALUE(I1516),0))</f>
        <v>7.6</v>
      </c>
      <c r="J1517" s="10">
        <f t="shared" ref="J1517:J1580" si="163">IF(H1517="",H1517,7.2)</f>
        <v>7.2</v>
      </c>
      <c r="K1517" s="10">
        <f t="shared" si="159"/>
        <v>20.7</v>
      </c>
      <c r="L1517" s="10">
        <f t="shared" ref="L1517:L1580" si="164">IF(H1517="",H1517,H1517+IF(MONTH(A1517)=MONTH(A1516),_xlfn.NUMBERVALUE(L1516),0))</f>
        <v>115.8</v>
      </c>
    </row>
    <row r="1518" spans="1:12" x14ac:dyDescent="0.25">
      <c r="A1518" s="7">
        <v>45253</v>
      </c>
      <c r="B1518" t="s">
        <v>411</v>
      </c>
      <c r="C1518" s="6">
        <v>6181</v>
      </c>
      <c r="D1518" s="1" t="s">
        <v>107</v>
      </c>
      <c r="E1518" s="1">
        <v>0.3034722222222222</v>
      </c>
      <c r="F1518" s="1">
        <v>0.4694444444444445</v>
      </c>
      <c r="G1518" s="9">
        <f t="shared" si="160"/>
        <v>45250</v>
      </c>
      <c r="H1518" s="11">
        <f t="shared" si="161"/>
        <v>4</v>
      </c>
      <c r="I1518" s="10">
        <f t="shared" si="162"/>
        <v>4</v>
      </c>
      <c r="J1518" s="10">
        <f t="shared" si="163"/>
        <v>7.2</v>
      </c>
      <c r="K1518" s="10">
        <f t="shared" si="159"/>
        <v>24.7</v>
      </c>
      <c r="L1518" s="10">
        <f t="shared" si="164"/>
        <v>119.8</v>
      </c>
    </row>
    <row r="1519" spans="1:12" x14ac:dyDescent="0.25">
      <c r="A1519" s="7">
        <v>45253</v>
      </c>
      <c r="B1519" t="s">
        <v>411</v>
      </c>
      <c r="C1519" s="6">
        <v>6181</v>
      </c>
      <c r="D1519" s="1" t="s">
        <v>107</v>
      </c>
      <c r="E1519" s="1">
        <v>0.4826388888888889</v>
      </c>
      <c r="F1519" s="1">
        <v>0.63611111111111118</v>
      </c>
      <c r="G1519" s="9">
        <f t="shared" si="160"/>
        <v>45250</v>
      </c>
      <c r="H1519" s="11">
        <f t="shared" si="161"/>
        <v>3.7</v>
      </c>
      <c r="I1519" s="10">
        <f t="shared" si="162"/>
        <v>7.7</v>
      </c>
      <c r="J1519" s="10">
        <f t="shared" si="163"/>
        <v>7.2</v>
      </c>
      <c r="K1519" s="10">
        <f t="shared" si="159"/>
        <v>28.4</v>
      </c>
      <c r="L1519" s="10">
        <f t="shared" si="164"/>
        <v>123.5</v>
      </c>
    </row>
    <row r="1520" spans="1:12" x14ac:dyDescent="0.25">
      <c r="A1520" s="7">
        <v>45254</v>
      </c>
      <c r="B1520" t="s">
        <v>411</v>
      </c>
      <c r="C1520" s="6">
        <v>6181</v>
      </c>
      <c r="D1520" s="1" t="s">
        <v>107</v>
      </c>
      <c r="E1520" s="1">
        <v>0.28333333333333333</v>
      </c>
      <c r="F1520" s="1">
        <v>0.48125000000000001</v>
      </c>
      <c r="G1520" s="9">
        <f t="shared" si="160"/>
        <v>45250</v>
      </c>
      <c r="H1520" s="11">
        <f t="shared" si="161"/>
        <v>4.8</v>
      </c>
      <c r="I1520" s="10">
        <f t="shared" si="162"/>
        <v>4.8</v>
      </c>
      <c r="J1520" s="10">
        <f t="shared" si="163"/>
        <v>7.2</v>
      </c>
      <c r="K1520" s="10">
        <f t="shared" si="159"/>
        <v>33.199999999999996</v>
      </c>
      <c r="L1520" s="10">
        <f t="shared" si="164"/>
        <v>128.30000000000001</v>
      </c>
    </row>
    <row r="1521" spans="1:12" x14ac:dyDescent="0.25">
      <c r="A1521" s="7">
        <v>45254</v>
      </c>
      <c r="B1521" t="s">
        <v>411</v>
      </c>
      <c r="C1521" s="6">
        <v>6181</v>
      </c>
      <c r="D1521" s="1" t="s">
        <v>107</v>
      </c>
      <c r="E1521" s="1">
        <v>0.49722222222222223</v>
      </c>
      <c r="F1521" s="1">
        <v>0.54097222222222219</v>
      </c>
      <c r="G1521" s="9">
        <f t="shared" si="160"/>
        <v>45250</v>
      </c>
      <c r="H1521" s="11">
        <f t="shared" si="161"/>
        <v>1.1000000000000001</v>
      </c>
      <c r="I1521" s="10">
        <f t="shared" si="162"/>
        <v>5.9</v>
      </c>
      <c r="J1521" s="10">
        <f t="shared" si="163"/>
        <v>7.2</v>
      </c>
      <c r="K1521" s="10">
        <f t="shared" si="159"/>
        <v>34.300000000000004</v>
      </c>
      <c r="L1521" s="10">
        <f t="shared" si="164"/>
        <v>129.4</v>
      </c>
    </row>
    <row r="1522" spans="1:12" x14ac:dyDescent="0.25">
      <c r="A1522" s="7">
        <v>45254</v>
      </c>
      <c r="B1522" t="s">
        <v>6</v>
      </c>
      <c r="C1522" s="6" t="s">
        <v>416</v>
      </c>
      <c r="D1522" s="1" t="s">
        <v>351</v>
      </c>
      <c r="E1522" s="1">
        <v>0.54097222222222219</v>
      </c>
      <c r="F1522" s="1">
        <v>0.56805555555555554</v>
      </c>
      <c r="G1522" s="9">
        <f t="shared" si="160"/>
        <v>45250</v>
      </c>
      <c r="H1522" s="11">
        <f t="shared" si="161"/>
        <v>0.7</v>
      </c>
      <c r="I1522" s="10">
        <f t="shared" si="162"/>
        <v>6.6000000000000005</v>
      </c>
      <c r="J1522" s="10">
        <f t="shared" si="163"/>
        <v>7.2</v>
      </c>
      <c r="K1522" s="10">
        <f t="shared" si="159"/>
        <v>35</v>
      </c>
      <c r="L1522" s="10">
        <f t="shared" si="164"/>
        <v>130.1</v>
      </c>
    </row>
    <row r="1523" spans="1:12" x14ac:dyDescent="0.25">
      <c r="A1523" s="7">
        <v>45254</v>
      </c>
      <c r="B1523" t="s">
        <v>411</v>
      </c>
      <c r="C1523" s="6">
        <v>6181</v>
      </c>
      <c r="D1523" s="1" t="s">
        <v>107</v>
      </c>
      <c r="E1523" s="1">
        <v>0.56805555555555554</v>
      </c>
      <c r="F1523" s="1">
        <v>0.60902777777777783</v>
      </c>
      <c r="G1523" s="9">
        <f t="shared" si="160"/>
        <v>45250</v>
      </c>
      <c r="H1523" s="11">
        <f t="shared" si="161"/>
        <v>1</v>
      </c>
      <c r="I1523" s="10">
        <f t="shared" si="162"/>
        <v>7.6</v>
      </c>
      <c r="J1523" s="10">
        <f t="shared" si="163"/>
        <v>7.2</v>
      </c>
      <c r="K1523" s="10">
        <f t="shared" si="159"/>
        <v>36</v>
      </c>
      <c r="L1523" s="10">
        <f t="shared" si="164"/>
        <v>131.1</v>
      </c>
    </row>
    <row r="1524" spans="1:12" x14ac:dyDescent="0.25">
      <c r="A1524" s="7">
        <v>45257</v>
      </c>
      <c r="B1524" t="s">
        <v>411</v>
      </c>
      <c r="C1524" s="6">
        <v>6181</v>
      </c>
      <c r="D1524" s="1" t="s">
        <v>468</v>
      </c>
      <c r="E1524" s="1">
        <v>0.3347222222222222</v>
      </c>
      <c r="F1524" s="1">
        <v>0.41666666666666669</v>
      </c>
      <c r="G1524" s="9">
        <f t="shared" si="160"/>
        <v>45257</v>
      </c>
      <c r="H1524" s="11">
        <f t="shared" si="161"/>
        <v>2</v>
      </c>
      <c r="I1524" s="10">
        <f t="shared" si="162"/>
        <v>2</v>
      </c>
      <c r="J1524" s="10">
        <f t="shared" si="163"/>
        <v>7.2</v>
      </c>
      <c r="K1524" s="10">
        <f t="shared" si="159"/>
        <v>2</v>
      </c>
      <c r="L1524" s="10">
        <f t="shared" si="164"/>
        <v>133.1</v>
      </c>
    </row>
    <row r="1525" spans="1:12" x14ac:dyDescent="0.25">
      <c r="A1525" s="7">
        <v>45257</v>
      </c>
      <c r="B1525" t="s">
        <v>6</v>
      </c>
      <c r="C1525" s="6" t="s">
        <v>416</v>
      </c>
      <c r="D1525" s="1" t="s">
        <v>112</v>
      </c>
      <c r="E1525" s="1">
        <v>0.41666666666666669</v>
      </c>
      <c r="F1525" s="1">
        <v>0.45416666666666666</v>
      </c>
      <c r="G1525" s="9">
        <f t="shared" si="160"/>
        <v>45257</v>
      </c>
      <c r="H1525" s="11">
        <f t="shared" si="161"/>
        <v>0.9</v>
      </c>
      <c r="I1525" s="10">
        <f t="shared" si="162"/>
        <v>2.9</v>
      </c>
      <c r="J1525" s="10">
        <f t="shared" si="163"/>
        <v>7.2</v>
      </c>
      <c r="K1525" s="10">
        <f t="shared" si="159"/>
        <v>2.9</v>
      </c>
      <c r="L1525" s="10">
        <f t="shared" si="164"/>
        <v>134</v>
      </c>
    </row>
    <row r="1526" spans="1:12" x14ac:dyDescent="0.25">
      <c r="A1526" s="7">
        <v>45257</v>
      </c>
      <c r="B1526" t="s">
        <v>426</v>
      </c>
      <c r="C1526" s="6">
        <v>6230</v>
      </c>
      <c r="D1526" s="1" t="s">
        <v>491</v>
      </c>
      <c r="E1526" s="1">
        <v>0.45416666666666666</v>
      </c>
      <c r="F1526" s="1">
        <v>0.4680555555555555</v>
      </c>
      <c r="G1526" s="9">
        <f t="shared" si="160"/>
        <v>45257</v>
      </c>
      <c r="H1526" s="11">
        <f t="shared" si="161"/>
        <v>0.3</v>
      </c>
      <c r="I1526" s="10">
        <f t="shared" si="162"/>
        <v>3.1999999999999997</v>
      </c>
      <c r="J1526" s="10">
        <f t="shared" si="163"/>
        <v>7.2</v>
      </c>
      <c r="K1526" s="10">
        <f t="shared" si="159"/>
        <v>3.1999999999999997</v>
      </c>
      <c r="L1526" s="10">
        <f t="shared" si="164"/>
        <v>134.30000000000001</v>
      </c>
    </row>
    <row r="1527" spans="1:12" x14ac:dyDescent="0.25">
      <c r="A1527" s="7">
        <v>45257</v>
      </c>
      <c r="B1527" t="s">
        <v>426</v>
      </c>
      <c r="C1527" s="6">
        <v>6230</v>
      </c>
      <c r="D1527" s="1" t="s">
        <v>491</v>
      </c>
      <c r="E1527" s="1">
        <v>0.48055555555555557</v>
      </c>
      <c r="F1527" s="1">
        <v>0.54166666666666663</v>
      </c>
      <c r="G1527" s="9">
        <f t="shared" si="160"/>
        <v>45257</v>
      </c>
      <c r="H1527" s="11">
        <f t="shared" si="161"/>
        <v>1.5</v>
      </c>
      <c r="I1527" s="10">
        <f t="shared" si="162"/>
        <v>4.7</v>
      </c>
      <c r="J1527" s="10">
        <f t="shared" si="163"/>
        <v>7.2</v>
      </c>
      <c r="K1527" s="10">
        <f t="shared" si="159"/>
        <v>4.7</v>
      </c>
      <c r="L1527" s="10">
        <f t="shared" si="164"/>
        <v>135.80000000000001</v>
      </c>
    </row>
    <row r="1528" spans="1:12" x14ac:dyDescent="0.25">
      <c r="A1528" s="7">
        <v>45257</v>
      </c>
      <c r="B1528" t="s">
        <v>411</v>
      </c>
      <c r="C1528" s="6">
        <v>6181</v>
      </c>
      <c r="D1528" s="1" t="s">
        <v>492</v>
      </c>
      <c r="E1528" s="1">
        <v>0.54166666666666663</v>
      </c>
      <c r="F1528" s="1">
        <v>0.62291666666666667</v>
      </c>
      <c r="G1528" s="9">
        <f t="shared" si="160"/>
        <v>45257</v>
      </c>
      <c r="H1528" s="11">
        <f t="shared" si="161"/>
        <v>2</v>
      </c>
      <c r="I1528" s="10">
        <f t="shared" si="162"/>
        <v>6.7</v>
      </c>
      <c r="J1528" s="10">
        <f t="shared" si="163"/>
        <v>7.2</v>
      </c>
      <c r="K1528" s="10">
        <f t="shared" si="159"/>
        <v>6.7</v>
      </c>
      <c r="L1528" s="10">
        <f t="shared" si="164"/>
        <v>137.80000000000001</v>
      </c>
    </row>
    <row r="1529" spans="1:12" x14ac:dyDescent="0.25">
      <c r="A1529" s="7">
        <v>45258</v>
      </c>
      <c r="B1529" t="s">
        <v>411</v>
      </c>
      <c r="C1529" s="6">
        <v>6181</v>
      </c>
      <c r="D1529" s="1" t="s">
        <v>107</v>
      </c>
      <c r="E1529" s="1">
        <v>0.35416666666666669</v>
      </c>
      <c r="F1529" s="1">
        <v>0.41666666666666669</v>
      </c>
      <c r="G1529" s="9">
        <f t="shared" si="160"/>
        <v>45257</v>
      </c>
      <c r="H1529" s="11">
        <f t="shared" si="161"/>
        <v>1.5</v>
      </c>
      <c r="I1529" s="10">
        <f t="shared" si="162"/>
        <v>1.5</v>
      </c>
      <c r="J1529" s="10">
        <f t="shared" si="163"/>
        <v>7.2</v>
      </c>
      <c r="K1529" s="10">
        <f t="shared" si="159"/>
        <v>8.1999999999999993</v>
      </c>
      <c r="L1529" s="10">
        <f t="shared" si="164"/>
        <v>139.30000000000001</v>
      </c>
    </row>
    <row r="1530" spans="1:12" x14ac:dyDescent="0.25">
      <c r="A1530" s="7">
        <v>45258</v>
      </c>
      <c r="B1530" t="s">
        <v>6</v>
      </c>
      <c r="C1530" s="6" t="s">
        <v>416</v>
      </c>
      <c r="D1530" s="1" t="s">
        <v>241</v>
      </c>
      <c r="E1530" s="1">
        <v>0.41666666666666669</v>
      </c>
      <c r="F1530" s="1">
        <v>0.45833333333333331</v>
      </c>
      <c r="G1530" s="9">
        <f t="shared" si="160"/>
        <v>45257</v>
      </c>
      <c r="H1530" s="11">
        <f t="shared" si="161"/>
        <v>1</v>
      </c>
      <c r="I1530" s="10">
        <f t="shared" si="162"/>
        <v>2.5</v>
      </c>
      <c r="J1530" s="10">
        <f t="shared" si="163"/>
        <v>7.2</v>
      </c>
      <c r="K1530" s="10">
        <f t="shared" si="159"/>
        <v>9.1999999999999993</v>
      </c>
      <c r="L1530" s="10">
        <f t="shared" si="164"/>
        <v>140.30000000000001</v>
      </c>
    </row>
    <row r="1531" spans="1:12" x14ac:dyDescent="0.25">
      <c r="A1531" s="7">
        <v>45258</v>
      </c>
      <c r="B1531" t="s">
        <v>411</v>
      </c>
      <c r="C1531" s="6">
        <v>6181</v>
      </c>
      <c r="D1531" s="1" t="s">
        <v>107</v>
      </c>
      <c r="E1531" s="1">
        <v>0.45833333333333331</v>
      </c>
      <c r="F1531" s="1">
        <v>0.54166666666666663</v>
      </c>
      <c r="G1531" s="9">
        <f t="shared" si="160"/>
        <v>45257</v>
      </c>
      <c r="H1531" s="11">
        <f t="shared" si="161"/>
        <v>2</v>
      </c>
      <c r="I1531" s="10">
        <f t="shared" si="162"/>
        <v>4.5</v>
      </c>
      <c r="J1531" s="10">
        <f t="shared" si="163"/>
        <v>7.2</v>
      </c>
      <c r="K1531" s="10">
        <f t="shared" si="159"/>
        <v>11.2</v>
      </c>
      <c r="L1531" s="10">
        <f t="shared" si="164"/>
        <v>142.30000000000001</v>
      </c>
    </row>
    <row r="1532" spans="1:12" x14ac:dyDescent="0.25">
      <c r="A1532" s="7">
        <v>45258</v>
      </c>
      <c r="B1532" t="s">
        <v>6</v>
      </c>
      <c r="C1532" s="6" t="s">
        <v>416</v>
      </c>
      <c r="D1532" s="1" t="s">
        <v>241</v>
      </c>
      <c r="E1532" s="1">
        <v>0.54166666666666663</v>
      </c>
      <c r="F1532" s="1">
        <v>0.60416666666666663</v>
      </c>
      <c r="G1532" s="9">
        <f t="shared" si="160"/>
        <v>45257</v>
      </c>
      <c r="H1532" s="11">
        <f t="shared" si="161"/>
        <v>1.5</v>
      </c>
      <c r="I1532" s="10">
        <f t="shared" si="162"/>
        <v>6</v>
      </c>
      <c r="J1532" s="10">
        <f t="shared" si="163"/>
        <v>7.2</v>
      </c>
      <c r="K1532" s="10">
        <f t="shared" si="159"/>
        <v>12.7</v>
      </c>
      <c r="L1532" s="10">
        <f t="shared" si="164"/>
        <v>143.80000000000001</v>
      </c>
    </row>
    <row r="1533" spans="1:12" x14ac:dyDescent="0.25">
      <c r="A1533" s="7">
        <v>45258</v>
      </c>
      <c r="B1533" t="s">
        <v>411</v>
      </c>
      <c r="C1533" s="6">
        <v>6181</v>
      </c>
      <c r="D1533" s="1" t="s">
        <v>493</v>
      </c>
      <c r="E1533" s="1">
        <v>0.60416666666666663</v>
      </c>
      <c r="F1533" s="1">
        <v>0.6645833333333333</v>
      </c>
      <c r="G1533" s="9">
        <f t="shared" si="160"/>
        <v>45257</v>
      </c>
      <c r="H1533" s="11">
        <f t="shared" si="161"/>
        <v>1.5</v>
      </c>
      <c r="I1533" s="10">
        <f t="shared" si="162"/>
        <v>7.5</v>
      </c>
      <c r="J1533" s="10">
        <f t="shared" si="163"/>
        <v>7.2</v>
      </c>
      <c r="K1533" s="10">
        <f t="shared" si="159"/>
        <v>14.2</v>
      </c>
      <c r="L1533" s="10">
        <f t="shared" si="164"/>
        <v>145.30000000000001</v>
      </c>
    </row>
    <row r="1534" spans="1:12" x14ac:dyDescent="0.25">
      <c r="A1534" s="7">
        <v>45259</v>
      </c>
      <c r="B1534" t="s">
        <v>426</v>
      </c>
      <c r="C1534" s="6">
        <v>6230</v>
      </c>
      <c r="D1534" s="1" t="s">
        <v>494</v>
      </c>
      <c r="E1534" s="1">
        <v>0.31736111111111115</v>
      </c>
      <c r="F1534" s="1">
        <v>0.41666666666666669</v>
      </c>
      <c r="G1534" s="9">
        <f t="shared" si="160"/>
        <v>45257</v>
      </c>
      <c r="H1534" s="11">
        <f t="shared" si="161"/>
        <v>2.4</v>
      </c>
      <c r="I1534" s="10">
        <f t="shared" si="162"/>
        <v>2.4</v>
      </c>
      <c r="J1534" s="10">
        <f t="shared" si="163"/>
        <v>7.2</v>
      </c>
      <c r="K1534" s="10">
        <f t="shared" si="159"/>
        <v>16.599999999999998</v>
      </c>
      <c r="L1534" s="10">
        <f t="shared" si="164"/>
        <v>147.70000000000002</v>
      </c>
    </row>
    <row r="1535" spans="1:12" x14ac:dyDescent="0.25">
      <c r="A1535" s="7">
        <v>45259</v>
      </c>
      <c r="B1535" t="s">
        <v>426</v>
      </c>
      <c r="C1535" s="6">
        <v>6230</v>
      </c>
      <c r="D1535" s="1" t="s">
        <v>44</v>
      </c>
      <c r="E1535" s="1">
        <v>0.41666666666666669</v>
      </c>
      <c r="F1535" s="1">
        <v>0.45</v>
      </c>
      <c r="G1535" s="9">
        <f t="shared" si="160"/>
        <v>45257</v>
      </c>
      <c r="H1535" s="11">
        <f t="shared" si="161"/>
        <v>0.8</v>
      </c>
      <c r="I1535" s="10">
        <f t="shared" si="162"/>
        <v>3.2</v>
      </c>
      <c r="J1535" s="10">
        <f t="shared" si="163"/>
        <v>7.2</v>
      </c>
      <c r="K1535" s="10">
        <f t="shared" si="159"/>
        <v>17.400000000000002</v>
      </c>
      <c r="L1535" s="10">
        <f t="shared" si="164"/>
        <v>148.5</v>
      </c>
    </row>
    <row r="1536" spans="1:12" x14ac:dyDescent="0.25">
      <c r="A1536" s="7">
        <v>45259</v>
      </c>
      <c r="B1536" t="s">
        <v>426</v>
      </c>
      <c r="C1536" s="6">
        <v>6230</v>
      </c>
      <c r="D1536" s="1" t="s">
        <v>495</v>
      </c>
      <c r="E1536" s="1">
        <v>0.45</v>
      </c>
      <c r="F1536" s="1">
        <v>0.49305555555555558</v>
      </c>
      <c r="G1536" s="9">
        <f t="shared" si="160"/>
        <v>45257</v>
      </c>
      <c r="H1536" s="11">
        <f t="shared" si="161"/>
        <v>1</v>
      </c>
      <c r="I1536" s="10">
        <f t="shared" si="162"/>
        <v>4.2</v>
      </c>
      <c r="J1536" s="10">
        <f t="shared" si="163"/>
        <v>7.2</v>
      </c>
      <c r="K1536" s="10">
        <f t="shared" si="159"/>
        <v>18.399999999999999</v>
      </c>
      <c r="L1536" s="10">
        <f t="shared" si="164"/>
        <v>149.5</v>
      </c>
    </row>
    <row r="1537" spans="1:12" x14ac:dyDescent="0.25">
      <c r="A1537" s="7">
        <v>45259</v>
      </c>
      <c r="B1537" t="s">
        <v>426</v>
      </c>
      <c r="C1537" s="6">
        <v>6230</v>
      </c>
      <c r="D1537" s="1" t="s">
        <v>496</v>
      </c>
      <c r="E1537" s="1">
        <v>0.51388888888888895</v>
      </c>
      <c r="F1537" s="1">
        <v>0.56458333333333333</v>
      </c>
      <c r="G1537" s="9">
        <f t="shared" si="160"/>
        <v>45257</v>
      </c>
      <c r="H1537" s="11">
        <f t="shared" si="161"/>
        <v>1.2</v>
      </c>
      <c r="I1537" s="10">
        <f t="shared" si="162"/>
        <v>5.4</v>
      </c>
      <c r="J1537" s="10">
        <f t="shared" si="163"/>
        <v>7.2</v>
      </c>
      <c r="K1537" s="10">
        <f t="shared" si="159"/>
        <v>19.599999999999998</v>
      </c>
      <c r="L1537" s="10">
        <f t="shared" si="164"/>
        <v>150.69999999999999</v>
      </c>
    </row>
    <row r="1538" spans="1:12" x14ac:dyDescent="0.25">
      <c r="A1538" s="7">
        <v>45259</v>
      </c>
      <c r="B1538" t="s">
        <v>411</v>
      </c>
      <c r="C1538" s="6">
        <v>6181</v>
      </c>
      <c r="D1538" s="1" t="s">
        <v>107</v>
      </c>
      <c r="E1538" s="1">
        <v>0.56458333333333333</v>
      </c>
      <c r="F1538" s="1">
        <v>0.64027777777777783</v>
      </c>
      <c r="G1538" s="9">
        <f t="shared" si="160"/>
        <v>45257</v>
      </c>
      <c r="H1538" s="11">
        <f t="shared" si="161"/>
        <v>1.8</v>
      </c>
      <c r="I1538" s="10">
        <f t="shared" si="162"/>
        <v>7.2</v>
      </c>
      <c r="J1538" s="10">
        <f t="shared" si="163"/>
        <v>7.2</v>
      </c>
      <c r="K1538" s="10">
        <f t="shared" si="159"/>
        <v>21.400000000000002</v>
      </c>
      <c r="L1538" s="10">
        <f t="shared" si="164"/>
        <v>152.5</v>
      </c>
    </row>
    <row r="1539" spans="1:12" x14ac:dyDescent="0.25">
      <c r="A1539" s="7">
        <v>45260</v>
      </c>
      <c r="B1539" t="s">
        <v>411</v>
      </c>
      <c r="C1539" s="6">
        <v>6181</v>
      </c>
      <c r="D1539" s="1" t="s">
        <v>497</v>
      </c>
      <c r="E1539" s="1">
        <v>0.29930555555555555</v>
      </c>
      <c r="F1539" s="1">
        <v>0.48541666666666666</v>
      </c>
      <c r="G1539" s="9">
        <f t="shared" si="160"/>
        <v>45257</v>
      </c>
      <c r="H1539" s="11">
        <f t="shared" si="161"/>
        <v>4.5</v>
      </c>
      <c r="I1539" s="10">
        <f t="shared" si="162"/>
        <v>4.5</v>
      </c>
      <c r="J1539" s="10">
        <f t="shared" si="163"/>
        <v>7.2</v>
      </c>
      <c r="K1539" s="10">
        <f t="shared" ref="K1539:K1602" si="165">IF(H1539="",H1539,H1539+IF(G1539=G1538,_xlfn.NUMBERVALUE(K1538),0))</f>
        <v>25.9</v>
      </c>
      <c r="L1539" s="10">
        <f t="shared" si="164"/>
        <v>157</v>
      </c>
    </row>
    <row r="1540" spans="1:12" x14ac:dyDescent="0.25">
      <c r="A1540" s="7">
        <v>45260</v>
      </c>
      <c r="B1540" t="s">
        <v>309</v>
      </c>
      <c r="C1540" s="6">
        <v>2805</v>
      </c>
      <c r="D1540" s="1" t="s">
        <v>32</v>
      </c>
      <c r="E1540" s="1">
        <v>0.5</v>
      </c>
      <c r="F1540" s="1">
        <v>0.52708333333333335</v>
      </c>
      <c r="G1540" s="9">
        <f t="shared" si="160"/>
        <v>45257</v>
      </c>
      <c r="H1540" s="11">
        <f t="shared" si="161"/>
        <v>0.7</v>
      </c>
      <c r="I1540" s="10">
        <f t="shared" si="162"/>
        <v>5.2</v>
      </c>
      <c r="J1540" s="10">
        <f t="shared" si="163"/>
        <v>7.2</v>
      </c>
      <c r="K1540" s="10">
        <f t="shared" si="165"/>
        <v>26.599999999999998</v>
      </c>
      <c r="L1540" s="10">
        <f t="shared" si="164"/>
        <v>157.69999999999999</v>
      </c>
    </row>
    <row r="1541" spans="1:12" x14ac:dyDescent="0.25">
      <c r="A1541" s="7">
        <v>45260</v>
      </c>
      <c r="B1541" t="s">
        <v>411</v>
      </c>
      <c r="C1541" s="6">
        <v>6181</v>
      </c>
      <c r="D1541" s="1" t="s">
        <v>497</v>
      </c>
      <c r="E1541" s="1">
        <v>0.52708333333333335</v>
      </c>
      <c r="F1541" s="1">
        <v>0.65277777777777779</v>
      </c>
      <c r="G1541" s="9">
        <f t="shared" si="160"/>
        <v>45257</v>
      </c>
      <c r="H1541" s="11">
        <f t="shared" si="161"/>
        <v>3</v>
      </c>
      <c r="I1541" s="10">
        <f t="shared" si="162"/>
        <v>8.1999999999999993</v>
      </c>
      <c r="J1541" s="10">
        <f t="shared" si="163"/>
        <v>7.2</v>
      </c>
      <c r="K1541" s="10">
        <f t="shared" si="165"/>
        <v>29.6</v>
      </c>
      <c r="L1541" s="10">
        <f t="shared" si="164"/>
        <v>160.69999999999999</v>
      </c>
    </row>
    <row r="1542" spans="1:12" x14ac:dyDescent="0.25">
      <c r="A1542" s="7">
        <v>45261</v>
      </c>
      <c r="B1542" t="s">
        <v>411</v>
      </c>
      <c r="C1542" s="6">
        <v>6181</v>
      </c>
      <c r="D1542" s="1" t="s">
        <v>497</v>
      </c>
      <c r="E1542" s="1">
        <v>0.32013888888888892</v>
      </c>
      <c r="F1542" s="1">
        <v>0.52777777777777779</v>
      </c>
      <c r="G1542" s="9">
        <f t="shared" si="160"/>
        <v>45257</v>
      </c>
      <c r="H1542" s="11">
        <f t="shared" si="161"/>
        <v>5</v>
      </c>
      <c r="I1542" s="10">
        <f t="shared" si="162"/>
        <v>5</v>
      </c>
      <c r="J1542" s="10">
        <f t="shared" si="163"/>
        <v>7.2</v>
      </c>
      <c r="K1542" s="10">
        <f t="shared" si="165"/>
        <v>34.6</v>
      </c>
      <c r="L1542" s="10">
        <f t="shared" si="164"/>
        <v>5</v>
      </c>
    </row>
    <row r="1543" spans="1:12" x14ac:dyDescent="0.25">
      <c r="A1543" s="7">
        <v>45261</v>
      </c>
      <c r="B1543" t="s">
        <v>6</v>
      </c>
      <c r="C1543" s="6" t="s">
        <v>416</v>
      </c>
      <c r="D1543" s="1" t="s">
        <v>351</v>
      </c>
      <c r="E1543" s="1">
        <v>0.54166666666666663</v>
      </c>
      <c r="F1543" s="1">
        <v>0.58194444444444449</v>
      </c>
      <c r="G1543" s="9">
        <f t="shared" si="160"/>
        <v>45257</v>
      </c>
      <c r="H1543" s="11">
        <f t="shared" si="161"/>
        <v>1</v>
      </c>
      <c r="I1543" s="10">
        <f t="shared" si="162"/>
        <v>6</v>
      </c>
      <c r="J1543" s="10">
        <f t="shared" si="163"/>
        <v>7.2</v>
      </c>
      <c r="K1543" s="10">
        <f t="shared" si="165"/>
        <v>35.6</v>
      </c>
      <c r="L1543" s="10">
        <f t="shared" si="164"/>
        <v>6</v>
      </c>
    </row>
    <row r="1544" spans="1:12" x14ac:dyDescent="0.25">
      <c r="A1544" s="7">
        <v>45261</v>
      </c>
      <c r="B1544" t="s">
        <v>411</v>
      </c>
      <c r="C1544" s="6">
        <v>6181</v>
      </c>
      <c r="D1544" s="1" t="s">
        <v>497</v>
      </c>
      <c r="E1544" s="1">
        <v>0.58194444444444449</v>
      </c>
      <c r="F1544" s="1">
        <v>0.60625000000000007</v>
      </c>
      <c r="G1544" s="9">
        <f t="shared" si="160"/>
        <v>45257</v>
      </c>
      <c r="H1544" s="11">
        <f t="shared" si="161"/>
        <v>0.6</v>
      </c>
      <c r="I1544" s="10">
        <f t="shared" si="162"/>
        <v>6.6</v>
      </c>
      <c r="J1544" s="10">
        <f t="shared" si="163"/>
        <v>7.2</v>
      </c>
      <c r="K1544" s="10">
        <f t="shared" si="165"/>
        <v>36.200000000000003</v>
      </c>
      <c r="L1544" s="10">
        <f t="shared" si="164"/>
        <v>6.6</v>
      </c>
    </row>
    <row r="1545" spans="1:12" x14ac:dyDescent="0.25">
      <c r="A1545" s="7">
        <v>45264</v>
      </c>
      <c r="B1545" t="s">
        <v>6</v>
      </c>
      <c r="C1545" s="6" t="s">
        <v>416</v>
      </c>
      <c r="D1545" s="1" t="s">
        <v>104</v>
      </c>
      <c r="E1545" s="1">
        <v>0.33263888888888887</v>
      </c>
      <c r="F1545" s="1">
        <v>0.39097222222222222</v>
      </c>
      <c r="G1545" s="9">
        <f t="shared" si="160"/>
        <v>45264</v>
      </c>
      <c r="H1545" s="11">
        <f t="shared" si="161"/>
        <v>1.4</v>
      </c>
      <c r="I1545" s="10">
        <f t="shared" si="162"/>
        <v>1.4</v>
      </c>
      <c r="J1545" s="10">
        <f t="shared" si="163"/>
        <v>7.2</v>
      </c>
      <c r="K1545" s="10">
        <f t="shared" si="165"/>
        <v>1.4</v>
      </c>
      <c r="L1545" s="10">
        <f t="shared" si="164"/>
        <v>8</v>
      </c>
    </row>
    <row r="1546" spans="1:12" x14ac:dyDescent="0.25">
      <c r="A1546" s="7">
        <v>45264</v>
      </c>
      <c r="B1546" t="s">
        <v>411</v>
      </c>
      <c r="C1546" s="6">
        <v>6181</v>
      </c>
      <c r="D1546" s="1" t="s">
        <v>498</v>
      </c>
      <c r="E1546" s="1">
        <v>0.39097222222222222</v>
      </c>
      <c r="F1546" s="1">
        <v>0.41666666666666669</v>
      </c>
      <c r="G1546" s="9">
        <f t="shared" si="160"/>
        <v>45264</v>
      </c>
      <c r="H1546" s="11">
        <f t="shared" si="161"/>
        <v>0.6</v>
      </c>
      <c r="I1546" s="10">
        <f t="shared" si="162"/>
        <v>2</v>
      </c>
      <c r="J1546" s="10">
        <f t="shared" si="163"/>
        <v>7.2</v>
      </c>
      <c r="K1546" s="10">
        <f t="shared" si="165"/>
        <v>2</v>
      </c>
      <c r="L1546" s="10">
        <f t="shared" si="164"/>
        <v>8.6</v>
      </c>
    </row>
    <row r="1547" spans="1:12" x14ac:dyDescent="0.25">
      <c r="A1547" s="7">
        <v>45264</v>
      </c>
      <c r="B1547" t="s">
        <v>6</v>
      </c>
      <c r="C1547" s="6" t="s">
        <v>416</v>
      </c>
      <c r="D1547" s="1" t="s">
        <v>112</v>
      </c>
      <c r="E1547" s="1">
        <v>0.41666666666666669</v>
      </c>
      <c r="F1547" s="1">
        <v>0.47569444444444442</v>
      </c>
      <c r="G1547" s="9">
        <f t="shared" si="160"/>
        <v>45264</v>
      </c>
      <c r="H1547" s="11">
        <f t="shared" si="161"/>
        <v>1.4</v>
      </c>
      <c r="I1547" s="10">
        <f t="shared" si="162"/>
        <v>3.4</v>
      </c>
      <c r="J1547" s="10">
        <f t="shared" si="163"/>
        <v>7.2</v>
      </c>
      <c r="K1547" s="10">
        <f t="shared" si="165"/>
        <v>3.4</v>
      </c>
      <c r="L1547" s="10">
        <f t="shared" si="164"/>
        <v>10</v>
      </c>
    </row>
    <row r="1548" spans="1:12" x14ac:dyDescent="0.25">
      <c r="A1548" s="7">
        <v>45264</v>
      </c>
      <c r="B1548" t="s">
        <v>411</v>
      </c>
      <c r="C1548" s="6">
        <v>6181</v>
      </c>
      <c r="D1548" s="1" t="s">
        <v>498</v>
      </c>
      <c r="E1548" s="1">
        <v>0.49513888888888885</v>
      </c>
      <c r="F1548" s="1">
        <v>0.54166666666666663</v>
      </c>
      <c r="G1548" s="9">
        <f t="shared" si="160"/>
        <v>45264</v>
      </c>
      <c r="H1548" s="11">
        <f t="shared" si="161"/>
        <v>1.1000000000000001</v>
      </c>
      <c r="I1548" s="10">
        <f t="shared" si="162"/>
        <v>4.5</v>
      </c>
      <c r="J1548" s="10">
        <f t="shared" si="163"/>
        <v>7.2</v>
      </c>
      <c r="K1548" s="10">
        <f t="shared" si="165"/>
        <v>4.5</v>
      </c>
      <c r="L1548" s="10">
        <f t="shared" si="164"/>
        <v>11.1</v>
      </c>
    </row>
    <row r="1549" spans="1:12" x14ac:dyDescent="0.25">
      <c r="A1549" s="7">
        <v>45264</v>
      </c>
      <c r="B1549" t="s">
        <v>6</v>
      </c>
      <c r="C1549" s="6" t="s">
        <v>416</v>
      </c>
      <c r="D1549" s="1" t="s">
        <v>499</v>
      </c>
      <c r="E1549" s="1">
        <v>0.54166666666666663</v>
      </c>
      <c r="F1549" s="1">
        <v>0.58333333333333337</v>
      </c>
      <c r="G1549" s="9">
        <f t="shared" si="160"/>
        <v>45264</v>
      </c>
      <c r="H1549" s="11">
        <f t="shared" si="161"/>
        <v>1</v>
      </c>
      <c r="I1549" s="10">
        <f t="shared" si="162"/>
        <v>5.5</v>
      </c>
      <c r="J1549" s="10">
        <f t="shared" si="163"/>
        <v>7.2</v>
      </c>
      <c r="K1549" s="10">
        <f t="shared" si="165"/>
        <v>5.5</v>
      </c>
      <c r="L1549" s="10">
        <f t="shared" si="164"/>
        <v>12.1</v>
      </c>
    </row>
    <row r="1550" spans="1:12" x14ac:dyDescent="0.25">
      <c r="A1550" s="7">
        <v>45264</v>
      </c>
      <c r="B1550" t="s">
        <v>426</v>
      </c>
      <c r="C1550" s="6">
        <v>6230</v>
      </c>
      <c r="D1550" s="1" t="s">
        <v>500</v>
      </c>
      <c r="E1550" s="1">
        <v>0.58333333333333337</v>
      </c>
      <c r="F1550" s="1">
        <v>0.6381944444444444</v>
      </c>
      <c r="G1550" s="9">
        <f t="shared" si="160"/>
        <v>45264</v>
      </c>
      <c r="H1550" s="11">
        <f t="shared" si="161"/>
        <v>1.3</v>
      </c>
      <c r="I1550" s="10">
        <f t="shared" si="162"/>
        <v>6.8</v>
      </c>
      <c r="J1550" s="10">
        <f t="shared" si="163"/>
        <v>7.2</v>
      </c>
      <c r="K1550" s="10">
        <f t="shared" si="165"/>
        <v>6.8</v>
      </c>
      <c r="L1550" s="10">
        <f t="shared" si="164"/>
        <v>13.4</v>
      </c>
    </row>
    <row r="1551" spans="1:12" x14ac:dyDescent="0.25">
      <c r="A1551" s="7">
        <v>45264</v>
      </c>
      <c r="B1551" t="s">
        <v>6</v>
      </c>
      <c r="C1551" s="6" t="s">
        <v>416</v>
      </c>
      <c r="D1551" s="1" t="s">
        <v>499</v>
      </c>
      <c r="E1551" s="1">
        <v>0.6381944444444444</v>
      </c>
      <c r="F1551" s="1">
        <v>0.65833333333333333</v>
      </c>
      <c r="G1551" s="9">
        <f t="shared" si="160"/>
        <v>45264</v>
      </c>
      <c r="H1551" s="11">
        <f t="shared" si="161"/>
        <v>0.5</v>
      </c>
      <c r="I1551" s="10">
        <f t="shared" si="162"/>
        <v>7.3</v>
      </c>
      <c r="J1551" s="10">
        <f t="shared" si="163"/>
        <v>7.2</v>
      </c>
      <c r="K1551" s="10">
        <f t="shared" si="165"/>
        <v>7.3</v>
      </c>
      <c r="L1551" s="10">
        <f t="shared" si="164"/>
        <v>13.9</v>
      </c>
    </row>
    <row r="1552" spans="1:12" x14ac:dyDescent="0.25">
      <c r="A1552" s="7">
        <v>45265</v>
      </c>
      <c r="B1552" t="s">
        <v>426</v>
      </c>
      <c r="C1552" s="6">
        <v>6230</v>
      </c>
      <c r="D1552" s="1" t="s">
        <v>310</v>
      </c>
      <c r="E1552" s="1">
        <v>0.33402777777777781</v>
      </c>
      <c r="F1552" s="1">
        <v>0.46388888888888885</v>
      </c>
      <c r="G1552" s="9">
        <f t="shared" si="160"/>
        <v>45264</v>
      </c>
      <c r="H1552" s="11">
        <f t="shared" si="161"/>
        <v>3.1</v>
      </c>
      <c r="I1552" s="10">
        <f t="shared" si="162"/>
        <v>3.1</v>
      </c>
      <c r="J1552" s="10">
        <f t="shared" si="163"/>
        <v>7.2</v>
      </c>
      <c r="K1552" s="10">
        <f t="shared" si="165"/>
        <v>10.4</v>
      </c>
      <c r="L1552" s="10">
        <f t="shared" si="164"/>
        <v>17</v>
      </c>
    </row>
    <row r="1553" spans="1:12" x14ac:dyDescent="0.25">
      <c r="A1553" s="7">
        <v>45265</v>
      </c>
      <c r="B1553" t="s">
        <v>426</v>
      </c>
      <c r="C1553" s="6">
        <v>6230</v>
      </c>
      <c r="D1553" s="1" t="s">
        <v>310</v>
      </c>
      <c r="E1553" s="1">
        <v>0.47638888888888892</v>
      </c>
      <c r="F1553" s="1">
        <v>0.61458333333333337</v>
      </c>
      <c r="G1553" s="9">
        <f t="shared" si="160"/>
        <v>45264</v>
      </c>
      <c r="H1553" s="11">
        <f t="shared" si="161"/>
        <v>3.3</v>
      </c>
      <c r="I1553" s="10">
        <f t="shared" si="162"/>
        <v>6.4</v>
      </c>
      <c r="J1553" s="10">
        <f t="shared" si="163"/>
        <v>7.2</v>
      </c>
      <c r="K1553" s="10">
        <f t="shared" si="165"/>
        <v>13.7</v>
      </c>
      <c r="L1553" s="10">
        <f t="shared" si="164"/>
        <v>20.3</v>
      </c>
    </row>
    <row r="1554" spans="1:12" x14ac:dyDescent="0.25">
      <c r="A1554" s="7">
        <v>45266</v>
      </c>
      <c r="B1554" t="s">
        <v>6</v>
      </c>
      <c r="C1554" s="6" t="s">
        <v>416</v>
      </c>
      <c r="D1554" s="1" t="s">
        <v>501</v>
      </c>
      <c r="E1554" s="1">
        <v>0.31319444444444444</v>
      </c>
      <c r="F1554" s="1">
        <v>0.375</v>
      </c>
      <c r="G1554" s="9">
        <f t="shared" si="160"/>
        <v>45264</v>
      </c>
      <c r="H1554" s="11">
        <f t="shared" si="161"/>
        <v>1.5</v>
      </c>
      <c r="I1554" s="10">
        <f t="shared" si="162"/>
        <v>1.5</v>
      </c>
      <c r="J1554" s="10">
        <f t="shared" si="163"/>
        <v>7.2</v>
      </c>
      <c r="K1554" s="10">
        <f t="shared" si="165"/>
        <v>15.2</v>
      </c>
      <c r="L1554" s="10">
        <f t="shared" si="164"/>
        <v>21.8</v>
      </c>
    </row>
    <row r="1555" spans="1:12" x14ac:dyDescent="0.25">
      <c r="A1555" s="7">
        <v>45266</v>
      </c>
      <c r="B1555" t="s">
        <v>6</v>
      </c>
      <c r="C1555" s="6" t="s">
        <v>416</v>
      </c>
      <c r="D1555" s="1" t="s">
        <v>398</v>
      </c>
      <c r="E1555" s="1">
        <v>0.375</v>
      </c>
      <c r="F1555" s="1">
        <v>0.43124999999999997</v>
      </c>
      <c r="G1555" s="9">
        <f t="shared" si="160"/>
        <v>45264</v>
      </c>
      <c r="H1555" s="11">
        <f t="shared" si="161"/>
        <v>1.4</v>
      </c>
      <c r="I1555" s="10">
        <f t="shared" si="162"/>
        <v>2.9</v>
      </c>
      <c r="J1555" s="10">
        <f t="shared" si="163"/>
        <v>7.2</v>
      </c>
      <c r="K1555" s="10">
        <f t="shared" si="165"/>
        <v>16.599999999999998</v>
      </c>
      <c r="L1555" s="10">
        <f t="shared" si="164"/>
        <v>23.2</v>
      </c>
    </row>
    <row r="1556" spans="1:12" x14ac:dyDescent="0.25">
      <c r="A1556" s="7">
        <v>45266</v>
      </c>
      <c r="B1556" t="s">
        <v>6</v>
      </c>
      <c r="C1556" s="6" t="s">
        <v>416</v>
      </c>
      <c r="D1556" s="1" t="s">
        <v>502</v>
      </c>
      <c r="E1556" s="1">
        <v>0.43124999999999997</v>
      </c>
      <c r="F1556" s="1">
        <v>0.49791666666666662</v>
      </c>
      <c r="G1556" s="9">
        <f t="shared" si="160"/>
        <v>45264</v>
      </c>
      <c r="H1556" s="11">
        <f t="shared" si="161"/>
        <v>1.6</v>
      </c>
      <c r="I1556" s="10">
        <f t="shared" si="162"/>
        <v>4.5</v>
      </c>
      <c r="J1556" s="10">
        <f t="shared" si="163"/>
        <v>7.2</v>
      </c>
      <c r="K1556" s="10">
        <f t="shared" si="165"/>
        <v>18.200000000000003</v>
      </c>
      <c r="L1556" s="10">
        <f t="shared" si="164"/>
        <v>24.8</v>
      </c>
    </row>
    <row r="1557" spans="1:12" x14ac:dyDescent="0.25">
      <c r="A1557" s="7">
        <v>45267</v>
      </c>
      <c r="B1557" t="s">
        <v>411</v>
      </c>
      <c r="C1557" s="6">
        <v>6181</v>
      </c>
      <c r="D1557" s="1" t="s">
        <v>503</v>
      </c>
      <c r="E1557" s="1">
        <v>0.33333333333333331</v>
      </c>
      <c r="F1557" s="1">
        <v>0.3840277777777778</v>
      </c>
      <c r="G1557" s="9">
        <f t="shared" si="160"/>
        <v>45264</v>
      </c>
      <c r="H1557" s="11">
        <f t="shared" si="161"/>
        <v>1.2</v>
      </c>
      <c r="I1557" s="10">
        <f t="shared" si="162"/>
        <v>1.2</v>
      </c>
      <c r="J1557" s="10">
        <f t="shared" si="163"/>
        <v>7.2</v>
      </c>
      <c r="K1557" s="10">
        <f t="shared" si="165"/>
        <v>19.399999999999999</v>
      </c>
      <c r="L1557" s="10">
        <f t="shared" si="164"/>
        <v>26</v>
      </c>
    </row>
    <row r="1558" spans="1:12" x14ac:dyDescent="0.25">
      <c r="A1558" s="7">
        <v>45267</v>
      </c>
      <c r="B1558" t="s">
        <v>6</v>
      </c>
      <c r="C1558" s="6" t="s">
        <v>416</v>
      </c>
      <c r="D1558" s="1" t="s">
        <v>499</v>
      </c>
      <c r="E1558" s="1">
        <v>0.3840277777777778</v>
      </c>
      <c r="F1558" s="1">
        <v>0.53611111111111109</v>
      </c>
      <c r="G1558" s="9">
        <f t="shared" si="160"/>
        <v>45264</v>
      </c>
      <c r="H1558" s="11">
        <f t="shared" si="161"/>
        <v>3.7</v>
      </c>
      <c r="I1558" s="10">
        <f t="shared" si="162"/>
        <v>4.9000000000000004</v>
      </c>
      <c r="J1558" s="10">
        <f t="shared" si="163"/>
        <v>7.2</v>
      </c>
      <c r="K1558" s="10">
        <f t="shared" si="165"/>
        <v>23.099999999999998</v>
      </c>
      <c r="L1558" s="10">
        <f t="shared" si="164"/>
        <v>29.7</v>
      </c>
    </row>
    <row r="1559" spans="1:12" x14ac:dyDescent="0.25">
      <c r="A1559" s="7">
        <v>45267</v>
      </c>
      <c r="B1559" t="s">
        <v>411</v>
      </c>
      <c r="C1559" s="6">
        <v>6181</v>
      </c>
      <c r="D1559" s="1" t="s">
        <v>504</v>
      </c>
      <c r="E1559" s="1">
        <v>0.53611111111111109</v>
      </c>
      <c r="F1559" s="1">
        <v>0.64930555555555558</v>
      </c>
      <c r="G1559" s="9">
        <f t="shared" si="160"/>
        <v>45264</v>
      </c>
      <c r="H1559" s="11">
        <f t="shared" si="161"/>
        <v>2.7</v>
      </c>
      <c r="I1559" s="10">
        <f t="shared" si="162"/>
        <v>7.6000000000000005</v>
      </c>
      <c r="J1559" s="10">
        <f t="shared" si="163"/>
        <v>7.2</v>
      </c>
      <c r="K1559" s="10">
        <f t="shared" si="165"/>
        <v>25.8</v>
      </c>
      <c r="L1559" s="10">
        <f t="shared" si="164"/>
        <v>32.4</v>
      </c>
    </row>
    <row r="1560" spans="1:12" x14ac:dyDescent="0.25">
      <c r="A1560" s="7">
        <v>45268</v>
      </c>
      <c r="B1560" t="s">
        <v>411</v>
      </c>
      <c r="C1560" s="6">
        <v>6181</v>
      </c>
      <c r="D1560" s="1" t="s">
        <v>504</v>
      </c>
      <c r="E1560" s="1">
        <v>0.31736111111111115</v>
      </c>
      <c r="F1560" s="1">
        <v>0.48749999999999999</v>
      </c>
      <c r="G1560" s="9">
        <f t="shared" si="160"/>
        <v>45264</v>
      </c>
      <c r="H1560" s="11">
        <f t="shared" si="161"/>
        <v>4.0999999999999996</v>
      </c>
      <c r="I1560" s="10">
        <f t="shared" si="162"/>
        <v>4.0999999999999996</v>
      </c>
      <c r="J1560" s="10">
        <f t="shared" si="163"/>
        <v>7.2</v>
      </c>
      <c r="K1560" s="10">
        <f t="shared" si="165"/>
        <v>29.9</v>
      </c>
      <c r="L1560" s="10">
        <f t="shared" si="164"/>
        <v>36.5</v>
      </c>
    </row>
    <row r="1561" spans="1:12" x14ac:dyDescent="0.25">
      <c r="A1561" s="7">
        <v>45268</v>
      </c>
      <c r="B1561" t="s">
        <v>411</v>
      </c>
      <c r="C1561" s="6">
        <v>6181</v>
      </c>
      <c r="D1561" s="1" t="s">
        <v>504</v>
      </c>
      <c r="E1561" s="1">
        <v>0.49791666666666662</v>
      </c>
      <c r="F1561" s="1">
        <v>0.54166666666666663</v>
      </c>
      <c r="G1561" s="9">
        <f t="shared" si="160"/>
        <v>45264</v>
      </c>
      <c r="H1561" s="11">
        <f t="shared" si="161"/>
        <v>1.1000000000000001</v>
      </c>
      <c r="I1561" s="10">
        <f t="shared" si="162"/>
        <v>5.1999999999999993</v>
      </c>
      <c r="J1561" s="10">
        <f t="shared" si="163"/>
        <v>7.2</v>
      </c>
      <c r="K1561" s="10">
        <f t="shared" si="165"/>
        <v>31</v>
      </c>
      <c r="L1561" s="10">
        <f t="shared" si="164"/>
        <v>37.6</v>
      </c>
    </row>
    <row r="1562" spans="1:12" x14ac:dyDescent="0.25">
      <c r="A1562" s="7">
        <v>45268</v>
      </c>
      <c r="B1562" t="s">
        <v>6</v>
      </c>
      <c r="C1562" s="6" t="s">
        <v>416</v>
      </c>
      <c r="D1562" s="1" t="s">
        <v>505</v>
      </c>
      <c r="E1562" s="1">
        <v>0.54166666666666663</v>
      </c>
      <c r="F1562" s="1">
        <v>0.58333333333333337</v>
      </c>
      <c r="G1562" s="9">
        <f t="shared" si="160"/>
        <v>45264</v>
      </c>
      <c r="H1562" s="11">
        <f t="shared" si="161"/>
        <v>1</v>
      </c>
      <c r="I1562" s="10">
        <f t="shared" si="162"/>
        <v>6.2</v>
      </c>
      <c r="J1562" s="10">
        <f t="shared" si="163"/>
        <v>7.2</v>
      </c>
      <c r="K1562" s="10">
        <f t="shared" si="165"/>
        <v>32</v>
      </c>
      <c r="L1562" s="10">
        <f t="shared" si="164"/>
        <v>38.6</v>
      </c>
    </row>
    <row r="1563" spans="1:12" x14ac:dyDescent="0.25">
      <c r="A1563" s="7">
        <v>45268</v>
      </c>
      <c r="B1563" t="s">
        <v>6</v>
      </c>
      <c r="C1563" s="6" t="s">
        <v>416</v>
      </c>
      <c r="D1563" s="1" t="s">
        <v>501</v>
      </c>
      <c r="E1563" s="1">
        <v>0.58333333333333337</v>
      </c>
      <c r="F1563" s="1">
        <v>0.59722222222222221</v>
      </c>
      <c r="G1563" s="9">
        <f t="shared" si="160"/>
        <v>45264</v>
      </c>
      <c r="H1563" s="11">
        <f t="shared" si="161"/>
        <v>0.3</v>
      </c>
      <c r="I1563" s="10">
        <f t="shared" si="162"/>
        <v>6.5</v>
      </c>
      <c r="J1563" s="10">
        <f t="shared" si="163"/>
        <v>7.2</v>
      </c>
      <c r="K1563" s="10">
        <f t="shared" si="165"/>
        <v>32.299999999999997</v>
      </c>
      <c r="L1563" s="10">
        <f t="shared" si="164"/>
        <v>38.9</v>
      </c>
    </row>
    <row r="1564" spans="1:12" x14ac:dyDescent="0.25">
      <c r="A1564" s="7">
        <v>45271</v>
      </c>
      <c r="B1564" t="s">
        <v>6</v>
      </c>
      <c r="C1564" s="6" t="s">
        <v>416</v>
      </c>
      <c r="D1564" s="1" t="s">
        <v>104</v>
      </c>
      <c r="E1564" s="1">
        <v>0.31736111111111115</v>
      </c>
      <c r="F1564" s="1">
        <v>0.3520833333333333</v>
      </c>
      <c r="G1564" s="9">
        <f t="shared" si="160"/>
        <v>45271</v>
      </c>
      <c r="H1564" s="11">
        <f t="shared" si="161"/>
        <v>0.8</v>
      </c>
      <c r="I1564" s="10">
        <f t="shared" si="162"/>
        <v>0.8</v>
      </c>
      <c r="J1564" s="10">
        <f t="shared" si="163"/>
        <v>7.2</v>
      </c>
      <c r="K1564" s="10">
        <f t="shared" si="165"/>
        <v>0.8</v>
      </c>
      <c r="L1564" s="10">
        <f t="shared" si="164"/>
        <v>39.699999999999996</v>
      </c>
    </row>
    <row r="1565" spans="1:12" x14ac:dyDescent="0.25">
      <c r="A1565" s="7">
        <v>45271</v>
      </c>
      <c r="B1565" t="s">
        <v>411</v>
      </c>
      <c r="C1565" s="6">
        <v>6181</v>
      </c>
      <c r="D1565" s="1" t="s">
        <v>504</v>
      </c>
      <c r="E1565" s="1">
        <v>0.3520833333333333</v>
      </c>
      <c r="F1565" s="1">
        <v>0.41666666666666669</v>
      </c>
      <c r="G1565" s="9">
        <f t="shared" si="160"/>
        <v>45271</v>
      </c>
      <c r="H1565" s="11">
        <f t="shared" si="161"/>
        <v>1.6</v>
      </c>
      <c r="I1565" s="10">
        <f t="shared" si="162"/>
        <v>2.4000000000000004</v>
      </c>
      <c r="J1565" s="10">
        <f t="shared" si="163"/>
        <v>7.2</v>
      </c>
      <c r="K1565" s="10">
        <f t="shared" si="165"/>
        <v>2.4000000000000004</v>
      </c>
      <c r="L1565" s="10">
        <f t="shared" si="164"/>
        <v>41.300000000000004</v>
      </c>
    </row>
    <row r="1566" spans="1:12" x14ac:dyDescent="0.25">
      <c r="A1566" s="7">
        <v>45271</v>
      </c>
      <c r="B1566" t="s">
        <v>6</v>
      </c>
      <c r="C1566" s="6" t="s">
        <v>416</v>
      </c>
      <c r="D1566" s="1" t="s">
        <v>112</v>
      </c>
      <c r="E1566" s="1">
        <v>0.41666666666666669</v>
      </c>
      <c r="F1566" s="1">
        <v>0.44861111111111113</v>
      </c>
      <c r="G1566" s="9">
        <f t="shared" si="160"/>
        <v>45271</v>
      </c>
      <c r="H1566" s="11">
        <f t="shared" si="161"/>
        <v>0.8</v>
      </c>
      <c r="I1566" s="10">
        <f t="shared" si="162"/>
        <v>3.2</v>
      </c>
      <c r="J1566" s="10">
        <f t="shared" si="163"/>
        <v>7.2</v>
      </c>
      <c r="K1566" s="10">
        <f t="shared" si="165"/>
        <v>3.2</v>
      </c>
      <c r="L1566" s="10">
        <f t="shared" si="164"/>
        <v>42.099999999999994</v>
      </c>
    </row>
    <row r="1567" spans="1:12" x14ac:dyDescent="0.25">
      <c r="A1567" s="7">
        <v>45271</v>
      </c>
      <c r="B1567" t="s">
        <v>411</v>
      </c>
      <c r="C1567" s="6">
        <v>6181</v>
      </c>
      <c r="D1567" s="1" t="s">
        <v>506</v>
      </c>
      <c r="E1567" s="1">
        <v>0.44861111111111113</v>
      </c>
      <c r="F1567" s="1">
        <v>0.49513888888888885</v>
      </c>
      <c r="G1567" s="9">
        <f t="shared" si="160"/>
        <v>45271</v>
      </c>
      <c r="H1567" s="11">
        <f t="shared" si="161"/>
        <v>1.1000000000000001</v>
      </c>
      <c r="I1567" s="10">
        <f t="shared" si="162"/>
        <v>4.3000000000000007</v>
      </c>
      <c r="J1567" s="10">
        <f t="shared" si="163"/>
        <v>7.2</v>
      </c>
      <c r="K1567" s="10">
        <f t="shared" si="165"/>
        <v>4.3000000000000007</v>
      </c>
      <c r="L1567" s="10">
        <f t="shared" si="164"/>
        <v>43.2</v>
      </c>
    </row>
    <row r="1568" spans="1:12" x14ac:dyDescent="0.25">
      <c r="A1568" s="7">
        <v>45271</v>
      </c>
      <c r="B1568" t="s">
        <v>411</v>
      </c>
      <c r="C1568" s="6">
        <v>6181</v>
      </c>
      <c r="D1568" s="1" t="s">
        <v>506</v>
      </c>
      <c r="E1568" s="1">
        <v>0.51874999999999993</v>
      </c>
      <c r="F1568" s="1">
        <v>0.58333333333333337</v>
      </c>
      <c r="G1568" s="9">
        <f t="shared" si="160"/>
        <v>45271</v>
      </c>
      <c r="H1568" s="11">
        <f t="shared" si="161"/>
        <v>1.6</v>
      </c>
      <c r="I1568" s="10">
        <f t="shared" si="162"/>
        <v>5.9</v>
      </c>
      <c r="J1568" s="10">
        <f t="shared" si="163"/>
        <v>7.2</v>
      </c>
      <c r="K1568" s="10">
        <f t="shared" si="165"/>
        <v>5.9</v>
      </c>
      <c r="L1568" s="10">
        <f t="shared" si="164"/>
        <v>44.800000000000004</v>
      </c>
    </row>
    <row r="1569" spans="1:12" x14ac:dyDescent="0.25">
      <c r="A1569" s="7">
        <v>45271</v>
      </c>
      <c r="B1569" t="s">
        <v>6</v>
      </c>
      <c r="C1569" s="6" t="s">
        <v>416</v>
      </c>
      <c r="D1569" s="1" t="s">
        <v>71</v>
      </c>
      <c r="E1569" s="1">
        <v>0.58333333333333337</v>
      </c>
      <c r="F1569" s="1">
        <v>0.62013888888888891</v>
      </c>
      <c r="G1569" s="9">
        <f t="shared" si="160"/>
        <v>45271</v>
      </c>
      <c r="H1569" s="11">
        <f t="shared" si="161"/>
        <v>0.9</v>
      </c>
      <c r="I1569" s="10">
        <f t="shared" si="162"/>
        <v>6.8000000000000007</v>
      </c>
      <c r="J1569" s="10">
        <f t="shared" si="163"/>
        <v>7.2</v>
      </c>
      <c r="K1569" s="10">
        <f t="shared" si="165"/>
        <v>6.8000000000000007</v>
      </c>
      <c r="L1569" s="10">
        <f t="shared" si="164"/>
        <v>45.699999999999996</v>
      </c>
    </row>
    <row r="1570" spans="1:12" x14ac:dyDescent="0.25">
      <c r="A1570" s="7">
        <v>45271</v>
      </c>
      <c r="B1570" t="s">
        <v>411</v>
      </c>
      <c r="C1570" s="6">
        <v>6181</v>
      </c>
      <c r="D1570" s="1" t="s">
        <v>506</v>
      </c>
      <c r="E1570" s="1">
        <v>0.62013888888888891</v>
      </c>
      <c r="F1570" s="1">
        <v>0.67986111111111114</v>
      </c>
      <c r="G1570" s="9">
        <f t="shared" si="160"/>
        <v>45271</v>
      </c>
      <c r="H1570" s="11">
        <f t="shared" si="161"/>
        <v>1.4</v>
      </c>
      <c r="I1570" s="10">
        <f t="shared" si="162"/>
        <v>8.1999999999999993</v>
      </c>
      <c r="J1570" s="10">
        <f t="shared" si="163"/>
        <v>7.2</v>
      </c>
      <c r="K1570" s="10">
        <f t="shared" si="165"/>
        <v>8.1999999999999993</v>
      </c>
      <c r="L1570" s="10">
        <f t="shared" si="164"/>
        <v>47.1</v>
      </c>
    </row>
    <row r="1571" spans="1:12" x14ac:dyDescent="0.25">
      <c r="A1571" s="7">
        <v>45272</v>
      </c>
      <c r="B1571" t="s">
        <v>411</v>
      </c>
      <c r="C1571" s="6">
        <v>6181</v>
      </c>
      <c r="D1571" s="1" t="s">
        <v>506</v>
      </c>
      <c r="E1571" s="1">
        <v>0.34791666666666665</v>
      </c>
      <c r="F1571" s="1">
        <v>0.49374999999999997</v>
      </c>
      <c r="G1571" s="9">
        <f t="shared" si="160"/>
        <v>45271</v>
      </c>
      <c r="H1571" s="11">
        <f t="shared" si="161"/>
        <v>3.5</v>
      </c>
      <c r="I1571" s="10">
        <f t="shared" si="162"/>
        <v>3.5</v>
      </c>
      <c r="J1571" s="10">
        <f t="shared" si="163"/>
        <v>7.2</v>
      </c>
      <c r="K1571" s="10">
        <f t="shared" si="165"/>
        <v>11.7</v>
      </c>
      <c r="L1571" s="10">
        <f t="shared" si="164"/>
        <v>50.6</v>
      </c>
    </row>
    <row r="1572" spans="1:12" x14ac:dyDescent="0.25">
      <c r="A1572" s="7">
        <v>45272</v>
      </c>
      <c r="B1572" t="s">
        <v>411</v>
      </c>
      <c r="C1572" s="6">
        <v>6181</v>
      </c>
      <c r="D1572" s="1" t="s">
        <v>506</v>
      </c>
      <c r="E1572" s="1">
        <v>0.50763888888888886</v>
      </c>
      <c r="F1572" s="1">
        <v>0.65277777777777779</v>
      </c>
      <c r="G1572" s="9">
        <f t="shared" si="160"/>
        <v>45271</v>
      </c>
      <c r="H1572" s="11">
        <f t="shared" si="161"/>
        <v>3.5</v>
      </c>
      <c r="I1572" s="10">
        <f t="shared" si="162"/>
        <v>7</v>
      </c>
      <c r="J1572" s="10">
        <f t="shared" si="163"/>
        <v>7.2</v>
      </c>
      <c r="K1572" s="10">
        <f t="shared" si="165"/>
        <v>15.2</v>
      </c>
      <c r="L1572" s="10">
        <f t="shared" si="164"/>
        <v>54.1</v>
      </c>
    </row>
    <row r="1573" spans="1:12" x14ac:dyDescent="0.25">
      <c r="A1573" s="7">
        <v>45273</v>
      </c>
      <c r="B1573" t="s">
        <v>411</v>
      </c>
      <c r="C1573" s="6">
        <v>6181</v>
      </c>
      <c r="D1573" s="1" t="s">
        <v>107</v>
      </c>
      <c r="E1573" s="1">
        <v>0.2951388888888889</v>
      </c>
      <c r="F1573" s="1">
        <v>0.4777777777777778</v>
      </c>
      <c r="G1573" s="9">
        <f t="shared" si="160"/>
        <v>45271</v>
      </c>
      <c r="H1573" s="11">
        <f t="shared" si="161"/>
        <v>4.4000000000000004</v>
      </c>
      <c r="I1573" s="10">
        <f t="shared" si="162"/>
        <v>4.4000000000000004</v>
      </c>
      <c r="J1573" s="10">
        <f t="shared" si="163"/>
        <v>7.2</v>
      </c>
      <c r="K1573" s="10">
        <f t="shared" si="165"/>
        <v>19.600000000000001</v>
      </c>
      <c r="L1573" s="10">
        <f t="shared" si="164"/>
        <v>58.5</v>
      </c>
    </row>
    <row r="1574" spans="1:12" x14ac:dyDescent="0.25">
      <c r="A1574" s="7">
        <v>45273</v>
      </c>
      <c r="B1574" t="s">
        <v>411</v>
      </c>
      <c r="C1574" s="6">
        <v>6181</v>
      </c>
      <c r="D1574" s="1" t="s">
        <v>107</v>
      </c>
      <c r="E1574" s="1">
        <v>0.49236111111111108</v>
      </c>
      <c r="F1574" s="1">
        <v>0.64722222222222225</v>
      </c>
      <c r="G1574" s="9">
        <f t="shared" si="160"/>
        <v>45271</v>
      </c>
      <c r="H1574" s="11">
        <f t="shared" si="161"/>
        <v>3.7</v>
      </c>
      <c r="I1574" s="10">
        <f t="shared" si="162"/>
        <v>8.1000000000000014</v>
      </c>
      <c r="J1574" s="10">
        <f t="shared" si="163"/>
        <v>7.2</v>
      </c>
      <c r="K1574" s="10">
        <f t="shared" si="165"/>
        <v>23.3</v>
      </c>
      <c r="L1574" s="10">
        <f t="shared" si="164"/>
        <v>62.2</v>
      </c>
    </row>
    <row r="1575" spans="1:12" x14ac:dyDescent="0.25">
      <c r="A1575" s="7">
        <v>45274</v>
      </c>
      <c r="B1575" t="s">
        <v>411</v>
      </c>
      <c r="C1575" s="6">
        <v>6181</v>
      </c>
      <c r="D1575" s="1" t="s">
        <v>507</v>
      </c>
      <c r="E1575" s="1">
        <v>0.30763888888888891</v>
      </c>
      <c r="F1575" s="1">
        <v>0.45833333333333331</v>
      </c>
      <c r="G1575" s="9">
        <f t="shared" si="160"/>
        <v>45271</v>
      </c>
      <c r="H1575" s="11">
        <f t="shared" si="161"/>
        <v>3.6</v>
      </c>
      <c r="I1575" s="10">
        <f t="shared" si="162"/>
        <v>3.6</v>
      </c>
      <c r="J1575" s="10">
        <f t="shared" si="163"/>
        <v>7.2</v>
      </c>
      <c r="K1575" s="10">
        <f t="shared" si="165"/>
        <v>26.900000000000002</v>
      </c>
      <c r="L1575" s="10">
        <f t="shared" si="164"/>
        <v>65.8</v>
      </c>
    </row>
    <row r="1576" spans="1:12" x14ac:dyDescent="0.25">
      <c r="A1576" s="7">
        <v>45274</v>
      </c>
      <c r="B1576" t="s">
        <v>6</v>
      </c>
      <c r="C1576" s="6" t="s">
        <v>416</v>
      </c>
      <c r="D1576" s="1" t="s">
        <v>508</v>
      </c>
      <c r="E1576" s="1">
        <v>0.45833333333333331</v>
      </c>
      <c r="F1576" s="1">
        <v>0.47500000000000003</v>
      </c>
      <c r="G1576" s="9">
        <f t="shared" si="160"/>
        <v>45271</v>
      </c>
      <c r="H1576" s="11">
        <f t="shared" si="161"/>
        <v>0.4</v>
      </c>
      <c r="I1576" s="10">
        <f t="shared" si="162"/>
        <v>4</v>
      </c>
      <c r="J1576" s="10">
        <f t="shared" si="163"/>
        <v>7.2</v>
      </c>
      <c r="K1576" s="10">
        <f t="shared" si="165"/>
        <v>27.299999999999997</v>
      </c>
      <c r="L1576" s="10">
        <f t="shared" si="164"/>
        <v>66.2</v>
      </c>
    </row>
    <row r="1577" spans="1:12" x14ac:dyDescent="0.25">
      <c r="A1577" s="7">
        <v>45274</v>
      </c>
      <c r="B1577" t="s">
        <v>411</v>
      </c>
      <c r="C1577" s="6">
        <v>6181</v>
      </c>
      <c r="D1577" s="1" t="s">
        <v>507</v>
      </c>
      <c r="E1577" s="1">
        <v>0.47500000000000003</v>
      </c>
      <c r="F1577" s="1">
        <v>0.60833333333333328</v>
      </c>
      <c r="G1577" s="9">
        <f t="shared" si="160"/>
        <v>45271</v>
      </c>
      <c r="H1577" s="11">
        <f t="shared" si="161"/>
        <v>3.2</v>
      </c>
      <c r="I1577" s="10">
        <f t="shared" si="162"/>
        <v>7.2</v>
      </c>
      <c r="J1577" s="10">
        <f t="shared" si="163"/>
        <v>7.2</v>
      </c>
      <c r="K1577" s="10">
        <f t="shared" si="165"/>
        <v>30.5</v>
      </c>
      <c r="L1577" s="10">
        <f t="shared" si="164"/>
        <v>69.400000000000006</v>
      </c>
    </row>
    <row r="1578" spans="1:12" x14ac:dyDescent="0.25">
      <c r="A1578" s="7">
        <v>45275</v>
      </c>
      <c r="B1578" t="s">
        <v>7</v>
      </c>
      <c r="C1578" s="6" t="s">
        <v>22</v>
      </c>
      <c r="D1578" t="s">
        <v>509</v>
      </c>
      <c r="E1578" s="1">
        <v>0.40972222222222227</v>
      </c>
      <c r="F1578" s="1">
        <v>0.70833333333333337</v>
      </c>
      <c r="G1578" s="9">
        <f t="shared" si="160"/>
        <v>45271</v>
      </c>
      <c r="H1578" s="11">
        <f t="shared" si="161"/>
        <v>7.2</v>
      </c>
      <c r="I1578" s="10">
        <f t="shared" si="162"/>
        <v>7.2</v>
      </c>
      <c r="J1578" s="10">
        <f t="shared" si="163"/>
        <v>7.2</v>
      </c>
      <c r="K1578" s="10">
        <f t="shared" si="165"/>
        <v>37.700000000000003</v>
      </c>
      <c r="L1578" s="10">
        <f t="shared" si="164"/>
        <v>76.600000000000009</v>
      </c>
    </row>
    <row r="1579" spans="1:12" x14ac:dyDescent="0.25">
      <c r="A1579" s="7">
        <v>45278</v>
      </c>
      <c r="B1579" t="s">
        <v>6</v>
      </c>
      <c r="C1579" s="6" t="s">
        <v>416</v>
      </c>
      <c r="D1579" s="1" t="s">
        <v>104</v>
      </c>
      <c r="E1579" s="1">
        <v>0.32847222222222222</v>
      </c>
      <c r="F1579" s="1">
        <v>0.35902777777777778</v>
      </c>
      <c r="G1579" s="9">
        <f t="shared" si="160"/>
        <v>45278</v>
      </c>
      <c r="H1579" s="11">
        <f t="shared" si="161"/>
        <v>0.7</v>
      </c>
      <c r="I1579" s="10">
        <f t="shared" si="162"/>
        <v>0.7</v>
      </c>
      <c r="J1579" s="10">
        <f t="shared" si="163"/>
        <v>7.2</v>
      </c>
      <c r="K1579" s="10">
        <f t="shared" si="165"/>
        <v>0.7</v>
      </c>
      <c r="L1579" s="10">
        <f t="shared" si="164"/>
        <v>77.3</v>
      </c>
    </row>
    <row r="1580" spans="1:12" x14ac:dyDescent="0.25">
      <c r="A1580" s="7">
        <v>45278</v>
      </c>
      <c r="B1580" t="s">
        <v>411</v>
      </c>
      <c r="C1580" s="6">
        <v>6181</v>
      </c>
      <c r="D1580" s="1" t="s">
        <v>384</v>
      </c>
      <c r="E1580" s="1">
        <v>0.35902777777777778</v>
      </c>
      <c r="F1580" s="1">
        <v>0.41666666666666669</v>
      </c>
      <c r="G1580" s="9">
        <f t="shared" si="160"/>
        <v>45278</v>
      </c>
      <c r="H1580" s="11">
        <f t="shared" si="161"/>
        <v>1.4</v>
      </c>
      <c r="I1580" s="10">
        <f t="shared" si="162"/>
        <v>2.0999999999999996</v>
      </c>
      <c r="J1580" s="10">
        <f t="shared" si="163"/>
        <v>7.2</v>
      </c>
      <c r="K1580" s="10">
        <f t="shared" si="165"/>
        <v>2.0999999999999996</v>
      </c>
      <c r="L1580" s="10">
        <f t="shared" si="164"/>
        <v>78.7</v>
      </c>
    </row>
    <row r="1581" spans="1:12" x14ac:dyDescent="0.25">
      <c r="A1581" s="7">
        <v>45278</v>
      </c>
      <c r="B1581" t="s">
        <v>6</v>
      </c>
      <c r="C1581" s="6" t="s">
        <v>416</v>
      </c>
      <c r="D1581" s="1" t="s">
        <v>112</v>
      </c>
      <c r="E1581" s="1">
        <v>0.41666666666666669</v>
      </c>
      <c r="F1581" s="1">
        <v>0.45416666666666666</v>
      </c>
      <c r="G1581" s="9">
        <f t="shared" ref="G1581:G1644" si="166">IF(E1581&gt;0,INT((A1581-2)/7)*7+2,"")</f>
        <v>45278</v>
      </c>
      <c r="H1581" s="11">
        <f t="shared" ref="H1581:H1644" si="167">IF(E1581&gt;0,ROUND(24*(IF(F1581&gt;0,F1581,NowTime)-E1581),1),"")</f>
        <v>0.9</v>
      </c>
      <c r="I1581" s="10">
        <f t="shared" ref="I1581:I1644" si="168">IF(H1581="",H1581,H1581+IF(A1581=A1580,_xlfn.NUMBERVALUE(I1580),0))</f>
        <v>3</v>
      </c>
      <c r="J1581" s="10">
        <f t="shared" ref="J1581:J1644" si="169">IF(H1581="",H1581,7.2)</f>
        <v>7.2</v>
      </c>
      <c r="K1581" s="10">
        <f t="shared" si="165"/>
        <v>3</v>
      </c>
      <c r="L1581" s="10">
        <f t="shared" ref="L1581:L1644" si="170">IF(H1581="",H1581,H1581+IF(MONTH(A1581)=MONTH(A1580),_xlfn.NUMBERVALUE(L1580),0))</f>
        <v>79.600000000000009</v>
      </c>
    </row>
    <row r="1582" spans="1:12" x14ac:dyDescent="0.25">
      <c r="A1582" s="7">
        <v>45278</v>
      </c>
      <c r="B1582" t="s">
        <v>411</v>
      </c>
      <c r="C1582" s="6">
        <v>6181</v>
      </c>
      <c r="D1582" s="1" t="s">
        <v>384</v>
      </c>
      <c r="E1582" s="1">
        <v>0.45416666666666666</v>
      </c>
      <c r="F1582" s="1">
        <v>0.4680555555555555</v>
      </c>
      <c r="G1582" s="9">
        <f t="shared" si="166"/>
        <v>45278</v>
      </c>
      <c r="H1582" s="11">
        <f t="shared" si="167"/>
        <v>0.3</v>
      </c>
      <c r="I1582" s="10">
        <f t="shared" si="168"/>
        <v>3.3</v>
      </c>
      <c r="J1582" s="10">
        <f t="shared" si="169"/>
        <v>7.2</v>
      </c>
      <c r="K1582" s="10">
        <f t="shared" si="165"/>
        <v>3.3</v>
      </c>
      <c r="L1582" s="10">
        <f t="shared" si="170"/>
        <v>79.899999999999991</v>
      </c>
    </row>
    <row r="1583" spans="1:12" x14ac:dyDescent="0.25">
      <c r="A1583" s="7">
        <v>45278</v>
      </c>
      <c r="B1583" t="s">
        <v>411</v>
      </c>
      <c r="C1583" s="6">
        <v>6181</v>
      </c>
      <c r="D1583" s="1" t="s">
        <v>384</v>
      </c>
      <c r="E1583" s="1">
        <v>0.48958333333333331</v>
      </c>
      <c r="F1583" s="1">
        <v>0.625</v>
      </c>
      <c r="G1583" s="9">
        <f t="shared" si="166"/>
        <v>45278</v>
      </c>
      <c r="H1583" s="11">
        <f t="shared" si="167"/>
        <v>3.3</v>
      </c>
      <c r="I1583" s="10">
        <f t="shared" si="168"/>
        <v>6.6</v>
      </c>
      <c r="J1583" s="10">
        <f t="shared" si="169"/>
        <v>7.2</v>
      </c>
      <c r="K1583" s="10">
        <f t="shared" si="165"/>
        <v>6.6</v>
      </c>
      <c r="L1583" s="10">
        <f t="shared" si="170"/>
        <v>83.2</v>
      </c>
    </row>
    <row r="1584" spans="1:12" x14ac:dyDescent="0.25">
      <c r="A1584" s="7">
        <v>45278</v>
      </c>
      <c r="B1584" t="s">
        <v>6</v>
      </c>
      <c r="C1584" s="6" t="s">
        <v>416</v>
      </c>
      <c r="D1584" s="1" t="s">
        <v>510</v>
      </c>
      <c r="E1584" s="1">
        <v>0.625</v>
      </c>
      <c r="F1584" s="1">
        <v>0.66736111111111107</v>
      </c>
      <c r="G1584" s="9">
        <f t="shared" si="166"/>
        <v>45278</v>
      </c>
      <c r="H1584" s="11">
        <f t="shared" si="167"/>
        <v>1</v>
      </c>
      <c r="I1584" s="10">
        <f t="shared" si="168"/>
        <v>7.6</v>
      </c>
      <c r="J1584" s="10">
        <f t="shared" si="169"/>
        <v>7.2</v>
      </c>
      <c r="K1584" s="10">
        <f t="shared" si="165"/>
        <v>7.6</v>
      </c>
      <c r="L1584" s="10">
        <f t="shared" si="170"/>
        <v>84.2</v>
      </c>
    </row>
    <row r="1585" spans="1:12" x14ac:dyDescent="0.25">
      <c r="A1585" s="7">
        <v>45279</v>
      </c>
      <c r="B1585" t="s">
        <v>6</v>
      </c>
      <c r="C1585" s="6" t="s">
        <v>416</v>
      </c>
      <c r="D1585" s="1" t="s">
        <v>511</v>
      </c>
      <c r="E1585" s="1">
        <v>0.33124999999999999</v>
      </c>
      <c r="F1585" s="1">
        <v>0.41666666666666669</v>
      </c>
      <c r="G1585" s="9">
        <f t="shared" si="166"/>
        <v>45278</v>
      </c>
      <c r="H1585" s="11">
        <f t="shared" si="167"/>
        <v>2.1</v>
      </c>
      <c r="I1585" s="10">
        <f t="shared" si="168"/>
        <v>2.1</v>
      </c>
      <c r="J1585" s="10">
        <f t="shared" si="169"/>
        <v>7.2</v>
      </c>
      <c r="K1585" s="10">
        <f t="shared" si="165"/>
        <v>9.6999999999999993</v>
      </c>
      <c r="L1585" s="10">
        <f t="shared" si="170"/>
        <v>86.3</v>
      </c>
    </row>
    <row r="1586" spans="1:12" x14ac:dyDescent="0.25">
      <c r="A1586" s="7">
        <v>45279</v>
      </c>
      <c r="B1586" t="s">
        <v>426</v>
      </c>
      <c r="C1586" s="6">
        <v>6230</v>
      </c>
      <c r="D1586" s="1" t="s">
        <v>44</v>
      </c>
      <c r="E1586" s="1">
        <v>0.41666666666666669</v>
      </c>
      <c r="F1586" s="1">
        <v>0.50416666666666665</v>
      </c>
      <c r="G1586" s="9">
        <f t="shared" si="166"/>
        <v>45278</v>
      </c>
      <c r="H1586" s="11">
        <f t="shared" si="167"/>
        <v>2.1</v>
      </c>
      <c r="I1586" s="10">
        <f t="shared" si="168"/>
        <v>4.2</v>
      </c>
      <c r="J1586" s="10">
        <f t="shared" si="169"/>
        <v>7.2</v>
      </c>
      <c r="K1586" s="10">
        <f t="shared" si="165"/>
        <v>11.799999999999999</v>
      </c>
      <c r="L1586" s="10">
        <f t="shared" si="170"/>
        <v>88.399999999999991</v>
      </c>
    </row>
    <row r="1587" spans="1:12" x14ac:dyDescent="0.25">
      <c r="A1587" s="7">
        <v>45279</v>
      </c>
      <c r="B1587" t="s">
        <v>6</v>
      </c>
      <c r="C1587" s="6" t="s">
        <v>416</v>
      </c>
      <c r="D1587" s="1" t="s">
        <v>511</v>
      </c>
      <c r="E1587" s="1">
        <v>0.51944444444444449</v>
      </c>
      <c r="F1587" s="1">
        <v>0.58333333333333337</v>
      </c>
      <c r="G1587" s="9">
        <f t="shared" si="166"/>
        <v>45278</v>
      </c>
      <c r="H1587" s="11">
        <f t="shared" si="167"/>
        <v>1.5</v>
      </c>
      <c r="I1587" s="10">
        <f t="shared" si="168"/>
        <v>5.7</v>
      </c>
      <c r="J1587" s="10">
        <f t="shared" si="169"/>
        <v>7.2</v>
      </c>
      <c r="K1587" s="10">
        <f t="shared" si="165"/>
        <v>13.3</v>
      </c>
      <c r="L1587" s="10">
        <f t="shared" si="170"/>
        <v>89.9</v>
      </c>
    </row>
    <row r="1588" spans="1:12" x14ac:dyDescent="0.25">
      <c r="A1588" s="7">
        <v>45279</v>
      </c>
      <c r="B1588" t="s">
        <v>6</v>
      </c>
      <c r="C1588" s="6" t="s">
        <v>416</v>
      </c>
      <c r="D1588" s="1" t="s">
        <v>398</v>
      </c>
      <c r="E1588" s="1">
        <v>0.58333333333333337</v>
      </c>
      <c r="F1588" s="1">
        <v>0.64652777777777781</v>
      </c>
      <c r="G1588" s="9">
        <f t="shared" si="166"/>
        <v>45278</v>
      </c>
      <c r="H1588" s="11">
        <f t="shared" si="167"/>
        <v>1.5</v>
      </c>
      <c r="I1588" s="10">
        <f t="shared" si="168"/>
        <v>7.2</v>
      </c>
      <c r="J1588" s="10">
        <f t="shared" si="169"/>
        <v>7.2</v>
      </c>
      <c r="K1588" s="10">
        <f t="shared" si="165"/>
        <v>14.8</v>
      </c>
      <c r="L1588" s="10">
        <f t="shared" si="170"/>
        <v>91.4</v>
      </c>
    </row>
    <row r="1589" spans="1:12" x14ac:dyDescent="0.25">
      <c r="A1589" s="7">
        <v>45280</v>
      </c>
      <c r="B1589" t="s">
        <v>411</v>
      </c>
      <c r="C1589" s="6">
        <v>6181</v>
      </c>
      <c r="D1589" s="1" t="s">
        <v>384</v>
      </c>
      <c r="E1589" s="1">
        <v>0.32083333333333336</v>
      </c>
      <c r="F1589" s="1">
        <v>0.39583333333333331</v>
      </c>
      <c r="G1589" s="9">
        <f t="shared" si="166"/>
        <v>45278</v>
      </c>
      <c r="H1589" s="11">
        <f t="shared" si="167"/>
        <v>1.8</v>
      </c>
      <c r="I1589" s="10">
        <f t="shared" si="168"/>
        <v>1.8</v>
      </c>
      <c r="J1589" s="10">
        <f t="shared" si="169"/>
        <v>7.2</v>
      </c>
      <c r="K1589" s="10">
        <f t="shared" si="165"/>
        <v>16.600000000000001</v>
      </c>
      <c r="L1589" s="10">
        <f t="shared" si="170"/>
        <v>93.2</v>
      </c>
    </row>
    <row r="1590" spans="1:12" x14ac:dyDescent="0.25">
      <c r="A1590" s="7">
        <v>45280</v>
      </c>
      <c r="B1590" t="s">
        <v>6</v>
      </c>
      <c r="C1590" s="6" t="s">
        <v>416</v>
      </c>
      <c r="D1590" s="1" t="s">
        <v>512</v>
      </c>
      <c r="E1590" s="1">
        <v>0.39583333333333331</v>
      </c>
      <c r="F1590" s="1">
        <v>0.43124999999999997</v>
      </c>
      <c r="G1590" s="9">
        <f t="shared" si="166"/>
        <v>45278</v>
      </c>
      <c r="H1590" s="11">
        <f t="shared" si="167"/>
        <v>0.9</v>
      </c>
      <c r="I1590" s="10">
        <f t="shared" si="168"/>
        <v>2.7</v>
      </c>
      <c r="J1590" s="10">
        <f t="shared" si="169"/>
        <v>7.2</v>
      </c>
      <c r="K1590" s="10">
        <f t="shared" si="165"/>
        <v>17.5</v>
      </c>
      <c r="L1590" s="10">
        <f t="shared" si="170"/>
        <v>94.100000000000009</v>
      </c>
    </row>
    <row r="1591" spans="1:12" x14ac:dyDescent="0.25">
      <c r="A1591" s="7">
        <v>45280</v>
      </c>
      <c r="B1591" t="s">
        <v>411</v>
      </c>
      <c r="C1591" s="6">
        <v>6181</v>
      </c>
      <c r="D1591" s="1" t="s">
        <v>384</v>
      </c>
      <c r="E1591" s="1">
        <v>0.43124999999999997</v>
      </c>
      <c r="F1591" s="1">
        <v>0.50694444444444442</v>
      </c>
      <c r="G1591" s="9">
        <f t="shared" si="166"/>
        <v>45278</v>
      </c>
      <c r="H1591" s="11">
        <f t="shared" si="167"/>
        <v>1.8</v>
      </c>
      <c r="I1591" s="10">
        <f t="shared" si="168"/>
        <v>4.5</v>
      </c>
      <c r="J1591" s="10">
        <f t="shared" si="169"/>
        <v>7.2</v>
      </c>
      <c r="K1591" s="10">
        <f t="shared" si="165"/>
        <v>19.3</v>
      </c>
      <c r="L1591" s="10">
        <f t="shared" si="170"/>
        <v>95.899999999999991</v>
      </c>
    </row>
    <row r="1592" spans="1:12" x14ac:dyDescent="0.25">
      <c r="A1592" s="7">
        <v>45280</v>
      </c>
      <c r="B1592" t="s">
        <v>411</v>
      </c>
      <c r="C1592" s="6">
        <v>6181</v>
      </c>
      <c r="D1592" s="1" t="s">
        <v>107</v>
      </c>
      <c r="E1592" s="1">
        <v>0.53125</v>
      </c>
      <c r="F1592" s="1">
        <v>0.63124999999999998</v>
      </c>
      <c r="G1592" s="9">
        <f t="shared" si="166"/>
        <v>45278</v>
      </c>
      <c r="H1592" s="11">
        <f t="shared" si="167"/>
        <v>2.4</v>
      </c>
      <c r="I1592" s="10">
        <f t="shared" si="168"/>
        <v>6.9</v>
      </c>
      <c r="J1592" s="10">
        <f t="shared" si="169"/>
        <v>7.2</v>
      </c>
      <c r="K1592" s="10">
        <f t="shared" si="165"/>
        <v>21.7</v>
      </c>
      <c r="L1592" s="10">
        <f t="shared" si="170"/>
        <v>98.300000000000011</v>
      </c>
    </row>
    <row r="1593" spans="1:12" x14ac:dyDescent="0.25">
      <c r="A1593" s="7">
        <v>45281</v>
      </c>
      <c r="B1593" t="s">
        <v>411</v>
      </c>
      <c r="C1593" s="6">
        <v>6181</v>
      </c>
      <c r="D1593" s="1" t="s">
        <v>107</v>
      </c>
      <c r="E1593" s="1">
        <v>0.3125</v>
      </c>
      <c r="F1593" s="1">
        <v>0.43611111111111112</v>
      </c>
      <c r="G1593" s="9">
        <f t="shared" si="166"/>
        <v>45278</v>
      </c>
      <c r="H1593" s="11">
        <f t="shared" si="167"/>
        <v>3</v>
      </c>
      <c r="I1593" s="10">
        <f t="shared" si="168"/>
        <v>3</v>
      </c>
      <c r="J1593" s="10">
        <f t="shared" si="169"/>
        <v>7.2</v>
      </c>
      <c r="K1593" s="10">
        <f t="shared" si="165"/>
        <v>24.7</v>
      </c>
      <c r="L1593" s="10">
        <f t="shared" si="170"/>
        <v>101.3</v>
      </c>
    </row>
    <row r="1594" spans="1:12" x14ac:dyDescent="0.25">
      <c r="A1594" s="7">
        <v>45281</v>
      </c>
      <c r="B1594" t="s">
        <v>411</v>
      </c>
      <c r="C1594" s="6">
        <v>6181</v>
      </c>
      <c r="D1594" s="1" t="s">
        <v>107</v>
      </c>
      <c r="E1594" s="1">
        <v>0.45208333333333334</v>
      </c>
      <c r="F1594" s="1">
        <v>0.5</v>
      </c>
      <c r="G1594" s="9">
        <f t="shared" si="166"/>
        <v>45278</v>
      </c>
      <c r="H1594" s="11">
        <f t="shared" si="167"/>
        <v>1.2</v>
      </c>
      <c r="I1594" s="10">
        <f t="shared" si="168"/>
        <v>4.2</v>
      </c>
      <c r="J1594" s="10">
        <f t="shared" si="169"/>
        <v>7.2</v>
      </c>
      <c r="K1594" s="10">
        <f t="shared" si="165"/>
        <v>25.9</v>
      </c>
      <c r="L1594" s="10">
        <f t="shared" si="170"/>
        <v>102.5</v>
      </c>
    </row>
    <row r="1595" spans="1:12" x14ac:dyDescent="0.25">
      <c r="A1595" s="7">
        <v>45281</v>
      </c>
      <c r="B1595" t="s">
        <v>411</v>
      </c>
      <c r="C1595" s="6">
        <v>6181</v>
      </c>
      <c r="D1595" s="1" t="s">
        <v>107</v>
      </c>
      <c r="E1595" s="1">
        <v>0.54652777777777783</v>
      </c>
      <c r="F1595" s="1">
        <v>0.59513888888888888</v>
      </c>
      <c r="G1595" s="9">
        <f t="shared" si="166"/>
        <v>45278</v>
      </c>
      <c r="H1595" s="11">
        <f t="shared" si="167"/>
        <v>1.2</v>
      </c>
      <c r="I1595" s="10">
        <f t="shared" si="168"/>
        <v>5.4</v>
      </c>
      <c r="J1595" s="10">
        <f t="shared" si="169"/>
        <v>7.2</v>
      </c>
      <c r="K1595" s="10">
        <f t="shared" si="165"/>
        <v>27.099999999999998</v>
      </c>
      <c r="L1595" s="10">
        <f t="shared" si="170"/>
        <v>103.7</v>
      </c>
    </row>
    <row r="1596" spans="1:12" x14ac:dyDescent="0.25">
      <c r="A1596" s="7">
        <v>45282</v>
      </c>
      <c r="B1596" t="s">
        <v>411</v>
      </c>
      <c r="C1596" s="6">
        <v>6181</v>
      </c>
      <c r="D1596" s="1" t="s">
        <v>513</v>
      </c>
      <c r="E1596" s="1">
        <v>0.30138888888888887</v>
      </c>
      <c r="F1596" s="1">
        <v>0.49027777777777781</v>
      </c>
      <c r="G1596" s="9">
        <f t="shared" si="166"/>
        <v>45278</v>
      </c>
      <c r="H1596" s="11">
        <f t="shared" si="167"/>
        <v>4.5</v>
      </c>
      <c r="I1596" s="10">
        <f t="shared" si="168"/>
        <v>4.5</v>
      </c>
      <c r="J1596" s="10">
        <f t="shared" si="169"/>
        <v>7.2</v>
      </c>
      <c r="K1596" s="10">
        <f t="shared" si="165"/>
        <v>31.6</v>
      </c>
      <c r="L1596" s="10">
        <f t="shared" si="170"/>
        <v>108.2</v>
      </c>
    </row>
    <row r="1597" spans="1:12" x14ac:dyDescent="0.25">
      <c r="A1597" s="7">
        <v>45282</v>
      </c>
      <c r="B1597" t="s">
        <v>411</v>
      </c>
      <c r="C1597" s="6">
        <v>6181</v>
      </c>
      <c r="D1597" s="1" t="s">
        <v>513</v>
      </c>
      <c r="E1597" s="1">
        <v>0.4993055555555555</v>
      </c>
      <c r="F1597" s="1">
        <v>0.58819444444444446</v>
      </c>
      <c r="G1597" s="9">
        <f t="shared" si="166"/>
        <v>45278</v>
      </c>
      <c r="H1597" s="11">
        <f t="shared" si="167"/>
        <v>2.1</v>
      </c>
      <c r="I1597" s="10">
        <f t="shared" si="168"/>
        <v>6.6</v>
      </c>
      <c r="J1597" s="10">
        <f t="shared" si="169"/>
        <v>7.2</v>
      </c>
      <c r="K1597" s="10">
        <f t="shared" si="165"/>
        <v>33.700000000000003</v>
      </c>
      <c r="L1597" s="10">
        <f t="shared" si="170"/>
        <v>110.3</v>
      </c>
    </row>
    <row r="1598" spans="1:12" x14ac:dyDescent="0.25">
      <c r="A1598" s="7">
        <v>45285</v>
      </c>
      <c r="B1598" t="s">
        <v>7</v>
      </c>
      <c r="C1598" s="6" t="s">
        <v>22</v>
      </c>
      <c r="D1598" t="s">
        <v>514</v>
      </c>
      <c r="E1598" s="1">
        <v>0.40972222222222227</v>
      </c>
      <c r="F1598" s="1">
        <v>0.70833333333333337</v>
      </c>
      <c r="G1598" s="9">
        <f t="shared" si="166"/>
        <v>45285</v>
      </c>
      <c r="H1598" s="11">
        <f t="shared" si="167"/>
        <v>7.2</v>
      </c>
      <c r="I1598" s="10">
        <f t="shared" si="168"/>
        <v>7.2</v>
      </c>
      <c r="J1598" s="10">
        <f t="shared" si="169"/>
        <v>7.2</v>
      </c>
      <c r="K1598" s="10">
        <f t="shared" si="165"/>
        <v>7.2</v>
      </c>
      <c r="L1598" s="10">
        <f t="shared" si="170"/>
        <v>117.5</v>
      </c>
    </row>
    <row r="1599" spans="1:12" x14ac:dyDescent="0.25">
      <c r="A1599" s="7">
        <v>45286</v>
      </c>
      <c r="B1599" t="s">
        <v>7</v>
      </c>
      <c r="C1599" s="6" t="s">
        <v>22</v>
      </c>
      <c r="D1599" t="s">
        <v>514</v>
      </c>
      <c r="E1599" s="1">
        <v>0.40972222222222227</v>
      </c>
      <c r="F1599" s="1">
        <v>0.70833333333333337</v>
      </c>
      <c r="G1599" s="9">
        <f t="shared" si="166"/>
        <v>45285</v>
      </c>
      <c r="H1599" s="11">
        <f t="shared" si="167"/>
        <v>7.2</v>
      </c>
      <c r="I1599" s="10">
        <f t="shared" si="168"/>
        <v>7.2</v>
      </c>
      <c r="J1599" s="10">
        <f t="shared" si="169"/>
        <v>7.2</v>
      </c>
      <c r="K1599" s="10">
        <f t="shared" si="165"/>
        <v>14.4</v>
      </c>
      <c r="L1599" s="10">
        <f t="shared" si="170"/>
        <v>124.7</v>
      </c>
    </row>
    <row r="1600" spans="1:12" x14ac:dyDescent="0.25">
      <c r="A1600" s="7">
        <v>45287</v>
      </c>
      <c r="B1600" t="s">
        <v>7</v>
      </c>
      <c r="C1600" s="6" t="s">
        <v>22</v>
      </c>
      <c r="D1600" t="s">
        <v>516</v>
      </c>
      <c r="E1600" s="1">
        <v>0.40972222222222227</v>
      </c>
      <c r="F1600" s="1">
        <v>0.70833333333333337</v>
      </c>
      <c r="G1600" s="9">
        <f t="shared" si="166"/>
        <v>45285</v>
      </c>
      <c r="H1600" s="11">
        <f t="shared" si="167"/>
        <v>7.2</v>
      </c>
      <c r="I1600" s="10">
        <f t="shared" si="168"/>
        <v>7.2</v>
      </c>
      <c r="J1600" s="10">
        <f t="shared" si="169"/>
        <v>7.2</v>
      </c>
      <c r="K1600" s="10">
        <f t="shared" si="165"/>
        <v>21.6</v>
      </c>
      <c r="L1600" s="10">
        <f t="shared" si="170"/>
        <v>131.9</v>
      </c>
    </row>
    <row r="1601" spans="1:12" x14ac:dyDescent="0.25">
      <c r="A1601" s="7">
        <v>45288</v>
      </c>
      <c r="B1601" t="s">
        <v>7</v>
      </c>
      <c r="C1601" s="6" t="s">
        <v>22</v>
      </c>
      <c r="D1601" t="s">
        <v>516</v>
      </c>
      <c r="E1601" s="1">
        <v>0.40972222222222227</v>
      </c>
      <c r="F1601" s="1">
        <v>0.70833333333333337</v>
      </c>
      <c r="G1601" s="9">
        <f t="shared" si="166"/>
        <v>45285</v>
      </c>
      <c r="H1601" s="11">
        <f t="shared" si="167"/>
        <v>7.2</v>
      </c>
      <c r="I1601" s="10">
        <f t="shared" si="168"/>
        <v>7.2</v>
      </c>
      <c r="J1601" s="10">
        <f t="shared" si="169"/>
        <v>7.2</v>
      </c>
      <c r="K1601" s="10">
        <f t="shared" si="165"/>
        <v>28.8</v>
      </c>
      <c r="L1601" s="10">
        <f t="shared" si="170"/>
        <v>139.1</v>
      </c>
    </row>
    <row r="1602" spans="1:12" x14ac:dyDescent="0.25">
      <c r="A1602" s="7">
        <v>45289</v>
      </c>
      <c r="B1602" t="s">
        <v>7</v>
      </c>
      <c r="C1602" s="6" t="s">
        <v>22</v>
      </c>
      <c r="D1602" t="s">
        <v>515</v>
      </c>
      <c r="E1602" s="1">
        <v>0.40972222222222227</v>
      </c>
      <c r="F1602" s="1">
        <v>0.70833333333333337</v>
      </c>
      <c r="G1602" s="9">
        <f t="shared" si="166"/>
        <v>45285</v>
      </c>
      <c r="H1602" s="11">
        <f t="shared" si="167"/>
        <v>7.2</v>
      </c>
      <c r="I1602" s="10">
        <f t="shared" si="168"/>
        <v>7.2</v>
      </c>
      <c r="J1602" s="10">
        <f t="shared" si="169"/>
        <v>7.2</v>
      </c>
      <c r="K1602" s="10">
        <f t="shared" si="165"/>
        <v>36</v>
      </c>
      <c r="L1602" s="10">
        <f t="shared" si="170"/>
        <v>146.29999999999998</v>
      </c>
    </row>
    <row r="1603" spans="1:12" x14ac:dyDescent="0.25">
      <c r="A1603" s="7">
        <v>45292</v>
      </c>
      <c r="B1603" t="s">
        <v>7</v>
      </c>
      <c r="C1603" s="6" t="s">
        <v>22</v>
      </c>
      <c r="D1603" t="s">
        <v>514</v>
      </c>
      <c r="E1603" s="1">
        <v>0.40972222222222227</v>
      </c>
      <c r="F1603" s="1">
        <v>0.70833333333333337</v>
      </c>
      <c r="G1603" s="9">
        <f t="shared" si="166"/>
        <v>45292</v>
      </c>
      <c r="H1603" s="11">
        <f t="shared" si="167"/>
        <v>7.2</v>
      </c>
      <c r="I1603" s="10">
        <f t="shared" si="168"/>
        <v>7.2</v>
      </c>
      <c r="J1603" s="10">
        <f t="shared" si="169"/>
        <v>7.2</v>
      </c>
      <c r="K1603" s="10">
        <f t="shared" ref="K1603:K1666" si="171">IF(H1603="",H1603,H1603+IF(G1603=G1602,_xlfn.NUMBERVALUE(K1602),0))</f>
        <v>7.2</v>
      </c>
      <c r="L1603" s="10">
        <f t="shared" si="170"/>
        <v>7.2</v>
      </c>
    </row>
    <row r="1604" spans="1:12" x14ac:dyDescent="0.25">
      <c r="A1604" s="7">
        <v>45293</v>
      </c>
      <c r="B1604" t="s">
        <v>7</v>
      </c>
      <c r="C1604" s="6" t="s">
        <v>22</v>
      </c>
      <c r="D1604" t="s">
        <v>514</v>
      </c>
      <c r="E1604" s="1">
        <v>0.40972222222222227</v>
      </c>
      <c r="F1604" s="1">
        <v>0.70833333333333337</v>
      </c>
      <c r="G1604" s="9">
        <f t="shared" si="166"/>
        <v>45292</v>
      </c>
      <c r="H1604" s="11">
        <f t="shared" si="167"/>
        <v>7.2</v>
      </c>
      <c r="I1604" s="10">
        <f t="shared" si="168"/>
        <v>7.2</v>
      </c>
      <c r="J1604" s="10">
        <f t="shared" si="169"/>
        <v>7.2</v>
      </c>
      <c r="K1604" s="10">
        <f t="shared" si="171"/>
        <v>14.4</v>
      </c>
      <c r="L1604" s="10">
        <f t="shared" si="170"/>
        <v>14.4</v>
      </c>
    </row>
    <row r="1605" spans="1:12" x14ac:dyDescent="0.25">
      <c r="A1605" s="7">
        <v>45294</v>
      </c>
      <c r="B1605" t="s">
        <v>7</v>
      </c>
      <c r="C1605" s="6" t="s">
        <v>22</v>
      </c>
      <c r="D1605" t="s">
        <v>515</v>
      </c>
      <c r="E1605" s="1">
        <v>0.40972222222222227</v>
      </c>
      <c r="F1605" s="1">
        <v>0.70833333333333337</v>
      </c>
      <c r="G1605" s="9">
        <f t="shared" si="166"/>
        <v>45292</v>
      </c>
      <c r="H1605" s="11">
        <f t="shared" si="167"/>
        <v>7.2</v>
      </c>
      <c r="I1605" s="10">
        <f t="shared" si="168"/>
        <v>7.2</v>
      </c>
      <c r="J1605" s="10">
        <f t="shared" si="169"/>
        <v>7.2</v>
      </c>
      <c r="K1605" s="10">
        <f t="shared" si="171"/>
        <v>21.6</v>
      </c>
      <c r="L1605" s="10">
        <f t="shared" si="170"/>
        <v>21.6</v>
      </c>
    </row>
    <row r="1606" spans="1:12" x14ac:dyDescent="0.25">
      <c r="A1606" s="7">
        <v>45295</v>
      </c>
      <c r="B1606" t="s">
        <v>7</v>
      </c>
      <c r="C1606" s="6" t="s">
        <v>22</v>
      </c>
      <c r="D1606" t="s">
        <v>515</v>
      </c>
      <c r="E1606" s="1">
        <v>0.40972222222222227</v>
      </c>
      <c r="F1606" s="1">
        <v>0.70833333333333337</v>
      </c>
      <c r="G1606" s="9">
        <f t="shared" si="166"/>
        <v>45292</v>
      </c>
      <c r="H1606" s="11">
        <f t="shared" si="167"/>
        <v>7.2</v>
      </c>
      <c r="I1606" s="10">
        <f t="shared" si="168"/>
        <v>7.2</v>
      </c>
      <c r="J1606" s="10">
        <f t="shared" si="169"/>
        <v>7.2</v>
      </c>
      <c r="K1606" s="10">
        <f t="shared" si="171"/>
        <v>28.8</v>
      </c>
      <c r="L1606" s="10">
        <f t="shared" si="170"/>
        <v>28.8</v>
      </c>
    </row>
    <row r="1607" spans="1:12" x14ac:dyDescent="0.25">
      <c r="A1607" s="7">
        <v>45296</v>
      </c>
      <c r="B1607" t="s">
        <v>7</v>
      </c>
      <c r="C1607" s="6" t="s">
        <v>22</v>
      </c>
      <c r="D1607" t="s">
        <v>515</v>
      </c>
      <c r="E1607" s="1">
        <v>0.40972222222222227</v>
      </c>
      <c r="F1607" s="1">
        <v>0.70833333333333337</v>
      </c>
      <c r="G1607" s="9">
        <f t="shared" si="166"/>
        <v>45292</v>
      </c>
      <c r="H1607" s="11">
        <f t="shared" si="167"/>
        <v>7.2</v>
      </c>
      <c r="I1607" s="10">
        <f t="shared" si="168"/>
        <v>7.2</v>
      </c>
      <c r="J1607" s="10">
        <f t="shared" si="169"/>
        <v>7.2</v>
      </c>
      <c r="K1607" s="10">
        <f t="shared" si="171"/>
        <v>36</v>
      </c>
      <c r="L1607" s="10">
        <f t="shared" si="170"/>
        <v>36</v>
      </c>
    </row>
    <row r="1608" spans="1:12" x14ac:dyDescent="0.25">
      <c r="A1608" s="7">
        <v>45299</v>
      </c>
      <c r="B1608" t="s">
        <v>6</v>
      </c>
      <c r="C1608" s="6" t="s">
        <v>416</v>
      </c>
      <c r="D1608" s="1" t="s">
        <v>104</v>
      </c>
      <c r="E1608" s="1">
        <v>0.32847222222222222</v>
      </c>
      <c r="F1608" s="1">
        <v>0.3743055555555555</v>
      </c>
      <c r="G1608" s="9">
        <f>IF(E1608&gt;0,INT((A1608-2)/7)*7+2,"")</f>
        <v>45299</v>
      </c>
      <c r="H1608" s="11">
        <f>IF(E1608&gt;0,ROUND(24*(IF(F1608&gt;0,F1608,NowTime)-E1608),1),"")</f>
        <v>1.1000000000000001</v>
      </c>
      <c r="I1608" s="10">
        <f>IF(H1608="",H1608,H1608+IF(A1608=A1607,_xlfn.NUMBERVALUE(I1607),0))</f>
        <v>1.1000000000000001</v>
      </c>
      <c r="J1608" s="10">
        <f>IF(H1608="",H1608,7.2)</f>
        <v>7.2</v>
      </c>
      <c r="K1608" s="10">
        <f>IF(H1608="",H1608,H1608+IF(G1608=G1607,_xlfn.NUMBERVALUE(K1607),0))</f>
        <v>1.1000000000000001</v>
      </c>
      <c r="L1608" s="10">
        <f>IF(H1608="",H1608,H1608+IF(MONTH(A1608)=MONTH(A1607),_xlfn.NUMBERVALUE(L1607),0))</f>
        <v>37.1</v>
      </c>
    </row>
    <row r="1609" spans="1:12" x14ac:dyDescent="0.25">
      <c r="A1609" s="7">
        <v>45299</v>
      </c>
      <c r="B1609" t="s">
        <v>411</v>
      </c>
      <c r="C1609" s="6">
        <v>6181</v>
      </c>
      <c r="D1609" s="1" t="s">
        <v>517</v>
      </c>
      <c r="E1609" s="1">
        <v>0.3743055555555555</v>
      </c>
      <c r="F1609" s="1">
        <v>0.47986111111111113</v>
      </c>
      <c r="G1609" s="9">
        <f>IF(E1609&gt;0,INT((A1609-2)/7)*7+2,"")</f>
        <v>45299</v>
      </c>
      <c r="H1609" s="11">
        <f>IF(E1609&gt;0,ROUND(24*(IF(F1609&gt;0,F1609,NowTime)-E1609),1),"")</f>
        <v>2.5</v>
      </c>
      <c r="I1609" s="10">
        <f>IF(H1609="",H1609,H1609+IF(A1609=A1608,_xlfn.NUMBERVALUE(I1608),0))</f>
        <v>3.6</v>
      </c>
      <c r="J1609" s="10">
        <f>IF(H1609="",H1609,7.2)</f>
        <v>7.2</v>
      </c>
      <c r="K1609" s="10">
        <f>IF(H1609="",H1609,H1609+IF(G1609=G1608,_xlfn.NUMBERVALUE(K1608),0))</f>
        <v>3.6</v>
      </c>
      <c r="L1609" s="10">
        <f>IF(H1609="",H1609,H1609+IF(MONTH(A1609)=MONTH(A1608),_xlfn.NUMBERVALUE(L1608),0))</f>
        <v>39.6</v>
      </c>
    </row>
    <row r="1610" spans="1:12" x14ac:dyDescent="0.25">
      <c r="A1610" s="7">
        <v>45299</v>
      </c>
      <c r="B1610" t="s">
        <v>411</v>
      </c>
      <c r="C1610" s="6">
        <v>6181</v>
      </c>
      <c r="D1610" s="1" t="s">
        <v>517</v>
      </c>
      <c r="E1610" s="1">
        <v>0.5</v>
      </c>
      <c r="F1610" s="1">
        <v>0.60625000000000007</v>
      </c>
      <c r="G1610" s="9">
        <f>IF(E1610&gt;0,INT((A1610-2)/7)*7+2,"")</f>
        <v>45299</v>
      </c>
      <c r="H1610" s="11">
        <f>IF(E1610&gt;0,ROUND(24*(IF(F1610&gt;0,F1610,NowTime)-E1610),1),"")</f>
        <v>2.6</v>
      </c>
      <c r="I1610" s="10">
        <f>IF(H1610="",H1610,H1610+IF(A1610=A1609,_xlfn.NUMBERVALUE(I1609),0))</f>
        <v>6.2</v>
      </c>
      <c r="J1610" s="10">
        <f>IF(H1610="",H1610,7.2)</f>
        <v>7.2</v>
      </c>
      <c r="K1610" s="10">
        <f>IF(H1610="",H1610,H1610+IF(G1610=G1609,_xlfn.NUMBERVALUE(K1609),0))</f>
        <v>6.2</v>
      </c>
      <c r="L1610" s="10">
        <f>IF(H1610="",H1610,H1610+IF(MONTH(A1610)=MONTH(A1609),_xlfn.NUMBERVALUE(L1609),0))</f>
        <v>42.2</v>
      </c>
    </row>
    <row r="1611" spans="1:12" x14ac:dyDescent="0.25">
      <c r="A1611" s="7">
        <v>45300</v>
      </c>
      <c r="B1611" t="s">
        <v>411</v>
      </c>
      <c r="C1611" s="6">
        <v>6181</v>
      </c>
      <c r="D1611" s="1" t="s">
        <v>517</v>
      </c>
      <c r="E1611" s="1">
        <v>0.31111111111111112</v>
      </c>
      <c r="F1611" s="1">
        <v>0.49791666666666662</v>
      </c>
      <c r="G1611" s="9">
        <f>IF(E1611&gt;0,INT((A1611-2)/7)*7+2,"")</f>
        <v>45299</v>
      </c>
      <c r="H1611" s="11">
        <f>IF(E1611&gt;0,ROUND(24*(IF(F1611&gt;0,F1611,NowTime)-E1611),1),"")</f>
        <v>4.5</v>
      </c>
      <c r="I1611" s="10">
        <f>IF(H1611="",H1611,H1611+IF(A1611=A1610,_xlfn.NUMBERVALUE(I1610),0))</f>
        <v>4.5</v>
      </c>
      <c r="J1611" s="10">
        <f>IF(H1611="",H1611,7.2)</f>
        <v>7.2</v>
      </c>
      <c r="K1611" s="10">
        <f>IF(H1611="",H1611,H1611+IF(G1611=G1610,_xlfn.NUMBERVALUE(K1610),0))</f>
        <v>10.7</v>
      </c>
      <c r="L1611" s="10">
        <f>IF(H1611="",H1611,H1611+IF(MONTH(A1611)=MONTH(A1610),_xlfn.NUMBERVALUE(L1610),0))</f>
        <v>46.7</v>
      </c>
    </row>
    <row r="1612" spans="1:12" x14ac:dyDescent="0.25">
      <c r="A1612" s="7">
        <v>45300</v>
      </c>
      <c r="B1612" t="s">
        <v>411</v>
      </c>
      <c r="C1612" s="6">
        <v>6181</v>
      </c>
      <c r="D1612" s="1" t="s">
        <v>517</v>
      </c>
      <c r="E1612" s="1">
        <v>0.53194444444444444</v>
      </c>
      <c r="F1612" s="1">
        <v>0.57291666666666663</v>
      </c>
      <c r="G1612" s="9">
        <f>IF(E1612&gt;0,INT((A1612-2)/7)*7+2,"")</f>
        <v>45299</v>
      </c>
      <c r="H1612" s="11">
        <f>IF(E1612&gt;0,ROUND(24*(IF(F1612&gt;0,F1612,NowTime)-E1612),1),"")</f>
        <v>1</v>
      </c>
      <c r="I1612" s="10">
        <f>IF(H1612="",H1612,H1612+IF(A1612=A1611,_xlfn.NUMBERVALUE(I1611),0))</f>
        <v>5.5</v>
      </c>
      <c r="J1612" s="10">
        <f>IF(H1612="",H1612,7.2)</f>
        <v>7.2</v>
      </c>
      <c r="K1612" s="10">
        <f>IF(H1612="",H1612,H1612+IF(G1612=G1611,_xlfn.NUMBERVALUE(K1611),0))</f>
        <v>11.7</v>
      </c>
      <c r="L1612" s="10">
        <f>IF(H1612="",H1612,H1612+IF(MONTH(A1612)=MONTH(A1611),_xlfn.NUMBERVALUE(L1611),0))</f>
        <v>47.7</v>
      </c>
    </row>
    <row r="1613" spans="1:12" x14ac:dyDescent="0.25">
      <c r="A1613" s="7">
        <v>45300</v>
      </c>
      <c r="B1613" t="s">
        <v>6</v>
      </c>
      <c r="C1613" s="6" t="s">
        <v>416</v>
      </c>
      <c r="D1613" s="1" t="s">
        <v>337</v>
      </c>
      <c r="E1613" s="1">
        <v>0.57291666666666663</v>
      </c>
      <c r="F1613" s="1">
        <v>0.61458333333333337</v>
      </c>
      <c r="G1613" s="9">
        <f t="shared" si="166"/>
        <v>45299</v>
      </c>
      <c r="H1613" s="11">
        <f t="shared" si="167"/>
        <v>1</v>
      </c>
      <c r="I1613" s="10">
        <f t="shared" si="168"/>
        <v>6.5</v>
      </c>
      <c r="J1613" s="10">
        <f t="shared" si="169"/>
        <v>7.2</v>
      </c>
      <c r="K1613" s="10">
        <f t="shared" si="171"/>
        <v>12.7</v>
      </c>
      <c r="L1613" s="10">
        <f t="shared" si="170"/>
        <v>48.7</v>
      </c>
    </row>
    <row r="1614" spans="1:12" x14ac:dyDescent="0.25">
      <c r="A1614" s="7">
        <v>45300</v>
      </c>
      <c r="B1614" t="s">
        <v>411</v>
      </c>
      <c r="C1614" s="6">
        <v>6181</v>
      </c>
      <c r="D1614" s="1" t="s">
        <v>517</v>
      </c>
      <c r="E1614" s="1">
        <v>0.61458333333333337</v>
      </c>
      <c r="F1614" s="1">
        <v>0.6777777777777777</v>
      </c>
      <c r="G1614" s="9">
        <f t="shared" si="166"/>
        <v>45299</v>
      </c>
      <c r="H1614" s="11">
        <f t="shared" si="167"/>
        <v>1.5</v>
      </c>
      <c r="I1614" s="10">
        <f t="shared" si="168"/>
        <v>8</v>
      </c>
      <c r="J1614" s="10">
        <f t="shared" si="169"/>
        <v>7.2</v>
      </c>
      <c r="K1614" s="10">
        <f t="shared" si="171"/>
        <v>14.2</v>
      </c>
      <c r="L1614" s="10">
        <f t="shared" si="170"/>
        <v>50.2</v>
      </c>
    </row>
    <row r="1615" spans="1:12" x14ac:dyDescent="0.25">
      <c r="A1615" s="7">
        <v>45301</v>
      </c>
      <c r="B1615" t="s">
        <v>411</v>
      </c>
      <c r="C1615" s="6">
        <v>6181</v>
      </c>
      <c r="D1615" s="1" t="s">
        <v>517</v>
      </c>
      <c r="E1615" s="1">
        <v>0.30694444444444441</v>
      </c>
      <c r="F1615" s="1">
        <v>0.34027777777777773</v>
      </c>
      <c r="G1615" s="9">
        <f t="shared" si="166"/>
        <v>45299</v>
      </c>
      <c r="H1615" s="11">
        <f t="shared" si="167"/>
        <v>0.8</v>
      </c>
      <c r="I1615" s="10">
        <f t="shared" si="168"/>
        <v>0.8</v>
      </c>
      <c r="J1615" s="10">
        <f t="shared" si="169"/>
        <v>7.2</v>
      </c>
      <c r="K1615" s="10">
        <f t="shared" si="171"/>
        <v>15</v>
      </c>
      <c r="L1615" s="10">
        <f t="shared" si="170"/>
        <v>51</v>
      </c>
    </row>
    <row r="1616" spans="1:12" x14ac:dyDescent="0.25">
      <c r="A1616" s="7">
        <v>45301</v>
      </c>
      <c r="B1616" t="s">
        <v>6</v>
      </c>
      <c r="C1616" s="6" t="s">
        <v>416</v>
      </c>
      <c r="D1616" s="1" t="s">
        <v>518</v>
      </c>
      <c r="E1616" s="1">
        <v>0.34027777777777773</v>
      </c>
      <c r="F1616" s="1">
        <v>0.49305555555555558</v>
      </c>
      <c r="G1616" s="9">
        <f t="shared" si="166"/>
        <v>45299</v>
      </c>
      <c r="H1616" s="11">
        <f t="shared" si="167"/>
        <v>3.7</v>
      </c>
      <c r="I1616" s="10">
        <f t="shared" si="168"/>
        <v>4.5</v>
      </c>
      <c r="J1616" s="10">
        <f t="shared" si="169"/>
        <v>7.2</v>
      </c>
      <c r="K1616" s="10">
        <f t="shared" si="171"/>
        <v>18.7</v>
      </c>
      <c r="L1616" s="10">
        <f t="shared" si="170"/>
        <v>54.7</v>
      </c>
    </row>
    <row r="1617" spans="1:12" x14ac:dyDescent="0.25">
      <c r="A1617" s="7">
        <v>45301</v>
      </c>
      <c r="B1617" t="s">
        <v>6</v>
      </c>
      <c r="C1617" s="6" t="s">
        <v>416</v>
      </c>
      <c r="D1617" s="1" t="s">
        <v>518</v>
      </c>
      <c r="E1617" s="1">
        <v>0.52152777777777781</v>
      </c>
      <c r="F1617" s="1">
        <v>0.5625</v>
      </c>
      <c r="G1617" s="9">
        <f t="shared" si="166"/>
        <v>45299</v>
      </c>
      <c r="H1617" s="11">
        <f t="shared" si="167"/>
        <v>1</v>
      </c>
      <c r="I1617" s="10">
        <f t="shared" si="168"/>
        <v>5.5</v>
      </c>
      <c r="J1617" s="10">
        <f t="shared" si="169"/>
        <v>7.2</v>
      </c>
      <c r="K1617" s="10">
        <f t="shared" si="171"/>
        <v>19.7</v>
      </c>
      <c r="L1617" s="10">
        <f t="shared" si="170"/>
        <v>55.7</v>
      </c>
    </row>
    <row r="1618" spans="1:12" x14ac:dyDescent="0.25">
      <c r="A1618" s="7">
        <v>45301</v>
      </c>
      <c r="B1618" t="s">
        <v>411</v>
      </c>
      <c r="C1618" s="6">
        <v>6181</v>
      </c>
      <c r="D1618" s="1" t="s">
        <v>517</v>
      </c>
      <c r="E1618" s="1">
        <v>0.5625</v>
      </c>
      <c r="F1618" s="1">
        <v>0.66597222222222219</v>
      </c>
      <c r="G1618" s="9">
        <f t="shared" si="166"/>
        <v>45299</v>
      </c>
      <c r="H1618" s="11">
        <f t="shared" si="167"/>
        <v>2.5</v>
      </c>
      <c r="I1618" s="10">
        <f t="shared" si="168"/>
        <v>8</v>
      </c>
      <c r="J1618" s="10">
        <f t="shared" si="169"/>
        <v>7.2</v>
      </c>
      <c r="K1618" s="10">
        <f t="shared" si="171"/>
        <v>22.2</v>
      </c>
      <c r="L1618" s="10">
        <f t="shared" si="170"/>
        <v>58.2</v>
      </c>
    </row>
    <row r="1619" spans="1:12" x14ac:dyDescent="0.25">
      <c r="A1619" s="7">
        <v>45302</v>
      </c>
      <c r="B1619" t="s">
        <v>411</v>
      </c>
      <c r="C1619" s="6">
        <v>6181</v>
      </c>
      <c r="D1619" s="1" t="s">
        <v>517</v>
      </c>
      <c r="E1619" s="1">
        <v>0.31805555555555554</v>
      </c>
      <c r="F1619" s="1">
        <v>0.5</v>
      </c>
      <c r="G1619" s="9">
        <f t="shared" si="166"/>
        <v>45299</v>
      </c>
      <c r="H1619" s="11">
        <f t="shared" si="167"/>
        <v>4.4000000000000004</v>
      </c>
      <c r="I1619" s="10">
        <f t="shared" si="168"/>
        <v>4.4000000000000004</v>
      </c>
      <c r="J1619" s="10">
        <f t="shared" si="169"/>
        <v>7.2</v>
      </c>
      <c r="K1619" s="10">
        <f t="shared" si="171"/>
        <v>26.6</v>
      </c>
      <c r="L1619" s="10">
        <f t="shared" si="170"/>
        <v>62.6</v>
      </c>
    </row>
    <row r="1620" spans="1:12" x14ac:dyDescent="0.25">
      <c r="A1620" s="7">
        <v>45302</v>
      </c>
      <c r="B1620" t="s">
        <v>411</v>
      </c>
      <c r="C1620" s="6">
        <v>6181</v>
      </c>
      <c r="D1620" s="1" t="s">
        <v>517</v>
      </c>
      <c r="E1620" s="1">
        <v>0.50972222222222219</v>
      </c>
      <c r="F1620" s="1">
        <v>0.65208333333333335</v>
      </c>
      <c r="G1620" s="9">
        <f t="shared" si="166"/>
        <v>45299</v>
      </c>
      <c r="H1620" s="11">
        <f t="shared" si="167"/>
        <v>3.4</v>
      </c>
      <c r="I1620" s="10">
        <f t="shared" si="168"/>
        <v>7.8000000000000007</v>
      </c>
      <c r="J1620" s="10">
        <f t="shared" si="169"/>
        <v>7.2</v>
      </c>
      <c r="K1620" s="10">
        <f t="shared" si="171"/>
        <v>30</v>
      </c>
      <c r="L1620" s="10">
        <f t="shared" si="170"/>
        <v>66</v>
      </c>
    </row>
    <row r="1621" spans="1:12" x14ac:dyDescent="0.25">
      <c r="A1621" s="7">
        <v>45303</v>
      </c>
      <c r="B1621" t="s">
        <v>411</v>
      </c>
      <c r="C1621" s="6">
        <v>6181</v>
      </c>
      <c r="D1621" s="1" t="s">
        <v>517</v>
      </c>
      <c r="E1621" s="1">
        <v>0.33124999999999999</v>
      </c>
      <c r="F1621" s="1">
        <v>0.47500000000000003</v>
      </c>
      <c r="G1621" s="9">
        <f t="shared" si="166"/>
        <v>45299</v>
      </c>
      <c r="H1621" s="11">
        <f t="shared" si="167"/>
        <v>3.5</v>
      </c>
      <c r="I1621" s="10">
        <f t="shared" si="168"/>
        <v>3.5</v>
      </c>
      <c r="J1621" s="10">
        <f t="shared" si="169"/>
        <v>7.2</v>
      </c>
      <c r="K1621" s="10">
        <f t="shared" si="171"/>
        <v>33.5</v>
      </c>
      <c r="L1621" s="10">
        <f t="shared" si="170"/>
        <v>69.5</v>
      </c>
    </row>
    <row r="1622" spans="1:12" x14ac:dyDescent="0.25">
      <c r="A1622" s="7">
        <v>45303</v>
      </c>
      <c r="B1622" t="s">
        <v>6</v>
      </c>
      <c r="C1622" s="6" t="s">
        <v>416</v>
      </c>
      <c r="D1622" s="1" t="s">
        <v>518</v>
      </c>
      <c r="E1622" s="1">
        <v>0.47500000000000003</v>
      </c>
      <c r="F1622" s="1">
        <v>0.48472222222222222</v>
      </c>
      <c r="G1622" s="9">
        <f t="shared" si="166"/>
        <v>45299</v>
      </c>
      <c r="H1622" s="11">
        <f t="shared" si="167"/>
        <v>0.2</v>
      </c>
      <c r="I1622" s="10">
        <f t="shared" si="168"/>
        <v>3.7</v>
      </c>
      <c r="J1622" s="10">
        <f t="shared" si="169"/>
        <v>7.2</v>
      </c>
      <c r="K1622" s="10">
        <f t="shared" si="171"/>
        <v>33.700000000000003</v>
      </c>
      <c r="L1622" s="10">
        <f t="shared" si="170"/>
        <v>69.7</v>
      </c>
    </row>
    <row r="1623" spans="1:12" x14ac:dyDescent="0.25">
      <c r="A1623" s="7">
        <v>45303</v>
      </c>
      <c r="B1623" t="s">
        <v>6</v>
      </c>
      <c r="C1623" s="6" t="s">
        <v>416</v>
      </c>
      <c r="D1623" s="1" t="s">
        <v>518</v>
      </c>
      <c r="E1623" s="1">
        <v>0.49652777777777773</v>
      </c>
      <c r="F1623" s="1">
        <v>0.60486111111111118</v>
      </c>
      <c r="G1623" s="9">
        <f t="shared" si="166"/>
        <v>45299</v>
      </c>
      <c r="H1623" s="11">
        <f t="shared" si="167"/>
        <v>2.6</v>
      </c>
      <c r="I1623" s="10">
        <f t="shared" si="168"/>
        <v>6.3000000000000007</v>
      </c>
      <c r="J1623" s="10">
        <f t="shared" si="169"/>
        <v>7.2</v>
      </c>
      <c r="K1623" s="10">
        <f t="shared" si="171"/>
        <v>36.300000000000004</v>
      </c>
      <c r="L1623" s="10">
        <f t="shared" si="170"/>
        <v>72.3</v>
      </c>
    </row>
    <row r="1624" spans="1:12" x14ac:dyDescent="0.25">
      <c r="A1624" s="7">
        <v>45306</v>
      </c>
      <c r="B1624" t="s">
        <v>6</v>
      </c>
      <c r="C1624" s="6" t="s">
        <v>416</v>
      </c>
      <c r="D1624" s="1" t="s">
        <v>104</v>
      </c>
      <c r="E1624" s="1">
        <v>0.3</v>
      </c>
      <c r="F1624" s="1">
        <v>0.41666666666666669</v>
      </c>
      <c r="G1624" s="9">
        <f t="shared" si="166"/>
        <v>45306</v>
      </c>
      <c r="H1624" s="11">
        <f t="shared" si="167"/>
        <v>2.8</v>
      </c>
      <c r="I1624" s="10">
        <f t="shared" si="168"/>
        <v>2.8</v>
      </c>
      <c r="J1624" s="10">
        <f t="shared" si="169"/>
        <v>7.2</v>
      </c>
      <c r="K1624" s="10">
        <f t="shared" si="171"/>
        <v>2.8</v>
      </c>
      <c r="L1624" s="10">
        <f t="shared" si="170"/>
        <v>75.099999999999994</v>
      </c>
    </row>
    <row r="1625" spans="1:12" x14ac:dyDescent="0.25">
      <c r="A1625" s="7">
        <v>45306</v>
      </c>
      <c r="B1625" t="s">
        <v>6</v>
      </c>
      <c r="C1625" s="6" t="s">
        <v>416</v>
      </c>
      <c r="D1625" s="1" t="s">
        <v>112</v>
      </c>
      <c r="E1625" s="1">
        <v>0.41666666666666669</v>
      </c>
      <c r="F1625" s="1">
        <v>0.4458333333333333</v>
      </c>
      <c r="G1625" s="9">
        <f t="shared" si="166"/>
        <v>45306</v>
      </c>
      <c r="H1625" s="11">
        <f t="shared" si="167"/>
        <v>0.7</v>
      </c>
      <c r="I1625" s="10">
        <f t="shared" si="168"/>
        <v>3.5</v>
      </c>
      <c r="J1625" s="10">
        <f t="shared" si="169"/>
        <v>7.2</v>
      </c>
      <c r="K1625" s="10">
        <f t="shared" si="171"/>
        <v>3.5</v>
      </c>
      <c r="L1625" s="10">
        <f t="shared" si="170"/>
        <v>75.8</v>
      </c>
    </row>
    <row r="1626" spans="1:12" x14ac:dyDescent="0.25">
      <c r="A1626" s="7">
        <v>45306</v>
      </c>
      <c r="B1626" t="s">
        <v>411</v>
      </c>
      <c r="C1626" s="6">
        <v>6181</v>
      </c>
      <c r="D1626" s="1" t="s">
        <v>517</v>
      </c>
      <c r="E1626" s="1">
        <v>0.4458333333333333</v>
      </c>
      <c r="F1626" s="1">
        <v>0.55972222222222223</v>
      </c>
      <c r="G1626" s="9">
        <f t="shared" si="166"/>
        <v>45306</v>
      </c>
      <c r="H1626" s="11">
        <f t="shared" si="167"/>
        <v>2.7</v>
      </c>
      <c r="I1626" s="10">
        <f t="shared" si="168"/>
        <v>6.2</v>
      </c>
      <c r="J1626" s="10">
        <f t="shared" si="169"/>
        <v>7.2</v>
      </c>
      <c r="K1626" s="10">
        <f t="shared" si="171"/>
        <v>6.2</v>
      </c>
      <c r="L1626" s="10">
        <f t="shared" si="170"/>
        <v>78.5</v>
      </c>
    </row>
    <row r="1627" spans="1:12" x14ac:dyDescent="0.25">
      <c r="A1627" s="7">
        <v>45306</v>
      </c>
      <c r="B1627" t="s">
        <v>6</v>
      </c>
      <c r="C1627" s="6" t="s">
        <v>416</v>
      </c>
      <c r="D1627" s="1" t="s">
        <v>519</v>
      </c>
      <c r="E1627" s="1">
        <v>0.55972222222222223</v>
      </c>
      <c r="F1627" s="1">
        <v>0.61458333333333337</v>
      </c>
      <c r="G1627" s="9">
        <f t="shared" si="166"/>
        <v>45306</v>
      </c>
      <c r="H1627" s="11">
        <f t="shared" si="167"/>
        <v>1.3</v>
      </c>
      <c r="I1627" s="10">
        <f t="shared" si="168"/>
        <v>7.5</v>
      </c>
      <c r="J1627" s="10">
        <f t="shared" si="169"/>
        <v>7.2</v>
      </c>
      <c r="K1627" s="10">
        <f t="shared" si="171"/>
        <v>7.5</v>
      </c>
      <c r="L1627" s="10">
        <f t="shared" si="170"/>
        <v>79.8</v>
      </c>
    </row>
    <row r="1628" spans="1:12" x14ac:dyDescent="0.25">
      <c r="A1628" s="7">
        <v>45307</v>
      </c>
      <c r="B1628" t="s">
        <v>411</v>
      </c>
      <c r="C1628" s="6">
        <v>6181</v>
      </c>
      <c r="D1628" s="1" t="s">
        <v>517</v>
      </c>
      <c r="E1628" s="1">
        <v>0.3125</v>
      </c>
      <c r="F1628" s="1">
        <v>0.47986111111111113</v>
      </c>
      <c r="G1628" s="9">
        <f t="shared" si="166"/>
        <v>45306</v>
      </c>
      <c r="H1628" s="11">
        <f t="shared" si="167"/>
        <v>4</v>
      </c>
      <c r="I1628" s="10">
        <f t="shared" si="168"/>
        <v>4</v>
      </c>
      <c r="J1628" s="10">
        <f t="shared" si="169"/>
        <v>7.2</v>
      </c>
      <c r="K1628" s="10">
        <f t="shared" si="171"/>
        <v>11.5</v>
      </c>
      <c r="L1628" s="10">
        <f t="shared" si="170"/>
        <v>83.8</v>
      </c>
    </row>
    <row r="1629" spans="1:12" x14ac:dyDescent="0.25">
      <c r="A1629" s="7">
        <v>45307</v>
      </c>
      <c r="B1629" t="s">
        <v>411</v>
      </c>
      <c r="C1629" s="6">
        <v>6181</v>
      </c>
      <c r="D1629" s="1" t="s">
        <v>517</v>
      </c>
      <c r="E1629" s="1">
        <v>0.4916666666666667</v>
      </c>
      <c r="F1629" s="1">
        <v>0.59444444444444444</v>
      </c>
      <c r="G1629" s="9">
        <f t="shared" si="166"/>
        <v>45306</v>
      </c>
      <c r="H1629" s="11">
        <f t="shared" si="167"/>
        <v>2.5</v>
      </c>
      <c r="I1629" s="10">
        <f t="shared" si="168"/>
        <v>6.5</v>
      </c>
      <c r="J1629" s="10">
        <f t="shared" si="169"/>
        <v>7.2</v>
      </c>
      <c r="K1629" s="10">
        <f t="shared" si="171"/>
        <v>14</v>
      </c>
      <c r="L1629" s="10">
        <f t="shared" si="170"/>
        <v>86.3</v>
      </c>
    </row>
    <row r="1630" spans="1:12" x14ac:dyDescent="0.25">
      <c r="A1630" s="7">
        <v>45308</v>
      </c>
      <c r="B1630" t="s">
        <v>411</v>
      </c>
      <c r="C1630" s="6">
        <v>6181</v>
      </c>
      <c r="D1630" s="1" t="s">
        <v>517</v>
      </c>
      <c r="E1630" s="1">
        <v>0.31111111111111112</v>
      </c>
      <c r="F1630" s="1">
        <v>0.47916666666666669</v>
      </c>
      <c r="G1630" s="9">
        <f t="shared" si="166"/>
        <v>45306</v>
      </c>
      <c r="H1630" s="11">
        <f t="shared" si="167"/>
        <v>4</v>
      </c>
      <c r="I1630" s="10">
        <f t="shared" si="168"/>
        <v>4</v>
      </c>
      <c r="J1630" s="10">
        <f t="shared" si="169"/>
        <v>7.2</v>
      </c>
      <c r="K1630" s="10">
        <f t="shared" si="171"/>
        <v>18</v>
      </c>
      <c r="L1630" s="10">
        <f t="shared" si="170"/>
        <v>90.3</v>
      </c>
    </row>
    <row r="1631" spans="1:12" x14ac:dyDescent="0.25">
      <c r="A1631" s="7">
        <v>45308</v>
      </c>
      <c r="B1631" t="s">
        <v>411</v>
      </c>
      <c r="C1631" s="6">
        <v>6181</v>
      </c>
      <c r="D1631" s="1" t="s">
        <v>44</v>
      </c>
      <c r="E1631" s="1">
        <v>0.47916666666666669</v>
      </c>
      <c r="F1631" s="1">
        <v>0.52847222222222223</v>
      </c>
      <c r="G1631" s="9">
        <f t="shared" si="166"/>
        <v>45306</v>
      </c>
      <c r="H1631" s="11">
        <f t="shared" si="167"/>
        <v>1.2</v>
      </c>
      <c r="I1631" s="10">
        <f t="shared" si="168"/>
        <v>5.2</v>
      </c>
      <c r="J1631" s="10">
        <f t="shared" si="169"/>
        <v>7.2</v>
      </c>
      <c r="K1631" s="10">
        <f t="shared" si="171"/>
        <v>19.2</v>
      </c>
      <c r="L1631" s="10">
        <f t="shared" si="170"/>
        <v>91.5</v>
      </c>
    </row>
    <row r="1632" spans="1:12" x14ac:dyDescent="0.25">
      <c r="A1632" s="7">
        <v>45308</v>
      </c>
      <c r="B1632" t="s">
        <v>411</v>
      </c>
      <c r="C1632" s="6">
        <v>6181</v>
      </c>
      <c r="D1632" s="1" t="s">
        <v>517</v>
      </c>
      <c r="E1632" s="1">
        <v>0.52847222222222223</v>
      </c>
      <c r="F1632" s="1">
        <v>0.62013888888888891</v>
      </c>
      <c r="G1632" s="9">
        <f t="shared" si="166"/>
        <v>45306</v>
      </c>
      <c r="H1632" s="11">
        <f t="shared" si="167"/>
        <v>2.2000000000000002</v>
      </c>
      <c r="I1632" s="10">
        <f t="shared" si="168"/>
        <v>7.4</v>
      </c>
      <c r="J1632" s="10">
        <f t="shared" si="169"/>
        <v>7.2</v>
      </c>
      <c r="K1632" s="10">
        <f t="shared" si="171"/>
        <v>21.4</v>
      </c>
      <c r="L1632" s="10">
        <f t="shared" si="170"/>
        <v>93.7</v>
      </c>
    </row>
    <row r="1633" spans="1:12" x14ac:dyDescent="0.25">
      <c r="A1633" s="7">
        <v>45309</v>
      </c>
      <c r="B1633" t="s">
        <v>411</v>
      </c>
      <c r="C1633" s="6">
        <v>6181</v>
      </c>
      <c r="D1633" s="1" t="s">
        <v>107</v>
      </c>
      <c r="E1633" s="1">
        <v>0.31319444444444444</v>
      </c>
      <c r="F1633" s="1">
        <v>0.50624999999999998</v>
      </c>
      <c r="G1633" s="9">
        <f t="shared" si="166"/>
        <v>45306</v>
      </c>
      <c r="H1633" s="11">
        <f t="shared" si="167"/>
        <v>4.5999999999999996</v>
      </c>
      <c r="I1633" s="10">
        <f t="shared" si="168"/>
        <v>4.5999999999999996</v>
      </c>
      <c r="J1633" s="10">
        <f t="shared" si="169"/>
        <v>7.2</v>
      </c>
      <c r="K1633" s="10">
        <f t="shared" si="171"/>
        <v>26</v>
      </c>
      <c r="L1633" s="10">
        <f t="shared" si="170"/>
        <v>98.3</v>
      </c>
    </row>
    <row r="1634" spans="1:12" x14ac:dyDescent="0.25">
      <c r="A1634" s="7">
        <v>45309</v>
      </c>
      <c r="B1634" t="s">
        <v>411</v>
      </c>
      <c r="C1634" s="6">
        <v>6181</v>
      </c>
      <c r="D1634" s="1" t="s">
        <v>107</v>
      </c>
      <c r="E1634" s="1">
        <v>0.51736111111111105</v>
      </c>
      <c r="F1634" s="1">
        <v>0.63194444444444442</v>
      </c>
      <c r="G1634" s="9">
        <f t="shared" si="166"/>
        <v>45306</v>
      </c>
      <c r="H1634" s="11">
        <f t="shared" si="167"/>
        <v>2.8</v>
      </c>
      <c r="I1634" s="10">
        <f t="shared" si="168"/>
        <v>7.3999999999999995</v>
      </c>
      <c r="J1634" s="10">
        <f t="shared" si="169"/>
        <v>7.2</v>
      </c>
      <c r="K1634" s="10">
        <f t="shared" si="171"/>
        <v>28.8</v>
      </c>
      <c r="L1634" s="10">
        <f t="shared" si="170"/>
        <v>101.1</v>
      </c>
    </row>
    <row r="1635" spans="1:12" x14ac:dyDescent="0.25">
      <c r="A1635" s="7">
        <v>45310</v>
      </c>
      <c r="B1635" t="s">
        <v>411</v>
      </c>
      <c r="C1635" s="6">
        <v>6181</v>
      </c>
      <c r="D1635" s="1" t="s">
        <v>520</v>
      </c>
      <c r="E1635" s="1">
        <v>0.32430555555555557</v>
      </c>
      <c r="F1635" s="1">
        <v>0.39583333333333331</v>
      </c>
      <c r="G1635" s="9">
        <f t="shared" si="166"/>
        <v>45306</v>
      </c>
      <c r="H1635" s="11">
        <f t="shared" si="167"/>
        <v>1.7</v>
      </c>
      <c r="I1635" s="10">
        <f t="shared" si="168"/>
        <v>1.7</v>
      </c>
      <c r="J1635" s="10">
        <f t="shared" si="169"/>
        <v>7.2</v>
      </c>
      <c r="K1635" s="10">
        <f t="shared" si="171"/>
        <v>30.5</v>
      </c>
      <c r="L1635" s="10">
        <f t="shared" si="170"/>
        <v>102.8</v>
      </c>
    </row>
    <row r="1636" spans="1:12" x14ac:dyDescent="0.25">
      <c r="A1636" s="7">
        <v>45310</v>
      </c>
      <c r="B1636" t="s">
        <v>6</v>
      </c>
      <c r="C1636" s="6" t="s">
        <v>416</v>
      </c>
      <c r="D1636" s="1" t="s">
        <v>255</v>
      </c>
      <c r="E1636" s="1">
        <v>0.39583333333333331</v>
      </c>
      <c r="F1636" s="1">
        <v>0.44444444444444442</v>
      </c>
      <c r="G1636" s="9">
        <f t="shared" si="166"/>
        <v>45306</v>
      </c>
      <c r="H1636" s="11">
        <f t="shared" si="167"/>
        <v>1.2</v>
      </c>
      <c r="I1636" s="10">
        <f t="shared" si="168"/>
        <v>2.9</v>
      </c>
      <c r="J1636" s="10">
        <f t="shared" si="169"/>
        <v>7.2</v>
      </c>
      <c r="K1636" s="10">
        <f t="shared" si="171"/>
        <v>31.7</v>
      </c>
      <c r="L1636" s="10">
        <f t="shared" si="170"/>
        <v>104</v>
      </c>
    </row>
    <row r="1637" spans="1:12" x14ac:dyDescent="0.25">
      <c r="A1637" s="7">
        <v>45310</v>
      </c>
      <c r="B1637" t="s">
        <v>411</v>
      </c>
      <c r="C1637" s="6">
        <v>6181</v>
      </c>
      <c r="D1637" s="1" t="s">
        <v>520</v>
      </c>
      <c r="E1637" s="1">
        <v>0.44444444444444442</v>
      </c>
      <c r="F1637" s="1">
        <v>0.64861111111111114</v>
      </c>
      <c r="G1637" s="9">
        <f t="shared" si="166"/>
        <v>45306</v>
      </c>
      <c r="H1637" s="11">
        <f t="shared" si="167"/>
        <v>4.9000000000000004</v>
      </c>
      <c r="I1637" s="10">
        <f t="shared" si="168"/>
        <v>7.8000000000000007</v>
      </c>
      <c r="J1637" s="10">
        <f t="shared" si="169"/>
        <v>7.2</v>
      </c>
      <c r="K1637" s="10">
        <f t="shared" si="171"/>
        <v>36.6</v>
      </c>
      <c r="L1637" s="10">
        <f t="shared" si="170"/>
        <v>108.9</v>
      </c>
    </row>
    <row r="1638" spans="1:12" x14ac:dyDescent="0.25">
      <c r="A1638" s="7">
        <v>45313</v>
      </c>
      <c r="B1638" t="s">
        <v>6</v>
      </c>
      <c r="C1638" s="6" t="s">
        <v>416</v>
      </c>
      <c r="D1638" s="1" t="s">
        <v>104</v>
      </c>
      <c r="E1638" s="1">
        <v>0.31388888888888888</v>
      </c>
      <c r="F1638" s="1">
        <v>0.35416666666666669</v>
      </c>
      <c r="G1638" s="9">
        <f t="shared" si="166"/>
        <v>45313</v>
      </c>
      <c r="H1638" s="11">
        <f t="shared" si="167"/>
        <v>1</v>
      </c>
      <c r="I1638" s="10">
        <f t="shared" si="168"/>
        <v>1</v>
      </c>
      <c r="J1638" s="10">
        <f t="shared" si="169"/>
        <v>7.2</v>
      </c>
      <c r="K1638" s="10">
        <f t="shared" si="171"/>
        <v>1</v>
      </c>
      <c r="L1638" s="10">
        <f t="shared" si="170"/>
        <v>109.9</v>
      </c>
    </row>
    <row r="1639" spans="1:12" x14ac:dyDescent="0.25">
      <c r="A1639" s="7">
        <v>45313</v>
      </c>
      <c r="B1639" t="s">
        <v>411</v>
      </c>
      <c r="C1639" s="6">
        <v>6181</v>
      </c>
      <c r="D1639" s="1" t="s">
        <v>107</v>
      </c>
      <c r="E1639" s="1">
        <v>0.35416666666666669</v>
      </c>
      <c r="F1639" s="1">
        <v>0.62569444444444444</v>
      </c>
      <c r="G1639" s="9">
        <f t="shared" si="166"/>
        <v>45313</v>
      </c>
      <c r="H1639" s="11">
        <f t="shared" si="167"/>
        <v>6.5</v>
      </c>
      <c r="I1639" s="10">
        <f t="shared" si="168"/>
        <v>7.5</v>
      </c>
      <c r="J1639" s="10">
        <f t="shared" si="169"/>
        <v>7.2</v>
      </c>
      <c r="K1639" s="10">
        <f t="shared" si="171"/>
        <v>7.5</v>
      </c>
      <c r="L1639" s="10">
        <f t="shared" si="170"/>
        <v>116.4</v>
      </c>
    </row>
    <row r="1640" spans="1:12" x14ac:dyDescent="0.25">
      <c r="A1640" s="7">
        <v>45314</v>
      </c>
      <c r="B1640" t="s">
        <v>411</v>
      </c>
      <c r="C1640" s="6">
        <v>6181</v>
      </c>
      <c r="D1640" s="1" t="s">
        <v>107</v>
      </c>
      <c r="E1640" s="1">
        <v>0.31805555555555554</v>
      </c>
      <c r="F1640" s="1">
        <v>0.4375</v>
      </c>
      <c r="G1640" s="9">
        <f t="shared" si="166"/>
        <v>45313</v>
      </c>
      <c r="H1640" s="11">
        <f t="shared" si="167"/>
        <v>2.9</v>
      </c>
      <c r="I1640" s="10">
        <f t="shared" si="168"/>
        <v>2.9</v>
      </c>
      <c r="J1640" s="10">
        <f t="shared" si="169"/>
        <v>7.2</v>
      </c>
      <c r="K1640" s="10">
        <f t="shared" si="171"/>
        <v>10.4</v>
      </c>
      <c r="L1640" s="10">
        <f t="shared" si="170"/>
        <v>119.30000000000001</v>
      </c>
    </row>
    <row r="1641" spans="1:12" x14ac:dyDescent="0.25">
      <c r="A1641" s="7">
        <v>45314</v>
      </c>
      <c r="B1641" t="s">
        <v>6</v>
      </c>
      <c r="C1641" s="6" t="s">
        <v>416</v>
      </c>
      <c r="D1641" s="1" t="s">
        <v>521</v>
      </c>
      <c r="E1641" s="1">
        <v>0.4375</v>
      </c>
      <c r="F1641" s="1">
        <v>0.48888888888888887</v>
      </c>
      <c r="G1641" s="9">
        <f t="shared" si="166"/>
        <v>45313</v>
      </c>
      <c r="H1641" s="11">
        <f t="shared" si="167"/>
        <v>1.2</v>
      </c>
      <c r="I1641" s="10">
        <f t="shared" si="168"/>
        <v>4.0999999999999996</v>
      </c>
      <c r="J1641" s="10">
        <f t="shared" si="169"/>
        <v>7.2</v>
      </c>
      <c r="K1641" s="10">
        <f t="shared" si="171"/>
        <v>11.6</v>
      </c>
      <c r="L1641" s="10">
        <f t="shared" si="170"/>
        <v>120.5</v>
      </c>
    </row>
    <row r="1642" spans="1:12" x14ac:dyDescent="0.25">
      <c r="A1642" s="7">
        <v>45314</v>
      </c>
      <c r="B1642" t="s">
        <v>411</v>
      </c>
      <c r="C1642" s="6">
        <v>6181</v>
      </c>
      <c r="D1642" s="1" t="s">
        <v>107</v>
      </c>
      <c r="E1642" s="1">
        <v>0.50277777777777777</v>
      </c>
      <c r="F1642" s="1">
        <v>0.625</v>
      </c>
      <c r="G1642" s="9">
        <f t="shared" si="166"/>
        <v>45313</v>
      </c>
      <c r="H1642" s="11">
        <f t="shared" si="167"/>
        <v>2.9</v>
      </c>
      <c r="I1642" s="10">
        <f t="shared" si="168"/>
        <v>7</v>
      </c>
      <c r="J1642" s="10">
        <f t="shared" si="169"/>
        <v>7.2</v>
      </c>
      <c r="K1642" s="10">
        <f t="shared" si="171"/>
        <v>14.5</v>
      </c>
      <c r="L1642" s="10">
        <f t="shared" si="170"/>
        <v>123.4</v>
      </c>
    </row>
    <row r="1643" spans="1:12" x14ac:dyDescent="0.25">
      <c r="A1643" s="7">
        <v>45314</v>
      </c>
      <c r="B1643" t="s">
        <v>411</v>
      </c>
      <c r="C1643" s="6">
        <v>6181</v>
      </c>
      <c r="D1643" s="1" t="s">
        <v>44</v>
      </c>
      <c r="E1643" s="1">
        <v>0.625</v>
      </c>
      <c r="F1643" s="1">
        <v>0.66527777777777775</v>
      </c>
      <c r="G1643" s="9">
        <f t="shared" si="166"/>
        <v>45313</v>
      </c>
      <c r="H1643" s="11">
        <f t="shared" si="167"/>
        <v>1</v>
      </c>
      <c r="I1643" s="10">
        <f t="shared" si="168"/>
        <v>8</v>
      </c>
      <c r="J1643" s="10">
        <f t="shared" si="169"/>
        <v>7.2</v>
      </c>
      <c r="K1643" s="10">
        <f t="shared" si="171"/>
        <v>15.5</v>
      </c>
      <c r="L1643" s="10">
        <f t="shared" si="170"/>
        <v>124.4</v>
      </c>
    </row>
    <row r="1644" spans="1:12" x14ac:dyDescent="0.25">
      <c r="A1644" s="7">
        <v>45315</v>
      </c>
      <c r="B1644" t="s">
        <v>411</v>
      </c>
      <c r="C1644" s="6">
        <v>6181</v>
      </c>
      <c r="D1644" s="1" t="s">
        <v>107</v>
      </c>
      <c r="E1644" s="1">
        <v>0.32291666666666669</v>
      </c>
      <c r="F1644" s="1">
        <v>0.47847222222222219</v>
      </c>
      <c r="G1644" s="9">
        <f t="shared" si="166"/>
        <v>45313</v>
      </c>
      <c r="H1644" s="11">
        <f t="shared" si="167"/>
        <v>3.7</v>
      </c>
      <c r="I1644" s="10">
        <f t="shared" si="168"/>
        <v>3.7</v>
      </c>
      <c r="J1644" s="10">
        <f t="shared" si="169"/>
        <v>7.2</v>
      </c>
      <c r="K1644" s="10">
        <f t="shared" si="171"/>
        <v>19.2</v>
      </c>
      <c r="L1644" s="10">
        <f t="shared" si="170"/>
        <v>128.1</v>
      </c>
    </row>
    <row r="1645" spans="1:12" x14ac:dyDescent="0.25">
      <c r="A1645" s="7">
        <v>45315</v>
      </c>
      <c r="B1645" t="s">
        <v>411</v>
      </c>
      <c r="C1645" s="6">
        <v>6181</v>
      </c>
      <c r="D1645" s="1" t="s">
        <v>107</v>
      </c>
      <c r="E1645" s="1">
        <v>0.49236111111111108</v>
      </c>
      <c r="F1645" s="1">
        <v>0.54166666666666663</v>
      </c>
      <c r="G1645" s="9">
        <f t="shared" ref="G1645:G1708" si="172">IF(E1645&gt;0,INT((A1645-2)/7)*7+2,"")</f>
        <v>45313</v>
      </c>
      <c r="H1645" s="11">
        <f t="shared" ref="H1645:H1708" si="173">IF(E1645&gt;0,ROUND(24*(IF(F1645&gt;0,F1645,NowTime)-E1645),1),"")</f>
        <v>1.2</v>
      </c>
      <c r="I1645" s="10">
        <f t="shared" ref="I1645:I1708" si="174">IF(H1645="",H1645,H1645+IF(A1645=A1644,_xlfn.NUMBERVALUE(I1644),0))</f>
        <v>4.9000000000000004</v>
      </c>
      <c r="J1645" s="10">
        <f t="shared" ref="J1645:J1708" si="175">IF(H1645="",H1645,7.2)</f>
        <v>7.2</v>
      </c>
      <c r="K1645" s="10">
        <f t="shared" si="171"/>
        <v>20.399999999999999</v>
      </c>
      <c r="L1645" s="10">
        <f t="shared" ref="L1645:L1708" si="176">IF(H1645="",H1645,H1645+IF(MONTH(A1645)=MONTH(A1644),_xlfn.NUMBERVALUE(L1644),0))</f>
        <v>129.29999999999998</v>
      </c>
    </row>
    <row r="1646" spans="1:12" x14ac:dyDescent="0.25">
      <c r="A1646" s="7">
        <v>45315</v>
      </c>
      <c r="B1646" t="s">
        <v>6</v>
      </c>
      <c r="C1646" s="6" t="s">
        <v>416</v>
      </c>
      <c r="D1646" s="1" t="s">
        <v>32</v>
      </c>
      <c r="E1646" s="1">
        <v>0.54166666666666663</v>
      </c>
      <c r="F1646" s="1">
        <v>0.58402777777777781</v>
      </c>
      <c r="G1646" s="9">
        <f t="shared" si="172"/>
        <v>45313</v>
      </c>
      <c r="H1646" s="11">
        <f t="shared" si="173"/>
        <v>1</v>
      </c>
      <c r="I1646" s="10">
        <f t="shared" si="174"/>
        <v>5.9</v>
      </c>
      <c r="J1646" s="10">
        <f t="shared" si="175"/>
        <v>7.2</v>
      </c>
      <c r="K1646" s="10">
        <f t="shared" si="171"/>
        <v>21.4</v>
      </c>
      <c r="L1646" s="10">
        <f t="shared" si="176"/>
        <v>130.30000000000001</v>
      </c>
    </row>
    <row r="1647" spans="1:12" x14ac:dyDescent="0.25">
      <c r="A1647" s="7">
        <v>45316</v>
      </c>
      <c r="B1647" t="s">
        <v>6</v>
      </c>
      <c r="C1647" s="6" t="s">
        <v>416</v>
      </c>
      <c r="D1647" s="1" t="s">
        <v>522</v>
      </c>
      <c r="E1647" s="1">
        <v>0.30555555555555552</v>
      </c>
      <c r="F1647" s="1">
        <v>0.39027777777777778</v>
      </c>
      <c r="G1647" s="9">
        <f t="shared" si="172"/>
        <v>45313</v>
      </c>
      <c r="H1647" s="11">
        <f t="shared" si="173"/>
        <v>2</v>
      </c>
      <c r="I1647" s="10">
        <f t="shared" si="174"/>
        <v>2</v>
      </c>
      <c r="J1647" s="10">
        <f t="shared" si="175"/>
        <v>7.2</v>
      </c>
      <c r="K1647" s="10">
        <f t="shared" si="171"/>
        <v>23.4</v>
      </c>
      <c r="L1647" s="10">
        <f t="shared" si="176"/>
        <v>132.30000000000001</v>
      </c>
    </row>
    <row r="1648" spans="1:12" x14ac:dyDescent="0.25">
      <c r="A1648" s="7">
        <v>45316</v>
      </c>
      <c r="B1648" t="s">
        <v>6</v>
      </c>
      <c r="C1648" s="6" t="s">
        <v>416</v>
      </c>
      <c r="D1648" s="1" t="s">
        <v>523</v>
      </c>
      <c r="E1648" s="1">
        <v>0.45</v>
      </c>
      <c r="F1648" s="1">
        <v>0.48958333333333331</v>
      </c>
      <c r="G1648" s="9">
        <f t="shared" si="172"/>
        <v>45313</v>
      </c>
      <c r="H1648" s="11">
        <f t="shared" si="173"/>
        <v>0.9</v>
      </c>
      <c r="I1648" s="10">
        <f t="shared" si="174"/>
        <v>2.9</v>
      </c>
      <c r="J1648" s="10">
        <f t="shared" si="175"/>
        <v>7.2</v>
      </c>
      <c r="K1648" s="10">
        <f t="shared" si="171"/>
        <v>24.299999999999997</v>
      </c>
      <c r="L1648" s="10">
        <f t="shared" si="176"/>
        <v>133.20000000000002</v>
      </c>
    </row>
    <row r="1649" spans="1:12" x14ac:dyDescent="0.25">
      <c r="A1649" s="7">
        <v>45316</v>
      </c>
      <c r="B1649" t="s">
        <v>6</v>
      </c>
      <c r="C1649" s="6" t="s">
        <v>416</v>
      </c>
      <c r="D1649" s="1" t="s">
        <v>523</v>
      </c>
      <c r="E1649" s="1">
        <v>0.50416666666666665</v>
      </c>
      <c r="F1649" s="1">
        <v>0.65694444444444444</v>
      </c>
      <c r="G1649" s="9">
        <f t="shared" si="172"/>
        <v>45313</v>
      </c>
      <c r="H1649" s="11">
        <f t="shared" si="173"/>
        <v>3.7</v>
      </c>
      <c r="I1649" s="10">
        <f t="shared" si="174"/>
        <v>6.6</v>
      </c>
      <c r="J1649" s="10">
        <f t="shared" si="175"/>
        <v>7.2</v>
      </c>
      <c r="K1649" s="10">
        <f t="shared" si="171"/>
        <v>28</v>
      </c>
      <c r="L1649" s="10">
        <f t="shared" si="176"/>
        <v>136.89999999999998</v>
      </c>
    </row>
    <row r="1650" spans="1:12" x14ac:dyDescent="0.25">
      <c r="A1650" s="7">
        <v>45317</v>
      </c>
      <c r="B1650" t="s">
        <v>6</v>
      </c>
      <c r="C1650" s="6" t="s">
        <v>416</v>
      </c>
      <c r="D1650" s="1" t="s">
        <v>523</v>
      </c>
      <c r="E1650" s="1">
        <v>0.31458333333333333</v>
      </c>
      <c r="F1650" s="1">
        <v>0.5180555555555556</v>
      </c>
      <c r="G1650" s="9">
        <f t="shared" si="172"/>
        <v>45313</v>
      </c>
      <c r="H1650" s="11">
        <f t="shared" si="173"/>
        <v>4.9000000000000004</v>
      </c>
      <c r="I1650" s="10">
        <f t="shared" si="174"/>
        <v>4.9000000000000004</v>
      </c>
      <c r="J1650" s="10">
        <f t="shared" si="175"/>
        <v>7.2</v>
      </c>
      <c r="K1650" s="10">
        <f t="shared" si="171"/>
        <v>32.9</v>
      </c>
      <c r="L1650" s="10">
        <f t="shared" si="176"/>
        <v>141.80000000000001</v>
      </c>
    </row>
    <row r="1651" spans="1:12" x14ac:dyDescent="0.25">
      <c r="A1651" s="7">
        <v>45317</v>
      </c>
      <c r="B1651" t="s">
        <v>6</v>
      </c>
      <c r="C1651" s="6" t="s">
        <v>416</v>
      </c>
      <c r="D1651" s="1" t="s">
        <v>523</v>
      </c>
      <c r="E1651" s="1">
        <v>0.52847222222222223</v>
      </c>
      <c r="F1651" s="1">
        <v>0.63263888888888886</v>
      </c>
      <c r="G1651" s="9">
        <f t="shared" si="172"/>
        <v>45313</v>
      </c>
      <c r="H1651" s="11">
        <f t="shared" si="173"/>
        <v>2.5</v>
      </c>
      <c r="I1651" s="10">
        <f t="shared" si="174"/>
        <v>7.4</v>
      </c>
      <c r="J1651" s="10">
        <f t="shared" si="175"/>
        <v>7.2</v>
      </c>
      <c r="K1651" s="10">
        <f t="shared" si="171"/>
        <v>35.4</v>
      </c>
      <c r="L1651" s="10">
        <f t="shared" si="176"/>
        <v>144.30000000000001</v>
      </c>
    </row>
    <row r="1652" spans="1:12" x14ac:dyDescent="0.25">
      <c r="A1652" s="7">
        <v>45320</v>
      </c>
      <c r="B1652" t="s">
        <v>7</v>
      </c>
      <c r="C1652" s="6" t="s">
        <v>22</v>
      </c>
      <c r="D1652" t="s">
        <v>514</v>
      </c>
      <c r="E1652" s="1">
        <v>0.40972222222222227</v>
      </c>
      <c r="F1652" s="1">
        <v>0.70833333333333337</v>
      </c>
      <c r="G1652" s="9">
        <f t="shared" si="172"/>
        <v>45320</v>
      </c>
      <c r="H1652" s="11">
        <f t="shared" si="173"/>
        <v>7.2</v>
      </c>
      <c r="I1652" s="10">
        <f t="shared" si="174"/>
        <v>7.2</v>
      </c>
      <c r="J1652" s="10">
        <f t="shared" si="175"/>
        <v>7.2</v>
      </c>
      <c r="K1652" s="10">
        <f t="shared" si="171"/>
        <v>7.2</v>
      </c>
      <c r="L1652" s="10">
        <f t="shared" si="176"/>
        <v>151.5</v>
      </c>
    </row>
    <row r="1653" spans="1:12" x14ac:dyDescent="0.25">
      <c r="A1653" s="7">
        <v>45321</v>
      </c>
      <c r="B1653" t="s">
        <v>411</v>
      </c>
      <c r="C1653" s="6">
        <v>6181</v>
      </c>
      <c r="D1653" s="1" t="s">
        <v>524</v>
      </c>
      <c r="E1653" s="1">
        <v>0.31111111111111112</v>
      </c>
      <c r="F1653" s="1">
        <v>0.41666666666666669</v>
      </c>
      <c r="G1653" s="9">
        <f t="shared" si="172"/>
        <v>45320</v>
      </c>
      <c r="H1653" s="11">
        <f t="shared" si="173"/>
        <v>2.5</v>
      </c>
      <c r="I1653" s="10">
        <f t="shared" si="174"/>
        <v>2.5</v>
      </c>
      <c r="J1653" s="10">
        <f t="shared" si="175"/>
        <v>7.2</v>
      </c>
      <c r="K1653" s="10">
        <f t="shared" si="171"/>
        <v>9.6999999999999993</v>
      </c>
      <c r="L1653" s="10">
        <f t="shared" si="176"/>
        <v>154</v>
      </c>
    </row>
    <row r="1654" spans="1:12" x14ac:dyDescent="0.25">
      <c r="A1654" s="7">
        <v>45321</v>
      </c>
      <c r="B1654" t="s">
        <v>6</v>
      </c>
      <c r="C1654" s="6" t="s">
        <v>416</v>
      </c>
      <c r="D1654" s="1" t="s">
        <v>112</v>
      </c>
      <c r="E1654" s="1">
        <v>0.41666666666666669</v>
      </c>
      <c r="F1654" s="1">
        <v>0.46249999999999997</v>
      </c>
      <c r="G1654" s="9">
        <f t="shared" si="172"/>
        <v>45320</v>
      </c>
      <c r="H1654" s="11">
        <f t="shared" si="173"/>
        <v>1.1000000000000001</v>
      </c>
      <c r="I1654" s="10">
        <f t="shared" si="174"/>
        <v>3.6</v>
      </c>
      <c r="J1654" s="10">
        <f t="shared" si="175"/>
        <v>7.2</v>
      </c>
      <c r="K1654" s="10">
        <f t="shared" si="171"/>
        <v>10.799999999999999</v>
      </c>
      <c r="L1654" s="10">
        <f t="shared" si="176"/>
        <v>155.1</v>
      </c>
    </row>
    <row r="1655" spans="1:12" x14ac:dyDescent="0.25">
      <c r="A1655" s="7">
        <v>45321</v>
      </c>
      <c r="B1655" t="s">
        <v>411</v>
      </c>
      <c r="C1655" s="6">
        <v>6181</v>
      </c>
      <c r="D1655" s="1" t="s">
        <v>524</v>
      </c>
      <c r="E1655" s="1">
        <v>0.46249999999999997</v>
      </c>
      <c r="F1655" s="1">
        <v>0.54097222222222219</v>
      </c>
      <c r="G1655" s="9">
        <f t="shared" si="172"/>
        <v>45320</v>
      </c>
      <c r="H1655" s="11">
        <f t="shared" si="173"/>
        <v>1.9</v>
      </c>
      <c r="I1655" s="10">
        <f t="shared" si="174"/>
        <v>5.5</v>
      </c>
      <c r="J1655" s="10">
        <f t="shared" si="175"/>
        <v>7.2</v>
      </c>
      <c r="K1655" s="10">
        <f t="shared" si="171"/>
        <v>12.700000000000001</v>
      </c>
      <c r="L1655" s="10">
        <f t="shared" si="176"/>
        <v>157</v>
      </c>
    </row>
    <row r="1656" spans="1:12" x14ac:dyDescent="0.25">
      <c r="A1656" s="7">
        <v>45321</v>
      </c>
      <c r="B1656" t="s">
        <v>6</v>
      </c>
      <c r="C1656" s="6" t="s">
        <v>416</v>
      </c>
      <c r="D1656" s="1" t="s">
        <v>523</v>
      </c>
      <c r="E1656" s="1">
        <v>0.54097222222222219</v>
      </c>
      <c r="F1656" s="1">
        <v>0.64513888888888882</v>
      </c>
      <c r="G1656" s="9">
        <f t="shared" si="172"/>
        <v>45320</v>
      </c>
      <c r="H1656" s="11">
        <f t="shared" si="173"/>
        <v>2.5</v>
      </c>
      <c r="I1656" s="10">
        <f t="shared" si="174"/>
        <v>8</v>
      </c>
      <c r="J1656" s="10">
        <f t="shared" si="175"/>
        <v>7.2</v>
      </c>
      <c r="K1656" s="10">
        <f t="shared" si="171"/>
        <v>15.2</v>
      </c>
      <c r="L1656" s="10">
        <f t="shared" si="176"/>
        <v>159.5</v>
      </c>
    </row>
    <row r="1657" spans="1:12" x14ac:dyDescent="0.25">
      <c r="A1657" s="7">
        <v>45322</v>
      </c>
      <c r="B1657" t="s">
        <v>6</v>
      </c>
      <c r="C1657" s="6" t="s">
        <v>416</v>
      </c>
      <c r="D1657" s="1" t="s">
        <v>523</v>
      </c>
      <c r="E1657" s="1">
        <v>0.31180555555555556</v>
      </c>
      <c r="F1657" s="1">
        <v>0.45833333333333331</v>
      </c>
      <c r="G1657" s="9">
        <f t="shared" si="172"/>
        <v>45320</v>
      </c>
      <c r="H1657" s="11">
        <f t="shared" si="173"/>
        <v>3.5</v>
      </c>
      <c r="I1657" s="10">
        <f t="shared" si="174"/>
        <v>3.5</v>
      </c>
      <c r="J1657" s="10">
        <f t="shared" si="175"/>
        <v>7.2</v>
      </c>
      <c r="K1657" s="10">
        <f t="shared" si="171"/>
        <v>18.7</v>
      </c>
      <c r="L1657" s="10">
        <f t="shared" si="176"/>
        <v>163</v>
      </c>
    </row>
    <row r="1658" spans="1:12" x14ac:dyDescent="0.25">
      <c r="A1658" s="7">
        <v>45322</v>
      </c>
      <c r="B1658" t="s">
        <v>6</v>
      </c>
      <c r="C1658" s="6" t="s">
        <v>416</v>
      </c>
      <c r="D1658" s="1" t="s">
        <v>525</v>
      </c>
      <c r="E1658" s="1">
        <v>0.45833333333333331</v>
      </c>
      <c r="F1658" s="1">
        <v>0.5</v>
      </c>
      <c r="G1658" s="9">
        <f t="shared" si="172"/>
        <v>45320</v>
      </c>
      <c r="H1658" s="11">
        <f t="shared" si="173"/>
        <v>1</v>
      </c>
      <c r="I1658" s="10">
        <f t="shared" si="174"/>
        <v>4.5</v>
      </c>
      <c r="J1658" s="10">
        <f t="shared" si="175"/>
        <v>7.2</v>
      </c>
      <c r="K1658" s="10">
        <f t="shared" si="171"/>
        <v>19.7</v>
      </c>
      <c r="L1658" s="10">
        <f t="shared" si="176"/>
        <v>164</v>
      </c>
    </row>
    <row r="1659" spans="1:12" x14ac:dyDescent="0.25">
      <c r="A1659" s="7">
        <v>45322</v>
      </c>
      <c r="B1659" t="s">
        <v>6</v>
      </c>
      <c r="C1659" s="6" t="s">
        <v>416</v>
      </c>
      <c r="D1659" s="1" t="s">
        <v>526</v>
      </c>
      <c r="E1659" s="1">
        <v>0.5</v>
      </c>
      <c r="F1659" s="1">
        <v>0.53819444444444442</v>
      </c>
      <c r="G1659" s="9">
        <f t="shared" si="172"/>
        <v>45320</v>
      </c>
      <c r="H1659" s="11">
        <f t="shared" si="173"/>
        <v>0.9</v>
      </c>
      <c r="I1659" s="10">
        <f t="shared" si="174"/>
        <v>5.4</v>
      </c>
      <c r="J1659" s="10">
        <f t="shared" si="175"/>
        <v>7.2</v>
      </c>
      <c r="K1659" s="10">
        <f t="shared" si="171"/>
        <v>20.599999999999998</v>
      </c>
      <c r="L1659" s="10">
        <f t="shared" si="176"/>
        <v>164.9</v>
      </c>
    </row>
    <row r="1660" spans="1:12" x14ac:dyDescent="0.25">
      <c r="A1660" s="7">
        <v>45322</v>
      </c>
      <c r="B1660" t="s">
        <v>6</v>
      </c>
      <c r="C1660" s="6" t="s">
        <v>416</v>
      </c>
      <c r="D1660" s="1" t="s">
        <v>523</v>
      </c>
      <c r="E1660" s="1">
        <v>0.56458333333333333</v>
      </c>
      <c r="F1660" s="1">
        <v>0.62569444444444444</v>
      </c>
      <c r="G1660" s="9">
        <f t="shared" si="172"/>
        <v>45320</v>
      </c>
      <c r="H1660" s="11">
        <f t="shared" si="173"/>
        <v>1.5</v>
      </c>
      <c r="I1660" s="10">
        <f t="shared" si="174"/>
        <v>6.9</v>
      </c>
      <c r="J1660" s="10">
        <f t="shared" si="175"/>
        <v>7.2</v>
      </c>
      <c r="K1660" s="10">
        <f t="shared" si="171"/>
        <v>22.1</v>
      </c>
      <c r="L1660" s="10">
        <f t="shared" si="176"/>
        <v>166.4</v>
      </c>
    </row>
    <row r="1661" spans="1:12" x14ac:dyDescent="0.25">
      <c r="A1661" s="7">
        <v>45323</v>
      </c>
      <c r="B1661" t="s">
        <v>6</v>
      </c>
      <c r="C1661" s="6" t="s">
        <v>416</v>
      </c>
      <c r="D1661" s="1" t="s">
        <v>523</v>
      </c>
      <c r="E1661" s="1">
        <v>0.31458333333333333</v>
      </c>
      <c r="F1661" s="1">
        <v>0.4375</v>
      </c>
      <c r="G1661" s="9">
        <f t="shared" si="172"/>
        <v>45320</v>
      </c>
      <c r="H1661" s="11">
        <f t="shared" si="173"/>
        <v>3</v>
      </c>
      <c r="I1661" s="10">
        <f t="shared" si="174"/>
        <v>3</v>
      </c>
      <c r="J1661" s="10">
        <f t="shared" si="175"/>
        <v>7.2</v>
      </c>
      <c r="K1661" s="10">
        <f t="shared" si="171"/>
        <v>25.1</v>
      </c>
      <c r="L1661" s="10">
        <f t="shared" si="176"/>
        <v>3</v>
      </c>
    </row>
    <row r="1662" spans="1:12" x14ac:dyDescent="0.25">
      <c r="A1662" s="7">
        <v>45323</v>
      </c>
      <c r="B1662" t="s">
        <v>6</v>
      </c>
      <c r="C1662" s="6" t="s">
        <v>416</v>
      </c>
      <c r="D1662" s="1" t="s">
        <v>112</v>
      </c>
      <c r="E1662" s="1">
        <v>0.4375</v>
      </c>
      <c r="F1662" s="1">
        <v>0.47152777777777777</v>
      </c>
      <c r="G1662" s="9">
        <f t="shared" si="172"/>
        <v>45320</v>
      </c>
      <c r="H1662" s="11">
        <f t="shared" si="173"/>
        <v>0.8</v>
      </c>
      <c r="I1662" s="10">
        <f t="shared" si="174"/>
        <v>3.8</v>
      </c>
      <c r="J1662" s="10">
        <f t="shared" si="175"/>
        <v>7.2</v>
      </c>
      <c r="K1662" s="10">
        <f t="shared" si="171"/>
        <v>25.900000000000002</v>
      </c>
      <c r="L1662" s="10">
        <f t="shared" si="176"/>
        <v>3.8</v>
      </c>
    </row>
    <row r="1663" spans="1:12" x14ac:dyDescent="0.25">
      <c r="A1663" s="7">
        <v>45323</v>
      </c>
      <c r="B1663" t="s">
        <v>6</v>
      </c>
      <c r="C1663" s="6" t="s">
        <v>416</v>
      </c>
      <c r="D1663" s="1" t="s">
        <v>523</v>
      </c>
      <c r="E1663" s="1">
        <v>0.48958333333333331</v>
      </c>
      <c r="F1663" s="1">
        <v>0.54166666666666663</v>
      </c>
      <c r="G1663" s="9">
        <f t="shared" si="172"/>
        <v>45320</v>
      </c>
      <c r="H1663" s="11">
        <f t="shared" si="173"/>
        <v>1.3</v>
      </c>
      <c r="I1663" s="10">
        <f t="shared" si="174"/>
        <v>5.0999999999999996</v>
      </c>
      <c r="J1663" s="10">
        <f t="shared" si="175"/>
        <v>7.2</v>
      </c>
      <c r="K1663" s="10">
        <f t="shared" si="171"/>
        <v>27.2</v>
      </c>
      <c r="L1663" s="10">
        <f t="shared" si="176"/>
        <v>5.0999999999999996</v>
      </c>
    </row>
    <row r="1664" spans="1:12" x14ac:dyDescent="0.25">
      <c r="A1664" s="7">
        <v>45323</v>
      </c>
      <c r="B1664" t="s">
        <v>6</v>
      </c>
      <c r="C1664" s="6" t="s">
        <v>416</v>
      </c>
      <c r="D1664" s="1" t="s">
        <v>71</v>
      </c>
      <c r="E1664" s="1">
        <v>0.54166666666666663</v>
      </c>
      <c r="F1664" s="1">
        <v>0.5625</v>
      </c>
      <c r="G1664" s="9">
        <f t="shared" si="172"/>
        <v>45320</v>
      </c>
      <c r="H1664" s="11">
        <f t="shared" si="173"/>
        <v>0.5</v>
      </c>
      <c r="I1664" s="10">
        <f t="shared" si="174"/>
        <v>5.6</v>
      </c>
      <c r="J1664" s="10">
        <f t="shared" si="175"/>
        <v>7.2</v>
      </c>
      <c r="K1664" s="10">
        <f t="shared" si="171"/>
        <v>27.7</v>
      </c>
      <c r="L1664" s="10">
        <f t="shared" si="176"/>
        <v>5.6</v>
      </c>
    </row>
    <row r="1665" spans="1:12" x14ac:dyDescent="0.25">
      <c r="A1665" s="7">
        <v>45323</v>
      </c>
      <c r="B1665" t="s">
        <v>6</v>
      </c>
      <c r="C1665" s="6" t="s">
        <v>416</v>
      </c>
      <c r="D1665" s="1" t="s">
        <v>527</v>
      </c>
      <c r="E1665" s="1">
        <v>0.5625</v>
      </c>
      <c r="F1665" s="1">
        <v>0.59861111111111109</v>
      </c>
      <c r="G1665" s="9">
        <f t="shared" si="172"/>
        <v>45320</v>
      </c>
      <c r="H1665" s="11">
        <f t="shared" si="173"/>
        <v>0.9</v>
      </c>
      <c r="I1665" s="10">
        <f t="shared" si="174"/>
        <v>6.5</v>
      </c>
      <c r="J1665" s="10">
        <f t="shared" si="175"/>
        <v>7.2</v>
      </c>
      <c r="K1665" s="10">
        <f t="shared" si="171"/>
        <v>28.599999999999998</v>
      </c>
      <c r="L1665" s="10">
        <f t="shared" si="176"/>
        <v>6.5</v>
      </c>
    </row>
    <row r="1666" spans="1:12" x14ac:dyDescent="0.25">
      <c r="A1666" s="7">
        <v>45324</v>
      </c>
      <c r="B1666" t="s">
        <v>411</v>
      </c>
      <c r="C1666" s="6">
        <v>6181</v>
      </c>
      <c r="D1666" s="1" t="s">
        <v>524</v>
      </c>
      <c r="E1666" s="1">
        <v>0.32222222222222224</v>
      </c>
      <c r="F1666" s="1">
        <v>0.49305555555555558</v>
      </c>
      <c r="G1666" s="9">
        <f t="shared" si="172"/>
        <v>45320</v>
      </c>
      <c r="H1666" s="11">
        <f t="shared" si="173"/>
        <v>4.0999999999999996</v>
      </c>
      <c r="I1666" s="10">
        <f t="shared" si="174"/>
        <v>4.0999999999999996</v>
      </c>
      <c r="J1666" s="10">
        <f t="shared" si="175"/>
        <v>7.2</v>
      </c>
      <c r="K1666" s="10">
        <f t="shared" si="171"/>
        <v>32.700000000000003</v>
      </c>
      <c r="L1666" s="10">
        <f t="shared" si="176"/>
        <v>10.6</v>
      </c>
    </row>
    <row r="1667" spans="1:12" x14ac:dyDescent="0.25">
      <c r="A1667" s="7">
        <v>45324</v>
      </c>
      <c r="B1667" t="s">
        <v>6</v>
      </c>
      <c r="C1667" s="6" t="s">
        <v>416</v>
      </c>
      <c r="D1667" s="1" t="s">
        <v>540</v>
      </c>
      <c r="E1667" s="1">
        <v>0.50624999999999998</v>
      </c>
      <c r="F1667" s="1">
        <v>0.61527777777777781</v>
      </c>
      <c r="G1667" s="9">
        <f t="shared" si="172"/>
        <v>45320</v>
      </c>
      <c r="H1667" s="11">
        <f t="shared" si="173"/>
        <v>2.6</v>
      </c>
      <c r="I1667" s="10">
        <f t="shared" si="174"/>
        <v>6.6999999999999993</v>
      </c>
      <c r="J1667" s="10">
        <f t="shared" si="175"/>
        <v>7.2</v>
      </c>
      <c r="K1667" s="10">
        <f t="shared" ref="K1667:K1730" si="177">IF(H1667="",H1667,H1667+IF(G1667=G1666,_xlfn.NUMBERVALUE(K1666),0))</f>
        <v>35.300000000000004</v>
      </c>
      <c r="L1667" s="10">
        <f t="shared" si="176"/>
        <v>13.2</v>
      </c>
    </row>
    <row r="1668" spans="1:12" x14ac:dyDescent="0.25">
      <c r="A1668" s="7">
        <v>45327</v>
      </c>
      <c r="B1668" t="s">
        <v>6</v>
      </c>
      <c r="C1668" s="6" t="s">
        <v>416</v>
      </c>
      <c r="D1668" s="1" t="s">
        <v>104</v>
      </c>
      <c r="E1668" s="1">
        <v>0.3263888888888889</v>
      </c>
      <c r="F1668" s="1">
        <v>0.41666666666666669</v>
      </c>
      <c r="G1668" s="9">
        <f t="shared" si="172"/>
        <v>45327</v>
      </c>
      <c r="H1668" s="11">
        <f t="shared" si="173"/>
        <v>2.2000000000000002</v>
      </c>
      <c r="I1668" s="10">
        <f t="shared" si="174"/>
        <v>2.2000000000000002</v>
      </c>
      <c r="J1668" s="10">
        <f t="shared" si="175"/>
        <v>7.2</v>
      </c>
      <c r="K1668" s="10">
        <f t="shared" si="177"/>
        <v>2.2000000000000002</v>
      </c>
      <c r="L1668" s="10">
        <f t="shared" si="176"/>
        <v>15.399999999999999</v>
      </c>
    </row>
    <row r="1669" spans="1:12" x14ac:dyDescent="0.25">
      <c r="A1669" s="7">
        <v>45327</v>
      </c>
      <c r="B1669" t="s">
        <v>6</v>
      </c>
      <c r="C1669" s="6" t="s">
        <v>416</v>
      </c>
      <c r="D1669" s="1" t="s">
        <v>112</v>
      </c>
      <c r="E1669" s="1">
        <v>0.41666666666666669</v>
      </c>
      <c r="F1669" s="1">
        <v>0.45902777777777781</v>
      </c>
      <c r="G1669" s="9">
        <f t="shared" si="172"/>
        <v>45327</v>
      </c>
      <c r="H1669" s="11">
        <f t="shared" si="173"/>
        <v>1</v>
      </c>
      <c r="I1669" s="10">
        <f t="shared" si="174"/>
        <v>3.2</v>
      </c>
      <c r="J1669" s="10">
        <f t="shared" si="175"/>
        <v>7.2</v>
      </c>
      <c r="K1669" s="10">
        <f t="shared" si="177"/>
        <v>3.2</v>
      </c>
      <c r="L1669" s="10">
        <f t="shared" si="176"/>
        <v>16.399999999999999</v>
      </c>
    </row>
    <row r="1670" spans="1:12" x14ac:dyDescent="0.25">
      <c r="A1670" s="7">
        <v>45327</v>
      </c>
      <c r="B1670" t="s">
        <v>6</v>
      </c>
      <c r="C1670" s="6" t="s">
        <v>416</v>
      </c>
      <c r="D1670" s="1" t="s">
        <v>523</v>
      </c>
      <c r="E1670" s="1">
        <v>0.45902777777777781</v>
      </c>
      <c r="F1670" s="1">
        <v>0.5395833333333333</v>
      </c>
      <c r="G1670" s="9">
        <f t="shared" si="172"/>
        <v>45327</v>
      </c>
      <c r="H1670" s="11">
        <f t="shared" si="173"/>
        <v>1.9</v>
      </c>
      <c r="I1670" s="10">
        <f t="shared" si="174"/>
        <v>5.0999999999999996</v>
      </c>
      <c r="J1670" s="10">
        <f t="shared" si="175"/>
        <v>7.2</v>
      </c>
      <c r="K1670" s="10">
        <f t="shared" si="177"/>
        <v>5.0999999999999996</v>
      </c>
      <c r="L1670" s="10">
        <f t="shared" si="176"/>
        <v>18.299999999999997</v>
      </c>
    </row>
    <row r="1671" spans="1:12" x14ac:dyDescent="0.25">
      <c r="A1671" s="7">
        <v>45327</v>
      </c>
      <c r="B1671" t="s">
        <v>6</v>
      </c>
      <c r="C1671" s="6" t="s">
        <v>416</v>
      </c>
      <c r="D1671" s="1" t="s">
        <v>523</v>
      </c>
      <c r="E1671" s="1">
        <v>0.59930555555555554</v>
      </c>
      <c r="F1671" s="1">
        <v>0.66180555555555554</v>
      </c>
      <c r="G1671" s="9">
        <f t="shared" si="172"/>
        <v>45327</v>
      </c>
      <c r="H1671" s="11">
        <f t="shared" si="173"/>
        <v>1.5</v>
      </c>
      <c r="I1671" s="10">
        <f t="shared" si="174"/>
        <v>6.6</v>
      </c>
      <c r="J1671" s="10">
        <f t="shared" si="175"/>
        <v>7.2</v>
      </c>
      <c r="K1671" s="10">
        <f t="shared" si="177"/>
        <v>6.6</v>
      </c>
      <c r="L1671" s="10">
        <f t="shared" si="176"/>
        <v>19.8</v>
      </c>
    </row>
    <row r="1672" spans="1:12" x14ac:dyDescent="0.25">
      <c r="A1672" s="7">
        <v>45328</v>
      </c>
      <c r="B1672" t="s">
        <v>7</v>
      </c>
      <c r="C1672" s="6" t="s">
        <v>22</v>
      </c>
      <c r="D1672" t="s">
        <v>529</v>
      </c>
      <c r="E1672" s="1">
        <v>0.40972222222222227</v>
      </c>
      <c r="F1672" s="1">
        <v>0.70833333333333337</v>
      </c>
      <c r="G1672" s="9">
        <f t="shared" si="172"/>
        <v>45327</v>
      </c>
      <c r="H1672" s="11">
        <f t="shared" si="173"/>
        <v>7.2</v>
      </c>
      <c r="I1672" s="10">
        <f t="shared" si="174"/>
        <v>7.2</v>
      </c>
      <c r="J1672" s="10">
        <f t="shared" si="175"/>
        <v>7.2</v>
      </c>
      <c r="K1672" s="10">
        <f t="shared" si="177"/>
        <v>13.8</v>
      </c>
      <c r="L1672" s="10">
        <f t="shared" si="176"/>
        <v>27</v>
      </c>
    </row>
    <row r="1673" spans="1:12" x14ac:dyDescent="0.25">
      <c r="A1673" s="7">
        <v>45329</v>
      </c>
      <c r="B1673" t="s">
        <v>6</v>
      </c>
      <c r="C1673" s="6" t="s">
        <v>416</v>
      </c>
      <c r="D1673" s="1" t="s">
        <v>523</v>
      </c>
      <c r="E1673" s="1">
        <v>0.30833333333333335</v>
      </c>
      <c r="F1673" s="1">
        <v>0.44097222222222227</v>
      </c>
      <c r="G1673" s="9">
        <f t="shared" si="172"/>
        <v>45327</v>
      </c>
      <c r="H1673" s="11">
        <f t="shared" si="173"/>
        <v>3.2</v>
      </c>
      <c r="I1673" s="10">
        <f t="shared" si="174"/>
        <v>3.2</v>
      </c>
      <c r="J1673" s="10">
        <f t="shared" si="175"/>
        <v>7.2</v>
      </c>
      <c r="K1673" s="10">
        <f t="shared" si="177"/>
        <v>17</v>
      </c>
      <c r="L1673" s="10">
        <f t="shared" si="176"/>
        <v>30.2</v>
      </c>
    </row>
    <row r="1674" spans="1:12" x14ac:dyDescent="0.25">
      <c r="A1674" s="7">
        <v>45329</v>
      </c>
      <c r="B1674" t="s">
        <v>411</v>
      </c>
      <c r="C1674" s="6">
        <v>6181</v>
      </c>
      <c r="D1674" s="1" t="s">
        <v>528</v>
      </c>
      <c r="E1674" s="1">
        <v>0.44097222222222227</v>
      </c>
      <c r="F1674" s="1">
        <v>0.60972222222222217</v>
      </c>
      <c r="G1674" s="9">
        <f t="shared" si="172"/>
        <v>45327</v>
      </c>
      <c r="H1674" s="11">
        <f t="shared" si="173"/>
        <v>4.0999999999999996</v>
      </c>
      <c r="I1674" s="10">
        <f t="shared" si="174"/>
        <v>7.3</v>
      </c>
      <c r="J1674" s="10">
        <f t="shared" si="175"/>
        <v>7.2</v>
      </c>
      <c r="K1674" s="10">
        <f t="shared" si="177"/>
        <v>21.1</v>
      </c>
      <c r="L1674" s="10">
        <f t="shared" si="176"/>
        <v>34.299999999999997</v>
      </c>
    </row>
    <row r="1675" spans="1:12" x14ac:dyDescent="0.25">
      <c r="A1675" s="7">
        <v>45329</v>
      </c>
      <c r="B1675" t="s">
        <v>6</v>
      </c>
      <c r="C1675" s="6" t="s">
        <v>416</v>
      </c>
      <c r="D1675" s="1" t="s">
        <v>523</v>
      </c>
      <c r="E1675" s="1">
        <v>0.60972222222222217</v>
      </c>
      <c r="F1675" s="1">
        <v>0.67708333333333337</v>
      </c>
      <c r="G1675" s="9">
        <f t="shared" si="172"/>
        <v>45327</v>
      </c>
      <c r="H1675" s="11">
        <f t="shared" si="173"/>
        <v>1.6</v>
      </c>
      <c r="I1675" s="10">
        <f t="shared" si="174"/>
        <v>8.9</v>
      </c>
      <c r="J1675" s="10">
        <f t="shared" si="175"/>
        <v>7.2</v>
      </c>
      <c r="K1675" s="10">
        <f t="shared" si="177"/>
        <v>22.700000000000003</v>
      </c>
      <c r="L1675" s="10">
        <f t="shared" si="176"/>
        <v>35.9</v>
      </c>
    </row>
    <row r="1676" spans="1:12" x14ac:dyDescent="0.25">
      <c r="A1676" s="7">
        <v>45330</v>
      </c>
      <c r="B1676" t="s">
        <v>7</v>
      </c>
      <c r="C1676" s="6" t="s">
        <v>22</v>
      </c>
      <c r="D1676" t="s">
        <v>515</v>
      </c>
      <c r="E1676" s="1">
        <v>0.40972222222222227</v>
      </c>
      <c r="F1676" s="1">
        <v>0.70833333333333337</v>
      </c>
      <c r="G1676" s="9">
        <f t="shared" si="172"/>
        <v>45327</v>
      </c>
      <c r="H1676" s="11">
        <f t="shared" si="173"/>
        <v>7.2</v>
      </c>
      <c r="I1676" s="10">
        <f t="shared" si="174"/>
        <v>7.2</v>
      </c>
      <c r="J1676" s="10">
        <f t="shared" si="175"/>
        <v>7.2</v>
      </c>
      <c r="K1676" s="10">
        <f t="shared" si="177"/>
        <v>29.9</v>
      </c>
      <c r="L1676" s="10">
        <f t="shared" si="176"/>
        <v>43.1</v>
      </c>
    </row>
    <row r="1677" spans="1:12" x14ac:dyDescent="0.25">
      <c r="A1677" s="7">
        <v>45331</v>
      </c>
      <c r="B1677" t="s">
        <v>7</v>
      </c>
      <c r="C1677" s="6" t="s">
        <v>22</v>
      </c>
      <c r="D1677" t="s">
        <v>515</v>
      </c>
      <c r="E1677" s="1">
        <v>0.40972222222222227</v>
      </c>
      <c r="F1677" s="1">
        <v>0.70833333333333337</v>
      </c>
      <c r="G1677" s="9">
        <f t="shared" si="172"/>
        <v>45327</v>
      </c>
      <c r="H1677" s="11">
        <f t="shared" si="173"/>
        <v>7.2</v>
      </c>
      <c r="I1677" s="10">
        <f t="shared" si="174"/>
        <v>7.2</v>
      </c>
      <c r="J1677" s="10">
        <f t="shared" si="175"/>
        <v>7.2</v>
      </c>
      <c r="K1677" s="10">
        <f t="shared" si="177"/>
        <v>37.1</v>
      </c>
      <c r="L1677" s="10">
        <f t="shared" si="176"/>
        <v>50.300000000000004</v>
      </c>
    </row>
    <row r="1678" spans="1:12" x14ac:dyDescent="0.25">
      <c r="A1678" s="7">
        <v>45334</v>
      </c>
      <c r="B1678" t="s">
        <v>7</v>
      </c>
      <c r="C1678" s="6" t="s">
        <v>22</v>
      </c>
      <c r="D1678" t="s">
        <v>515</v>
      </c>
      <c r="E1678" s="1">
        <v>0.40972222222222227</v>
      </c>
      <c r="F1678" s="1">
        <v>0.70833333333333337</v>
      </c>
      <c r="G1678" s="9">
        <f t="shared" si="172"/>
        <v>45334</v>
      </c>
      <c r="H1678" s="11">
        <f t="shared" si="173"/>
        <v>7.2</v>
      </c>
      <c r="I1678" s="10">
        <f t="shared" si="174"/>
        <v>7.2</v>
      </c>
      <c r="J1678" s="10">
        <f t="shared" si="175"/>
        <v>7.2</v>
      </c>
      <c r="K1678" s="10">
        <f t="shared" si="177"/>
        <v>7.2</v>
      </c>
      <c r="L1678" s="10">
        <f t="shared" si="176"/>
        <v>57.5</v>
      </c>
    </row>
    <row r="1679" spans="1:12" x14ac:dyDescent="0.25">
      <c r="A1679" s="7">
        <v>45335</v>
      </c>
      <c r="B1679" t="s">
        <v>7</v>
      </c>
      <c r="C1679" s="6" t="s">
        <v>22</v>
      </c>
      <c r="D1679" t="s">
        <v>515</v>
      </c>
      <c r="E1679" s="1">
        <v>0.40972222222222227</v>
      </c>
      <c r="F1679" s="1">
        <v>0.70833333333333337</v>
      </c>
      <c r="G1679" s="9">
        <f t="shared" si="172"/>
        <v>45334</v>
      </c>
      <c r="H1679" s="11">
        <f t="shared" si="173"/>
        <v>7.2</v>
      </c>
      <c r="I1679" s="10">
        <f t="shared" si="174"/>
        <v>7.2</v>
      </c>
      <c r="J1679" s="10">
        <f t="shared" si="175"/>
        <v>7.2</v>
      </c>
      <c r="K1679" s="10">
        <f t="shared" si="177"/>
        <v>14.4</v>
      </c>
      <c r="L1679" s="10">
        <f t="shared" si="176"/>
        <v>64.7</v>
      </c>
    </row>
    <row r="1680" spans="1:12" x14ac:dyDescent="0.25">
      <c r="A1680" s="7">
        <v>45336</v>
      </c>
      <c r="B1680" t="s">
        <v>7</v>
      </c>
      <c r="C1680" s="6" t="s">
        <v>22</v>
      </c>
      <c r="D1680" t="s">
        <v>515</v>
      </c>
      <c r="E1680" s="1">
        <v>0.40972222222222227</v>
      </c>
      <c r="F1680" s="1">
        <v>0.70833333333333337</v>
      </c>
      <c r="G1680" s="9">
        <f t="shared" si="172"/>
        <v>45334</v>
      </c>
      <c r="H1680" s="11">
        <f t="shared" si="173"/>
        <v>7.2</v>
      </c>
      <c r="I1680" s="10">
        <f t="shared" si="174"/>
        <v>7.2</v>
      </c>
      <c r="J1680" s="10">
        <f t="shared" si="175"/>
        <v>7.2</v>
      </c>
      <c r="K1680" s="10">
        <f t="shared" si="177"/>
        <v>21.6</v>
      </c>
      <c r="L1680" s="10">
        <f t="shared" si="176"/>
        <v>71.900000000000006</v>
      </c>
    </row>
    <row r="1681" spans="1:12" x14ac:dyDescent="0.25">
      <c r="A1681" s="7">
        <v>45337</v>
      </c>
      <c r="B1681" t="s">
        <v>6</v>
      </c>
      <c r="C1681" s="6" t="s">
        <v>416</v>
      </c>
      <c r="D1681" s="1" t="s">
        <v>530</v>
      </c>
      <c r="E1681" s="1">
        <v>0.34097222222222223</v>
      </c>
      <c r="F1681" s="1">
        <v>0.38125000000000003</v>
      </c>
      <c r="G1681" s="9">
        <f t="shared" si="172"/>
        <v>45334</v>
      </c>
      <c r="H1681" s="11">
        <f t="shared" si="173"/>
        <v>1</v>
      </c>
      <c r="I1681" s="10">
        <f t="shared" si="174"/>
        <v>1</v>
      </c>
      <c r="J1681" s="10">
        <f t="shared" si="175"/>
        <v>7.2</v>
      </c>
      <c r="K1681" s="10">
        <f t="shared" si="177"/>
        <v>22.6</v>
      </c>
      <c r="L1681" s="10">
        <f t="shared" si="176"/>
        <v>72.900000000000006</v>
      </c>
    </row>
    <row r="1682" spans="1:12" x14ac:dyDescent="0.25">
      <c r="A1682" s="7">
        <v>45337</v>
      </c>
      <c r="B1682" t="s">
        <v>411</v>
      </c>
      <c r="C1682" s="6">
        <v>6181</v>
      </c>
      <c r="D1682" s="1" t="s">
        <v>520</v>
      </c>
      <c r="E1682" s="1">
        <v>0.38125000000000003</v>
      </c>
      <c r="F1682" s="1">
        <v>0.7319444444444444</v>
      </c>
      <c r="G1682" s="9">
        <f t="shared" si="172"/>
        <v>45334</v>
      </c>
      <c r="H1682" s="11">
        <f t="shared" si="173"/>
        <v>8.4</v>
      </c>
      <c r="I1682" s="10">
        <f t="shared" si="174"/>
        <v>9.4</v>
      </c>
      <c r="J1682" s="10">
        <f t="shared" si="175"/>
        <v>7.2</v>
      </c>
      <c r="K1682" s="10">
        <f t="shared" si="177"/>
        <v>31</v>
      </c>
      <c r="L1682" s="10">
        <f t="shared" si="176"/>
        <v>81.300000000000011</v>
      </c>
    </row>
    <row r="1683" spans="1:12" x14ac:dyDescent="0.25">
      <c r="A1683" s="7">
        <v>45338</v>
      </c>
      <c r="B1683" t="s">
        <v>7</v>
      </c>
      <c r="C1683" s="6" t="s">
        <v>22</v>
      </c>
      <c r="D1683" t="s">
        <v>531</v>
      </c>
      <c r="E1683" s="1">
        <v>0.40972222222222227</v>
      </c>
      <c r="F1683" s="1">
        <v>0.70833333333333337</v>
      </c>
      <c r="G1683" s="9">
        <f t="shared" si="172"/>
        <v>45334</v>
      </c>
      <c r="H1683" s="11">
        <f t="shared" si="173"/>
        <v>7.2</v>
      </c>
      <c r="I1683" s="10">
        <f t="shared" si="174"/>
        <v>7.2</v>
      </c>
      <c r="J1683" s="10">
        <f t="shared" si="175"/>
        <v>7.2</v>
      </c>
      <c r="K1683" s="10">
        <f t="shared" si="177"/>
        <v>38.200000000000003</v>
      </c>
      <c r="L1683" s="10">
        <f t="shared" si="176"/>
        <v>88.5</v>
      </c>
    </row>
    <row r="1684" spans="1:12" x14ac:dyDescent="0.25">
      <c r="A1684" s="7">
        <v>45341</v>
      </c>
      <c r="B1684" t="s">
        <v>6</v>
      </c>
      <c r="C1684" s="6" t="s">
        <v>416</v>
      </c>
      <c r="D1684" s="1" t="s">
        <v>530</v>
      </c>
      <c r="E1684" s="1">
        <v>0.29652777777777778</v>
      </c>
      <c r="F1684" s="1">
        <v>0.38472222222222219</v>
      </c>
      <c r="G1684" s="9">
        <f t="shared" si="172"/>
        <v>45341</v>
      </c>
      <c r="H1684" s="11">
        <f t="shared" si="173"/>
        <v>2.1</v>
      </c>
      <c r="I1684" s="10">
        <f t="shared" si="174"/>
        <v>2.1</v>
      </c>
      <c r="J1684" s="10">
        <f t="shared" si="175"/>
        <v>7.2</v>
      </c>
      <c r="K1684" s="10">
        <f t="shared" si="177"/>
        <v>2.1</v>
      </c>
      <c r="L1684" s="10">
        <f t="shared" si="176"/>
        <v>90.6</v>
      </c>
    </row>
    <row r="1685" spans="1:12" x14ac:dyDescent="0.25">
      <c r="A1685" s="7">
        <v>45341</v>
      </c>
      <c r="B1685" t="s">
        <v>411</v>
      </c>
      <c r="C1685" s="6">
        <v>6181</v>
      </c>
      <c r="D1685" s="1" t="s">
        <v>532</v>
      </c>
      <c r="E1685" s="1">
        <v>0.38472222222222219</v>
      </c>
      <c r="F1685" s="1">
        <v>0.41666666666666669</v>
      </c>
      <c r="G1685" s="9">
        <f t="shared" si="172"/>
        <v>45341</v>
      </c>
      <c r="H1685" s="11">
        <f t="shared" si="173"/>
        <v>0.8</v>
      </c>
      <c r="I1685" s="10">
        <f t="shared" si="174"/>
        <v>2.9000000000000004</v>
      </c>
      <c r="J1685" s="10">
        <f t="shared" si="175"/>
        <v>7.2</v>
      </c>
      <c r="K1685" s="10">
        <f t="shared" si="177"/>
        <v>2.9000000000000004</v>
      </c>
      <c r="L1685" s="10">
        <f t="shared" si="176"/>
        <v>91.399999999999991</v>
      </c>
    </row>
    <row r="1686" spans="1:12" x14ac:dyDescent="0.25">
      <c r="A1686" s="7">
        <v>45341</v>
      </c>
      <c r="B1686" t="s">
        <v>6</v>
      </c>
      <c r="C1686" s="6" t="s">
        <v>416</v>
      </c>
      <c r="D1686" s="1" t="s">
        <v>112</v>
      </c>
      <c r="E1686" s="1">
        <v>0.41666666666666669</v>
      </c>
      <c r="F1686" s="1">
        <v>0.48194444444444445</v>
      </c>
      <c r="G1686" s="9">
        <f t="shared" si="172"/>
        <v>45341</v>
      </c>
      <c r="H1686" s="11">
        <f t="shared" si="173"/>
        <v>1.6</v>
      </c>
      <c r="I1686" s="10">
        <f t="shared" si="174"/>
        <v>4.5</v>
      </c>
      <c r="J1686" s="10">
        <f t="shared" si="175"/>
        <v>7.2</v>
      </c>
      <c r="K1686" s="10">
        <f t="shared" si="177"/>
        <v>4.5</v>
      </c>
      <c r="L1686" s="10">
        <f t="shared" si="176"/>
        <v>93</v>
      </c>
    </row>
    <row r="1687" spans="1:12" x14ac:dyDescent="0.25">
      <c r="A1687" s="7">
        <v>45341</v>
      </c>
      <c r="B1687" t="s">
        <v>6</v>
      </c>
      <c r="C1687" s="6" t="s">
        <v>416</v>
      </c>
      <c r="D1687" s="1" t="s">
        <v>533</v>
      </c>
      <c r="E1687" s="1">
        <v>0.48194444444444445</v>
      </c>
      <c r="F1687" s="1">
        <v>0.52569444444444446</v>
      </c>
      <c r="G1687" s="9">
        <f t="shared" si="172"/>
        <v>45341</v>
      </c>
      <c r="H1687" s="11">
        <f t="shared" si="173"/>
        <v>1.1000000000000001</v>
      </c>
      <c r="I1687" s="10">
        <f t="shared" si="174"/>
        <v>5.6</v>
      </c>
      <c r="J1687" s="10">
        <f t="shared" si="175"/>
        <v>7.2</v>
      </c>
      <c r="K1687" s="10">
        <f t="shared" si="177"/>
        <v>5.6</v>
      </c>
      <c r="L1687" s="10">
        <f t="shared" si="176"/>
        <v>94.1</v>
      </c>
    </row>
    <row r="1688" spans="1:12" x14ac:dyDescent="0.25">
      <c r="A1688" s="7">
        <v>45341</v>
      </c>
      <c r="B1688" t="s">
        <v>536</v>
      </c>
      <c r="C1688" s="6" t="s">
        <v>535</v>
      </c>
      <c r="D1688" s="1" t="s">
        <v>534</v>
      </c>
      <c r="E1688" s="1">
        <v>0.52569444444444446</v>
      </c>
      <c r="F1688" s="1">
        <v>0.61736111111111114</v>
      </c>
      <c r="G1688" s="9">
        <f t="shared" si="172"/>
        <v>45341</v>
      </c>
      <c r="H1688" s="11">
        <f t="shared" si="173"/>
        <v>2.2000000000000002</v>
      </c>
      <c r="I1688" s="10">
        <f t="shared" si="174"/>
        <v>7.8</v>
      </c>
      <c r="J1688" s="10">
        <f t="shared" si="175"/>
        <v>7.2</v>
      </c>
      <c r="K1688" s="10">
        <f t="shared" si="177"/>
        <v>7.8</v>
      </c>
      <c r="L1688" s="10">
        <f t="shared" si="176"/>
        <v>96.3</v>
      </c>
    </row>
    <row r="1689" spans="1:12" x14ac:dyDescent="0.25">
      <c r="A1689" s="7">
        <v>45342</v>
      </c>
      <c r="B1689" t="s">
        <v>411</v>
      </c>
      <c r="C1689" s="6">
        <v>6181</v>
      </c>
      <c r="D1689" s="1" t="s">
        <v>537</v>
      </c>
      <c r="E1689" s="1">
        <v>0.31527777777777777</v>
      </c>
      <c r="F1689" s="1">
        <v>0.47222222222222227</v>
      </c>
      <c r="G1689" s="9">
        <f t="shared" si="172"/>
        <v>45341</v>
      </c>
      <c r="H1689" s="11">
        <f t="shared" si="173"/>
        <v>3.8</v>
      </c>
      <c r="I1689" s="10">
        <f t="shared" si="174"/>
        <v>3.8</v>
      </c>
      <c r="J1689" s="10">
        <f t="shared" si="175"/>
        <v>7.2</v>
      </c>
      <c r="K1689" s="10">
        <f t="shared" si="177"/>
        <v>11.6</v>
      </c>
      <c r="L1689" s="10">
        <f t="shared" si="176"/>
        <v>100.1</v>
      </c>
    </row>
    <row r="1690" spans="1:12" x14ac:dyDescent="0.25">
      <c r="A1690" s="7">
        <v>45342</v>
      </c>
      <c r="B1690" t="s">
        <v>536</v>
      </c>
      <c r="C1690" s="6" t="s">
        <v>535</v>
      </c>
      <c r="D1690" s="1" t="s">
        <v>534</v>
      </c>
      <c r="E1690" s="1">
        <v>0.47222222222222227</v>
      </c>
      <c r="F1690" s="1">
        <v>0.48055555555555557</v>
      </c>
      <c r="G1690" s="9">
        <f t="shared" si="172"/>
        <v>45341</v>
      </c>
      <c r="H1690" s="11">
        <f t="shared" si="173"/>
        <v>0.2</v>
      </c>
      <c r="I1690" s="10">
        <f t="shared" si="174"/>
        <v>4</v>
      </c>
      <c r="J1690" s="10">
        <f t="shared" si="175"/>
        <v>7.2</v>
      </c>
      <c r="K1690" s="10">
        <f t="shared" si="177"/>
        <v>11.799999999999999</v>
      </c>
      <c r="L1690" s="10">
        <f t="shared" si="176"/>
        <v>100.3</v>
      </c>
    </row>
    <row r="1691" spans="1:12" x14ac:dyDescent="0.25">
      <c r="A1691" s="7">
        <v>45342</v>
      </c>
      <c r="B1691" t="s">
        <v>536</v>
      </c>
      <c r="C1691" s="6" t="s">
        <v>535</v>
      </c>
      <c r="D1691" s="1" t="s">
        <v>534</v>
      </c>
      <c r="E1691" s="1">
        <v>0.51041666666666663</v>
      </c>
      <c r="F1691" s="1">
        <v>0.54305555555555551</v>
      </c>
      <c r="G1691" s="9">
        <f t="shared" si="172"/>
        <v>45341</v>
      </c>
      <c r="H1691" s="11">
        <f t="shared" si="173"/>
        <v>0.8</v>
      </c>
      <c r="I1691" s="10">
        <f t="shared" si="174"/>
        <v>4.8</v>
      </c>
      <c r="J1691" s="10">
        <f t="shared" si="175"/>
        <v>7.2</v>
      </c>
      <c r="K1691" s="10">
        <f t="shared" si="177"/>
        <v>12.600000000000001</v>
      </c>
      <c r="L1691" s="10">
        <f t="shared" si="176"/>
        <v>101.1</v>
      </c>
    </row>
    <row r="1692" spans="1:12" x14ac:dyDescent="0.25">
      <c r="A1692" s="7">
        <v>45342</v>
      </c>
      <c r="B1692" t="s">
        <v>6</v>
      </c>
      <c r="C1692" s="6" t="s">
        <v>416</v>
      </c>
      <c r="D1692" s="1" t="s">
        <v>538</v>
      </c>
      <c r="E1692" s="1">
        <v>0.54305555555555551</v>
      </c>
      <c r="F1692" s="1">
        <v>0.6333333333333333</v>
      </c>
      <c r="G1692" s="9">
        <f t="shared" si="172"/>
        <v>45341</v>
      </c>
      <c r="H1692" s="11">
        <f t="shared" si="173"/>
        <v>2.2000000000000002</v>
      </c>
      <c r="I1692" s="10">
        <f t="shared" si="174"/>
        <v>7</v>
      </c>
      <c r="J1692" s="10">
        <f t="shared" si="175"/>
        <v>7.2</v>
      </c>
      <c r="K1692" s="10">
        <f t="shared" si="177"/>
        <v>14.8</v>
      </c>
      <c r="L1692" s="10">
        <f t="shared" si="176"/>
        <v>103.3</v>
      </c>
    </row>
    <row r="1693" spans="1:12" x14ac:dyDescent="0.25">
      <c r="A1693" s="7">
        <v>45343</v>
      </c>
      <c r="B1693" t="s">
        <v>6</v>
      </c>
      <c r="C1693" s="6" t="s">
        <v>416</v>
      </c>
      <c r="D1693" s="1" t="s">
        <v>162</v>
      </c>
      <c r="E1693" s="1">
        <v>0.35625000000000001</v>
      </c>
      <c r="F1693" s="1">
        <v>0.4284722222222222</v>
      </c>
      <c r="G1693" s="9">
        <f t="shared" si="172"/>
        <v>45341</v>
      </c>
      <c r="H1693" s="11">
        <f t="shared" si="173"/>
        <v>1.7</v>
      </c>
      <c r="I1693" s="10">
        <f t="shared" si="174"/>
        <v>1.7</v>
      </c>
      <c r="J1693" s="10">
        <f t="shared" si="175"/>
        <v>7.2</v>
      </c>
      <c r="K1693" s="10">
        <f t="shared" si="177"/>
        <v>16.5</v>
      </c>
      <c r="L1693" s="10">
        <f t="shared" si="176"/>
        <v>105</v>
      </c>
    </row>
    <row r="1694" spans="1:12" x14ac:dyDescent="0.25">
      <c r="A1694" s="7">
        <v>45343</v>
      </c>
      <c r="B1694" t="s">
        <v>411</v>
      </c>
      <c r="C1694" s="6">
        <v>6181</v>
      </c>
      <c r="D1694" s="1" t="s">
        <v>539</v>
      </c>
      <c r="E1694" s="1">
        <v>0.4284722222222222</v>
      </c>
      <c r="F1694" s="1">
        <v>0.4375</v>
      </c>
      <c r="G1694" s="9">
        <f t="shared" si="172"/>
        <v>45341</v>
      </c>
      <c r="H1694" s="11">
        <f t="shared" si="173"/>
        <v>0.2</v>
      </c>
      <c r="I1694" s="10">
        <f t="shared" si="174"/>
        <v>1.9</v>
      </c>
      <c r="J1694" s="10">
        <f t="shared" si="175"/>
        <v>7.2</v>
      </c>
      <c r="K1694" s="10">
        <f t="shared" si="177"/>
        <v>16.7</v>
      </c>
      <c r="L1694" s="10">
        <f t="shared" si="176"/>
        <v>105.2</v>
      </c>
    </row>
    <row r="1695" spans="1:12" x14ac:dyDescent="0.25">
      <c r="A1695" s="7">
        <v>45343</v>
      </c>
      <c r="B1695" t="s">
        <v>6</v>
      </c>
      <c r="C1695" s="6" t="s">
        <v>416</v>
      </c>
      <c r="D1695" s="1" t="s">
        <v>71</v>
      </c>
      <c r="E1695" s="1">
        <v>0.4375</v>
      </c>
      <c r="F1695" s="1">
        <v>0.48819444444444443</v>
      </c>
      <c r="G1695" s="9">
        <f t="shared" si="172"/>
        <v>45341</v>
      </c>
      <c r="H1695" s="11">
        <f t="shared" si="173"/>
        <v>1.2</v>
      </c>
      <c r="I1695" s="10">
        <f t="shared" si="174"/>
        <v>3.0999999999999996</v>
      </c>
      <c r="J1695" s="10">
        <f t="shared" si="175"/>
        <v>7.2</v>
      </c>
      <c r="K1695" s="10">
        <f t="shared" si="177"/>
        <v>17.899999999999999</v>
      </c>
      <c r="L1695" s="10">
        <f t="shared" si="176"/>
        <v>106.4</v>
      </c>
    </row>
    <row r="1696" spans="1:12" x14ac:dyDescent="0.25">
      <c r="A1696" s="7">
        <v>45343</v>
      </c>
      <c r="B1696" t="s">
        <v>411</v>
      </c>
      <c r="C1696" s="6">
        <v>6181</v>
      </c>
      <c r="D1696" s="1" t="s">
        <v>539</v>
      </c>
      <c r="E1696" s="1">
        <v>0.48819444444444443</v>
      </c>
      <c r="F1696" s="1">
        <v>0.61527777777777781</v>
      </c>
      <c r="G1696" s="9">
        <f t="shared" si="172"/>
        <v>45341</v>
      </c>
      <c r="H1696" s="11">
        <f t="shared" si="173"/>
        <v>3.1</v>
      </c>
      <c r="I1696" s="10">
        <f t="shared" si="174"/>
        <v>6.2</v>
      </c>
      <c r="J1696" s="10">
        <f t="shared" si="175"/>
        <v>7.2</v>
      </c>
      <c r="K1696" s="10">
        <f t="shared" si="177"/>
        <v>21</v>
      </c>
      <c r="L1696" s="10">
        <f t="shared" si="176"/>
        <v>109.5</v>
      </c>
    </row>
    <row r="1697" spans="1:12" x14ac:dyDescent="0.25">
      <c r="A1697" s="7">
        <v>45344</v>
      </c>
      <c r="B1697" t="s">
        <v>411</v>
      </c>
      <c r="C1697" s="6">
        <v>6181</v>
      </c>
      <c r="D1697" s="1" t="s">
        <v>539</v>
      </c>
      <c r="E1697" s="1">
        <v>0.32708333333333334</v>
      </c>
      <c r="F1697" s="1">
        <v>0.49791666666666662</v>
      </c>
      <c r="G1697" s="9">
        <f t="shared" si="172"/>
        <v>45341</v>
      </c>
      <c r="H1697" s="11">
        <f t="shared" si="173"/>
        <v>4.0999999999999996</v>
      </c>
      <c r="I1697" s="10">
        <f t="shared" si="174"/>
        <v>4.0999999999999996</v>
      </c>
      <c r="J1697" s="10">
        <f t="shared" si="175"/>
        <v>7.2</v>
      </c>
      <c r="K1697" s="10">
        <f t="shared" si="177"/>
        <v>25.1</v>
      </c>
      <c r="L1697" s="10">
        <f t="shared" si="176"/>
        <v>113.6</v>
      </c>
    </row>
    <row r="1698" spans="1:12" x14ac:dyDescent="0.25">
      <c r="A1698" s="7">
        <v>45344</v>
      </c>
      <c r="B1698" t="s">
        <v>411</v>
      </c>
      <c r="C1698" s="6">
        <v>6181</v>
      </c>
      <c r="D1698" s="1" t="s">
        <v>539</v>
      </c>
      <c r="E1698" s="1">
        <v>0.52013888888888882</v>
      </c>
      <c r="F1698" s="1">
        <v>0.58402777777777781</v>
      </c>
      <c r="G1698" s="9">
        <f t="shared" si="172"/>
        <v>45341</v>
      </c>
      <c r="H1698" s="11">
        <f t="shared" si="173"/>
        <v>1.5</v>
      </c>
      <c r="I1698" s="10">
        <f t="shared" si="174"/>
        <v>5.6</v>
      </c>
      <c r="J1698" s="10">
        <f t="shared" si="175"/>
        <v>7.2</v>
      </c>
      <c r="K1698" s="10">
        <f t="shared" si="177"/>
        <v>26.6</v>
      </c>
      <c r="L1698" s="10">
        <f t="shared" si="176"/>
        <v>115.1</v>
      </c>
    </row>
    <row r="1699" spans="1:12" x14ac:dyDescent="0.25">
      <c r="A1699" s="7">
        <v>45344</v>
      </c>
      <c r="B1699" t="s">
        <v>6</v>
      </c>
      <c r="C1699" s="6" t="s">
        <v>416</v>
      </c>
      <c r="D1699" s="1" t="s">
        <v>162</v>
      </c>
      <c r="E1699" s="1">
        <v>0.58402777777777781</v>
      </c>
      <c r="F1699" s="1">
        <v>0.64027777777777783</v>
      </c>
      <c r="G1699" s="9">
        <f t="shared" si="172"/>
        <v>45341</v>
      </c>
      <c r="H1699" s="11">
        <f t="shared" si="173"/>
        <v>1.4</v>
      </c>
      <c r="I1699" s="10">
        <f t="shared" si="174"/>
        <v>7</v>
      </c>
      <c r="J1699" s="10">
        <f t="shared" si="175"/>
        <v>7.2</v>
      </c>
      <c r="K1699" s="10">
        <f t="shared" si="177"/>
        <v>28</v>
      </c>
      <c r="L1699" s="10">
        <f t="shared" si="176"/>
        <v>116.5</v>
      </c>
    </row>
    <row r="1700" spans="1:12" x14ac:dyDescent="0.25">
      <c r="A1700" s="7">
        <v>45344</v>
      </c>
      <c r="B1700" t="s">
        <v>411</v>
      </c>
      <c r="C1700" s="6">
        <v>6181</v>
      </c>
      <c r="D1700" s="1" t="s">
        <v>539</v>
      </c>
      <c r="E1700" s="1">
        <v>0.64027777777777783</v>
      </c>
      <c r="F1700" s="1">
        <v>0.65902777777777777</v>
      </c>
      <c r="G1700" s="9">
        <f t="shared" si="172"/>
        <v>45341</v>
      </c>
      <c r="H1700" s="11">
        <f t="shared" si="173"/>
        <v>0.4</v>
      </c>
      <c r="I1700" s="10">
        <f t="shared" si="174"/>
        <v>7.4</v>
      </c>
      <c r="J1700" s="10">
        <f t="shared" si="175"/>
        <v>7.2</v>
      </c>
      <c r="K1700" s="10">
        <f t="shared" si="177"/>
        <v>28.4</v>
      </c>
      <c r="L1700" s="10">
        <f t="shared" si="176"/>
        <v>116.9</v>
      </c>
    </row>
    <row r="1701" spans="1:12" x14ac:dyDescent="0.25">
      <c r="A1701" s="7">
        <v>45345</v>
      </c>
      <c r="B1701" t="s">
        <v>411</v>
      </c>
      <c r="C1701" s="6">
        <v>6181</v>
      </c>
      <c r="D1701" s="1" t="s">
        <v>539</v>
      </c>
      <c r="E1701" s="1">
        <v>0.33124999999999999</v>
      </c>
      <c r="F1701" s="1">
        <v>0.35902777777777778</v>
      </c>
      <c r="G1701" s="9">
        <f t="shared" si="172"/>
        <v>45341</v>
      </c>
      <c r="H1701" s="11">
        <f t="shared" si="173"/>
        <v>0.7</v>
      </c>
      <c r="I1701" s="10">
        <f t="shared" si="174"/>
        <v>0.7</v>
      </c>
      <c r="J1701" s="10">
        <f t="shared" si="175"/>
        <v>7.2</v>
      </c>
      <c r="K1701" s="10">
        <f t="shared" si="177"/>
        <v>29.099999999999998</v>
      </c>
      <c r="L1701" s="10">
        <f t="shared" si="176"/>
        <v>117.60000000000001</v>
      </c>
    </row>
    <row r="1702" spans="1:12" x14ac:dyDescent="0.25">
      <c r="A1702" s="7">
        <v>45345</v>
      </c>
      <c r="B1702" s="2" t="s">
        <v>464</v>
      </c>
      <c r="C1702" s="6">
        <v>2431</v>
      </c>
      <c r="D1702" s="5" t="s">
        <v>547</v>
      </c>
      <c r="E1702" s="1">
        <v>0.35902777777777778</v>
      </c>
      <c r="F1702" s="1">
        <v>0.39583333333333331</v>
      </c>
      <c r="G1702" s="9">
        <f t="shared" si="172"/>
        <v>45341</v>
      </c>
      <c r="H1702" s="11">
        <f t="shared" si="173"/>
        <v>0.9</v>
      </c>
      <c r="I1702" s="10">
        <f t="shared" si="174"/>
        <v>1.6</v>
      </c>
      <c r="J1702" s="10">
        <f t="shared" si="175"/>
        <v>7.2</v>
      </c>
      <c r="K1702" s="10">
        <f t="shared" si="177"/>
        <v>30</v>
      </c>
      <c r="L1702" s="10">
        <f t="shared" si="176"/>
        <v>118.5</v>
      </c>
    </row>
    <row r="1703" spans="1:12" x14ac:dyDescent="0.25">
      <c r="A1703" s="7">
        <v>45345</v>
      </c>
      <c r="B1703" s="2" t="s">
        <v>464</v>
      </c>
      <c r="C1703" s="6">
        <v>2431</v>
      </c>
      <c r="D1703" s="1" t="s">
        <v>541</v>
      </c>
      <c r="E1703" s="1">
        <v>0.39583333333333331</v>
      </c>
      <c r="F1703" s="1">
        <v>0.45416666666666666</v>
      </c>
      <c r="G1703" s="9">
        <f t="shared" si="172"/>
        <v>45341</v>
      </c>
      <c r="H1703" s="11">
        <f t="shared" si="173"/>
        <v>1.4</v>
      </c>
      <c r="I1703" s="10">
        <f t="shared" si="174"/>
        <v>3</v>
      </c>
      <c r="J1703" s="10">
        <f t="shared" si="175"/>
        <v>7.2</v>
      </c>
      <c r="K1703" s="10">
        <f t="shared" si="177"/>
        <v>31.4</v>
      </c>
      <c r="L1703" s="10">
        <f t="shared" si="176"/>
        <v>119.9</v>
      </c>
    </row>
    <row r="1704" spans="1:12" x14ac:dyDescent="0.25">
      <c r="A1704" s="7">
        <v>45345</v>
      </c>
      <c r="B1704" s="2" t="s">
        <v>464</v>
      </c>
      <c r="C1704" s="6">
        <v>2431</v>
      </c>
      <c r="D1704" s="5" t="s">
        <v>547</v>
      </c>
      <c r="E1704" s="1">
        <v>0.45416666666666666</v>
      </c>
      <c r="F1704" s="1">
        <v>0.51666666666666672</v>
      </c>
      <c r="G1704" s="9">
        <f t="shared" si="172"/>
        <v>45341</v>
      </c>
      <c r="H1704" s="11">
        <f t="shared" si="173"/>
        <v>1.5</v>
      </c>
      <c r="I1704" s="10">
        <f t="shared" si="174"/>
        <v>4.5</v>
      </c>
      <c r="J1704" s="10">
        <f t="shared" si="175"/>
        <v>7.2</v>
      </c>
      <c r="K1704" s="10">
        <f t="shared" si="177"/>
        <v>32.9</v>
      </c>
      <c r="L1704" s="10">
        <f t="shared" si="176"/>
        <v>121.4</v>
      </c>
    </row>
    <row r="1705" spans="1:12" x14ac:dyDescent="0.25">
      <c r="A1705" s="7">
        <v>45345</v>
      </c>
      <c r="B1705" t="s">
        <v>6</v>
      </c>
      <c r="C1705" s="6" t="s">
        <v>416</v>
      </c>
      <c r="D1705" s="1" t="s">
        <v>523</v>
      </c>
      <c r="E1705" s="1">
        <v>0.53749999999999998</v>
      </c>
      <c r="F1705" s="1">
        <v>0.64166666666666672</v>
      </c>
      <c r="G1705" s="9">
        <f t="shared" si="172"/>
        <v>45341</v>
      </c>
      <c r="H1705" s="11">
        <f t="shared" si="173"/>
        <v>2.5</v>
      </c>
      <c r="I1705" s="10">
        <f t="shared" si="174"/>
        <v>7</v>
      </c>
      <c r="J1705" s="10">
        <f t="shared" si="175"/>
        <v>7.2</v>
      </c>
      <c r="K1705" s="10">
        <f t="shared" si="177"/>
        <v>35.4</v>
      </c>
      <c r="L1705" s="10">
        <f t="shared" si="176"/>
        <v>123.9</v>
      </c>
    </row>
    <row r="1706" spans="1:12" x14ac:dyDescent="0.25">
      <c r="A1706" s="7">
        <v>45348</v>
      </c>
      <c r="B1706" t="s">
        <v>6</v>
      </c>
      <c r="C1706" s="6" t="s">
        <v>416</v>
      </c>
      <c r="D1706" s="5" t="s">
        <v>104</v>
      </c>
      <c r="E1706" s="1">
        <v>0.31180555555555556</v>
      </c>
      <c r="F1706" s="1">
        <v>0.33333333333333331</v>
      </c>
      <c r="G1706" s="9">
        <f t="shared" si="172"/>
        <v>45348</v>
      </c>
      <c r="H1706" s="11">
        <f t="shared" si="173"/>
        <v>0.5</v>
      </c>
      <c r="I1706" s="10">
        <f t="shared" si="174"/>
        <v>0.5</v>
      </c>
      <c r="J1706" s="10">
        <f t="shared" si="175"/>
        <v>7.2</v>
      </c>
      <c r="K1706" s="10">
        <f t="shared" si="177"/>
        <v>0.5</v>
      </c>
      <c r="L1706" s="10">
        <f t="shared" si="176"/>
        <v>124.4</v>
      </c>
    </row>
    <row r="1707" spans="1:12" x14ac:dyDescent="0.25">
      <c r="A1707" s="7">
        <v>45348</v>
      </c>
      <c r="B1707" t="s">
        <v>6</v>
      </c>
      <c r="C1707" s="6" t="s">
        <v>416</v>
      </c>
      <c r="D1707" s="1" t="s">
        <v>523</v>
      </c>
      <c r="E1707" s="1">
        <v>0.33333333333333331</v>
      </c>
      <c r="F1707" s="1">
        <v>0.49513888888888885</v>
      </c>
      <c r="G1707" s="9">
        <f t="shared" si="172"/>
        <v>45348</v>
      </c>
      <c r="H1707" s="11">
        <f t="shared" si="173"/>
        <v>3.9</v>
      </c>
      <c r="I1707" s="10">
        <f t="shared" si="174"/>
        <v>4.4000000000000004</v>
      </c>
      <c r="J1707" s="10">
        <f t="shared" si="175"/>
        <v>7.2</v>
      </c>
      <c r="K1707" s="10">
        <f t="shared" si="177"/>
        <v>4.4000000000000004</v>
      </c>
      <c r="L1707" s="10">
        <f t="shared" si="176"/>
        <v>128.30000000000001</v>
      </c>
    </row>
    <row r="1708" spans="1:12" x14ac:dyDescent="0.25">
      <c r="A1708" s="7">
        <v>45348</v>
      </c>
      <c r="B1708" t="s">
        <v>6</v>
      </c>
      <c r="C1708" s="6" t="s">
        <v>416</v>
      </c>
      <c r="D1708" s="1" t="s">
        <v>523</v>
      </c>
      <c r="E1708" s="1">
        <v>0.51111111111111118</v>
      </c>
      <c r="F1708" s="1">
        <v>0.6118055555555556</v>
      </c>
      <c r="G1708" s="9">
        <f t="shared" si="172"/>
        <v>45348</v>
      </c>
      <c r="H1708" s="11">
        <f t="shared" si="173"/>
        <v>2.4</v>
      </c>
      <c r="I1708" s="10">
        <f t="shared" si="174"/>
        <v>6.8000000000000007</v>
      </c>
      <c r="J1708" s="10">
        <f t="shared" si="175"/>
        <v>7.2</v>
      </c>
      <c r="K1708" s="10">
        <f t="shared" si="177"/>
        <v>6.8000000000000007</v>
      </c>
      <c r="L1708" s="10">
        <f t="shared" si="176"/>
        <v>130.70000000000002</v>
      </c>
    </row>
    <row r="1709" spans="1:12" x14ac:dyDescent="0.25">
      <c r="A1709" s="7">
        <v>45349</v>
      </c>
      <c r="B1709" t="s">
        <v>6</v>
      </c>
      <c r="C1709" s="6" t="s">
        <v>416</v>
      </c>
      <c r="D1709" s="1" t="s">
        <v>523</v>
      </c>
      <c r="E1709" s="1">
        <v>0.32361111111111113</v>
      </c>
      <c r="F1709" s="1">
        <v>0.49374999999999997</v>
      </c>
      <c r="G1709" s="9">
        <f t="shared" ref="G1709:G1772" si="178">IF(E1709&gt;0,INT((A1709-2)/7)*7+2,"")</f>
        <v>45348</v>
      </c>
      <c r="H1709" s="11">
        <f t="shared" ref="H1709:H1772" si="179">IF(E1709&gt;0,ROUND(24*(IF(F1709&gt;0,F1709,NowTime)-E1709),1),"")</f>
        <v>4.0999999999999996</v>
      </c>
      <c r="I1709" s="10">
        <f t="shared" ref="I1709:I1772" si="180">IF(H1709="",H1709,H1709+IF(A1709=A1708,_xlfn.NUMBERVALUE(I1708),0))</f>
        <v>4.0999999999999996</v>
      </c>
      <c r="J1709" s="10">
        <f t="shared" ref="J1709:J1772" si="181">IF(H1709="",H1709,7.2)</f>
        <v>7.2</v>
      </c>
      <c r="K1709" s="10">
        <f t="shared" si="177"/>
        <v>10.899999999999999</v>
      </c>
      <c r="L1709" s="10">
        <f t="shared" ref="L1709:L1772" si="182">IF(H1709="",H1709,H1709+IF(MONTH(A1709)=MONTH(A1708),_xlfn.NUMBERVALUE(L1708),0))</f>
        <v>134.79999999999998</v>
      </c>
    </row>
    <row r="1710" spans="1:12" x14ac:dyDescent="0.25">
      <c r="A1710" s="7">
        <v>45349</v>
      </c>
      <c r="B1710" t="s">
        <v>6</v>
      </c>
      <c r="C1710" s="6" t="s">
        <v>416</v>
      </c>
      <c r="D1710" s="1" t="s">
        <v>523</v>
      </c>
      <c r="E1710" s="1">
        <v>0.50902777777777775</v>
      </c>
      <c r="F1710" s="1">
        <v>0.58333333333333337</v>
      </c>
      <c r="G1710" s="9">
        <f t="shared" si="178"/>
        <v>45348</v>
      </c>
      <c r="H1710" s="11">
        <f t="shared" si="179"/>
        <v>1.8</v>
      </c>
      <c r="I1710" s="10">
        <f t="shared" si="180"/>
        <v>5.8999999999999995</v>
      </c>
      <c r="J1710" s="10">
        <f t="shared" si="181"/>
        <v>7.2</v>
      </c>
      <c r="K1710" s="10">
        <f t="shared" si="177"/>
        <v>12.700000000000001</v>
      </c>
      <c r="L1710" s="10">
        <f t="shared" si="182"/>
        <v>136.60000000000002</v>
      </c>
    </row>
    <row r="1711" spans="1:12" x14ac:dyDescent="0.25">
      <c r="A1711" s="7">
        <v>45349</v>
      </c>
      <c r="B1711" t="s">
        <v>6</v>
      </c>
      <c r="C1711" s="6" t="s">
        <v>416</v>
      </c>
      <c r="D1711" s="1" t="s">
        <v>542</v>
      </c>
      <c r="E1711" s="1">
        <v>0.58333333333333337</v>
      </c>
      <c r="F1711" s="1">
        <v>0.63472222222222219</v>
      </c>
      <c r="G1711" s="9">
        <f t="shared" si="178"/>
        <v>45348</v>
      </c>
      <c r="H1711" s="11">
        <f t="shared" si="179"/>
        <v>1.2</v>
      </c>
      <c r="I1711" s="10">
        <f t="shared" si="180"/>
        <v>7.1000000000000005</v>
      </c>
      <c r="J1711" s="10">
        <f t="shared" si="181"/>
        <v>7.2</v>
      </c>
      <c r="K1711" s="10">
        <f t="shared" si="177"/>
        <v>13.899999999999999</v>
      </c>
      <c r="L1711" s="10">
        <f t="shared" si="182"/>
        <v>137.79999999999998</v>
      </c>
    </row>
    <row r="1712" spans="1:12" x14ac:dyDescent="0.25">
      <c r="A1712" s="7">
        <v>45349</v>
      </c>
      <c r="B1712" t="s">
        <v>6</v>
      </c>
      <c r="C1712" s="6" t="s">
        <v>416</v>
      </c>
      <c r="D1712" s="1" t="s">
        <v>523</v>
      </c>
      <c r="E1712" s="1">
        <v>0.63472222222222219</v>
      </c>
      <c r="F1712" s="1">
        <v>0.64513888888888882</v>
      </c>
      <c r="G1712" s="9">
        <f t="shared" si="178"/>
        <v>45348</v>
      </c>
      <c r="H1712" s="11">
        <f t="shared" si="179"/>
        <v>0.2</v>
      </c>
      <c r="I1712" s="10">
        <f t="shared" si="180"/>
        <v>7.3</v>
      </c>
      <c r="J1712" s="10">
        <f t="shared" si="181"/>
        <v>7.2</v>
      </c>
      <c r="K1712" s="10">
        <f t="shared" si="177"/>
        <v>14.1</v>
      </c>
      <c r="L1712" s="10">
        <f t="shared" si="182"/>
        <v>138</v>
      </c>
    </row>
    <row r="1713" spans="1:12" x14ac:dyDescent="0.25">
      <c r="A1713" s="7">
        <v>45350</v>
      </c>
      <c r="B1713" t="s">
        <v>411</v>
      </c>
      <c r="C1713" s="6">
        <v>6181</v>
      </c>
      <c r="D1713" s="1" t="s">
        <v>539</v>
      </c>
      <c r="E1713" s="1">
        <v>0.3263888888888889</v>
      </c>
      <c r="F1713" s="1">
        <v>0.48472222222222222</v>
      </c>
      <c r="G1713" s="9">
        <f t="shared" si="178"/>
        <v>45348</v>
      </c>
      <c r="H1713" s="11">
        <f t="shared" si="179"/>
        <v>3.8</v>
      </c>
      <c r="I1713" s="10">
        <f t="shared" si="180"/>
        <v>3.8</v>
      </c>
      <c r="J1713" s="10">
        <f t="shared" si="181"/>
        <v>7.2</v>
      </c>
      <c r="K1713" s="10">
        <f t="shared" si="177"/>
        <v>17.899999999999999</v>
      </c>
      <c r="L1713" s="10">
        <f t="shared" si="182"/>
        <v>141.80000000000001</v>
      </c>
    </row>
    <row r="1714" spans="1:12" x14ac:dyDescent="0.25">
      <c r="A1714" s="7">
        <v>45350</v>
      </c>
      <c r="B1714" t="s">
        <v>411</v>
      </c>
      <c r="C1714" s="6">
        <v>6181</v>
      </c>
      <c r="D1714" s="1" t="s">
        <v>539</v>
      </c>
      <c r="E1714" s="1">
        <v>0.50763888888888886</v>
      </c>
      <c r="F1714" s="1">
        <v>0.64652777777777781</v>
      </c>
      <c r="G1714" s="9">
        <f t="shared" si="178"/>
        <v>45348</v>
      </c>
      <c r="H1714" s="11">
        <f t="shared" si="179"/>
        <v>3.3</v>
      </c>
      <c r="I1714" s="10">
        <f t="shared" si="180"/>
        <v>7.1</v>
      </c>
      <c r="J1714" s="10">
        <f t="shared" si="181"/>
        <v>7.2</v>
      </c>
      <c r="K1714" s="10">
        <f t="shared" si="177"/>
        <v>21.2</v>
      </c>
      <c r="L1714" s="10">
        <f t="shared" si="182"/>
        <v>145.10000000000002</v>
      </c>
    </row>
    <row r="1715" spans="1:12" x14ac:dyDescent="0.25">
      <c r="A1715" s="7">
        <v>45351</v>
      </c>
      <c r="B1715" t="s">
        <v>411</v>
      </c>
      <c r="C1715" s="6">
        <v>6181</v>
      </c>
      <c r="D1715" s="1" t="s">
        <v>539</v>
      </c>
      <c r="E1715" s="1">
        <v>0.33194444444444443</v>
      </c>
      <c r="F1715" s="1">
        <v>0.375</v>
      </c>
      <c r="G1715" s="9">
        <f t="shared" si="178"/>
        <v>45348</v>
      </c>
      <c r="H1715" s="11">
        <f t="shared" si="179"/>
        <v>1</v>
      </c>
      <c r="I1715" s="10">
        <f t="shared" si="180"/>
        <v>1</v>
      </c>
      <c r="J1715" s="10">
        <f t="shared" si="181"/>
        <v>7.2</v>
      </c>
      <c r="K1715" s="10">
        <f t="shared" si="177"/>
        <v>22.2</v>
      </c>
      <c r="L1715" s="10">
        <f t="shared" si="182"/>
        <v>146.1</v>
      </c>
    </row>
    <row r="1716" spans="1:12" x14ac:dyDescent="0.25">
      <c r="A1716" s="7">
        <v>45351</v>
      </c>
      <c r="B1716" t="s">
        <v>536</v>
      </c>
      <c r="C1716" s="6" t="s">
        <v>535</v>
      </c>
      <c r="D1716" s="5" t="s">
        <v>543</v>
      </c>
      <c r="E1716" s="1">
        <v>0.375</v>
      </c>
      <c r="F1716" s="1">
        <v>0.45833333333333331</v>
      </c>
      <c r="G1716" s="9">
        <f t="shared" si="178"/>
        <v>45348</v>
      </c>
      <c r="H1716" s="11">
        <f t="shared" si="179"/>
        <v>2</v>
      </c>
      <c r="I1716" s="10">
        <f t="shared" si="180"/>
        <v>3</v>
      </c>
      <c r="J1716" s="10">
        <f t="shared" si="181"/>
        <v>7.2</v>
      </c>
      <c r="K1716" s="10">
        <f t="shared" si="177"/>
        <v>24.2</v>
      </c>
      <c r="L1716" s="10">
        <f t="shared" si="182"/>
        <v>148.1</v>
      </c>
    </row>
    <row r="1717" spans="1:12" x14ac:dyDescent="0.25">
      <c r="A1717" s="7">
        <v>45351</v>
      </c>
      <c r="B1717" t="s">
        <v>411</v>
      </c>
      <c r="C1717" s="6">
        <v>6181</v>
      </c>
      <c r="D1717" s="1" t="s">
        <v>539</v>
      </c>
      <c r="E1717" s="1">
        <v>0.48333333333333334</v>
      </c>
      <c r="F1717" s="1">
        <v>0.5</v>
      </c>
      <c r="G1717" s="9">
        <f t="shared" si="178"/>
        <v>45348</v>
      </c>
      <c r="H1717" s="11">
        <f t="shared" si="179"/>
        <v>0.4</v>
      </c>
      <c r="I1717" s="10">
        <f t="shared" si="180"/>
        <v>3.4</v>
      </c>
      <c r="J1717" s="10">
        <f t="shared" si="181"/>
        <v>7.2</v>
      </c>
      <c r="K1717" s="10">
        <f t="shared" si="177"/>
        <v>24.599999999999998</v>
      </c>
      <c r="L1717" s="10">
        <f t="shared" si="182"/>
        <v>148.5</v>
      </c>
    </row>
    <row r="1718" spans="1:12" x14ac:dyDescent="0.25">
      <c r="A1718" s="7">
        <v>45351</v>
      </c>
      <c r="B1718" t="s">
        <v>6</v>
      </c>
      <c r="C1718" s="6" t="s">
        <v>416</v>
      </c>
      <c r="D1718" s="5" t="s">
        <v>234</v>
      </c>
      <c r="E1718" s="1">
        <v>0.5</v>
      </c>
      <c r="F1718" s="1">
        <v>0.5444444444444444</v>
      </c>
      <c r="G1718" s="9">
        <f t="shared" si="178"/>
        <v>45348</v>
      </c>
      <c r="H1718" s="11">
        <f t="shared" si="179"/>
        <v>1.1000000000000001</v>
      </c>
      <c r="I1718" s="10">
        <f t="shared" si="180"/>
        <v>4.5</v>
      </c>
      <c r="J1718" s="10">
        <f t="shared" si="181"/>
        <v>7.2</v>
      </c>
      <c r="K1718" s="10">
        <f t="shared" si="177"/>
        <v>25.700000000000003</v>
      </c>
      <c r="L1718" s="10">
        <f t="shared" si="182"/>
        <v>149.6</v>
      </c>
    </row>
    <row r="1719" spans="1:12" x14ac:dyDescent="0.25">
      <c r="A1719" s="7">
        <v>45351</v>
      </c>
      <c r="B1719" t="s">
        <v>411</v>
      </c>
      <c r="C1719" s="6">
        <v>6181</v>
      </c>
      <c r="D1719" s="1" t="s">
        <v>539</v>
      </c>
      <c r="E1719" s="1">
        <v>0.5444444444444444</v>
      </c>
      <c r="F1719" s="1">
        <v>0.62361111111111112</v>
      </c>
      <c r="G1719" s="9">
        <f t="shared" si="178"/>
        <v>45348</v>
      </c>
      <c r="H1719" s="11">
        <f t="shared" si="179"/>
        <v>1.9</v>
      </c>
      <c r="I1719" s="10">
        <f t="shared" si="180"/>
        <v>6.4</v>
      </c>
      <c r="J1719" s="10">
        <f t="shared" si="181"/>
        <v>7.2</v>
      </c>
      <c r="K1719" s="10">
        <f t="shared" si="177"/>
        <v>27.599999999999998</v>
      </c>
      <c r="L1719" s="10">
        <f t="shared" si="182"/>
        <v>151.5</v>
      </c>
    </row>
    <row r="1720" spans="1:12" x14ac:dyDescent="0.25">
      <c r="A1720" s="7">
        <v>45352</v>
      </c>
      <c r="B1720" t="s">
        <v>411</v>
      </c>
      <c r="C1720" s="6">
        <v>6181</v>
      </c>
      <c r="D1720" s="1" t="s">
        <v>539</v>
      </c>
      <c r="E1720" s="1">
        <v>0.33958333333333335</v>
      </c>
      <c r="F1720" s="1">
        <v>0.4368055555555555</v>
      </c>
      <c r="G1720" s="9">
        <f t="shared" si="178"/>
        <v>45348</v>
      </c>
      <c r="H1720" s="11">
        <f t="shared" si="179"/>
        <v>2.2999999999999998</v>
      </c>
      <c r="I1720" s="10">
        <f t="shared" si="180"/>
        <v>2.2999999999999998</v>
      </c>
      <c r="J1720" s="10">
        <f t="shared" si="181"/>
        <v>7.2</v>
      </c>
      <c r="K1720" s="10">
        <f t="shared" si="177"/>
        <v>29.900000000000002</v>
      </c>
      <c r="L1720" s="10">
        <f t="shared" si="182"/>
        <v>2.2999999999999998</v>
      </c>
    </row>
    <row r="1721" spans="1:12" x14ac:dyDescent="0.25">
      <c r="A1721" s="7">
        <v>45352</v>
      </c>
      <c r="B1721" t="s">
        <v>6</v>
      </c>
      <c r="C1721" s="6" t="s">
        <v>416</v>
      </c>
      <c r="D1721" s="1" t="s">
        <v>523</v>
      </c>
      <c r="E1721" s="1">
        <v>0.4368055555555555</v>
      </c>
      <c r="F1721" s="1">
        <v>0.4694444444444445</v>
      </c>
      <c r="G1721" s="9">
        <f t="shared" si="178"/>
        <v>45348</v>
      </c>
      <c r="H1721" s="11">
        <f t="shared" si="179"/>
        <v>0.8</v>
      </c>
      <c r="I1721" s="10">
        <f t="shared" si="180"/>
        <v>3.0999999999999996</v>
      </c>
      <c r="J1721" s="10">
        <f t="shared" si="181"/>
        <v>7.2</v>
      </c>
      <c r="K1721" s="10">
        <f t="shared" si="177"/>
        <v>30.7</v>
      </c>
      <c r="L1721" s="10">
        <f t="shared" si="182"/>
        <v>3.0999999999999996</v>
      </c>
    </row>
    <row r="1722" spans="1:12" x14ac:dyDescent="0.25">
      <c r="A1722" s="7">
        <v>45352</v>
      </c>
      <c r="B1722" t="s">
        <v>6</v>
      </c>
      <c r="C1722" s="6" t="s">
        <v>416</v>
      </c>
      <c r="D1722" s="1" t="s">
        <v>523</v>
      </c>
      <c r="E1722" s="1">
        <v>0.49305555555555558</v>
      </c>
      <c r="F1722" s="1">
        <v>0.58333333333333337</v>
      </c>
      <c r="G1722" s="9">
        <f t="shared" si="178"/>
        <v>45348</v>
      </c>
      <c r="H1722" s="11">
        <f t="shared" si="179"/>
        <v>2.2000000000000002</v>
      </c>
      <c r="I1722" s="10">
        <f t="shared" si="180"/>
        <v>5.3000000000000007</v>
      </c>
      <c r="J1722" s="10">
        <f t="shared" si="181"/>
        <v>7.2</v>
      </c>
      <c r="K1722" s="10">
        <f t="shared" si="177"/>
        <v>32.9</v>
      </c>
      <c r="L1722" s="10">
        <f t="shared" si="182"/>
        <v>5.3000000000000007</v>
      </c>
    </row>
    <row r="1723" spans="1:12" x14ac:dyDescent="0.25">
      <c r="A1723" s="7">
        <v>45352</v>
      </c>
      <c r="B1723" t="s">
        <v>6</v>
      </c>
      <c r="C1723" s="6" t="s">
        <v>416</v>
      </c>
      <c r="D1723" s="5" t="s">
        <v>544</v>
      </c>
      <c r="E1723" s="1">
        <v>0.58333333333333337</v>
      </c>
      <c r="F1723" s="1">
        <v>0.6069444444444444</v>
      </c>
      <c r="G1723" s="9">
        <f t="shared" si="178"/>
        <v>45348</v>
      </c>
      <c r="H1723" s="11">
        <f t="shared" si="179"/>
        <v>0.6</v>
      </c>
      <c r="I1723" s="10">
        <f t="shared" si="180"/>
        <v>5.8999999999999995</v>
      </c>
      <c r="J1723" s="10">
        <f t="shared" si="181"/>
        <v>7.2</v>
      </c>
      <c r="K1723" s="10">
        <f t="shared" si="177"/>
        <v>33.5</v>
      </c>
      <c r="L1723" s="10">
        <f t="shared" si="182"/>
        <v>5.8999999999999995</v>
      </c>
    </row>
    <row r="1724" spans="1:12" x14ac:dyDescent="0.25">
      <c r="A1724" s="7">
        <v>45352</v>
      </c>
      <c r="B1724" t="s">
        <v>6</v>
      </c>
      <c r="C1724" s="6" t="s">
        <v>416</v>
      </c>
      <c r="D1724" s="5" t="s">
        <v>545</v>
      </c>
      <c r="E1724" s="1">
        <v>0.6069444444444444</v>
      </c>
      <c r="F1724" s="1">
        <v>0.66527777777777775</v>
      </c>
      <c r="G1724" s="9">
        <f t="shared" si="178"/>
        <v>45348</v>
      </c>
      <c r="H1724" s="11">
        <f t="shared" si="179"/>
        <v>1.4</v>
      </c>
      <c r="I1724" s="10">
        <f t="shared" si="180"/>
        <v>7.3000000000000007</v>
      </c>
      <c r="J1724" s="10">
        <f t="shared" si="181"/>
        <v>7.2</v>
      </c>
      <c r="K1724" s="10">
        <f t="shared" si="177"/>
        <v>34.9</v>
      </c>
      <c r="L1724" s="10">
        <f t="shared" si="182"/>
        <v>7.3000000000000007</v>
      </c>
    </row>
    <row r="1725" spans="1:12" x14ac:dyDescent="0.25">
      <c r="A1725" s="7">
        <v>45355</v>
      </c>
      <c r="B1725" s="2" t="s">
        <v>464</v>
      </c>
      <c r="C1725" s="6">
        <v>2431</v>
      </c>
      <c r="D1725" s="5" t="s">
        <v>546</v>
      </c>
      <c r="E1725" s="1">
        <v>0.32708333333333334</v>
      </c>
      <c r="F1725" s="1">
        <v>0.48402777777777778</v>
      </c>
      <c r="G1725" s="9">
        <f t="shared" si="178"/>
        <v>45355</v>
      </c>
      <c r="H1725" s="11">
        <f t="shared" si="179"/>
        <v>3.8</v>
      </c>
      <c r="I1725" s="10">
        <f t="shared" si="180"/>
        <v>3.8</v>
      </c>
      <c r="J1725" s="10">
        <f t="shared" si="181"/>
        <v>7.2</v>
      </c>
      <c r="K1725" s="10">
        <f t="shared" si="177"/>
        <v>3.8</v>
      </c>
      <c r="L1725" s="10">
        <f t="shared" si="182"/>
        <v>11.1</v>
      </c>
    </row>
    <row r="1726" spans="1:12" x14ac:dyDescent="0.25">
      <c r="A1726" s="7">
        <v>45355</v>
      </c>
      <c r="B1726" s="2" t="s">
        <v>464</v>
      </c>
      <c r="C1726" s="6">
        <v>2431</v>
      </c>
      <c r="D1726" s="5" t="s">
        <v>546</v>
      </c>
      <c r="E1726" s="1">
        <v>0.49374999999999997</v>
      </c>
      <c r="F1726" s="1">
        <v>0.53888888888888886</v>
      </c>
      <c r="G1726" s="9">
        <f t="shared" si="178"/>
        <v>45355</v>
      </c>
      <c r="H1726" s="11">
        <f t="shared" si="179"/>
        <v>1.1000000000000001</v>
      </c>
      <c r="I1726" s="10">
        <f t="shared" si="180"/>
        <v>4.9000000000000004</v>
      </c>
      <c r="J1726" s="10">
        <f t="shared" si="181"/>
        <v>7.2</v>
      </c>
      <c r="K1726" s="10">
        <f t="shared" si="177"/>
        <v>4.9000000000000004</v>
      </c>
      <c r="L1726" s="10">
        <f t="shared" si="182"/>
        <v>12.2</v>
      </c>
    </row>
    <row r="1727" spans="1:12" x14ac:dyDescent="0.25">
      <c r="A1727" s="7">
        <v>45355</v>
      </c>
      <c r="B1727" t="s">
        <v>6</v>
      </c>
      <c r="C1727" s="6" t="s">
        <v>416</v>
      </c>
      <c r="D1727" s="1" t="s">
        <v>523</v>
      </c>
      <c r="E1727" s="1">
        <v>0.53888888888888886</v>
      </c>
      <c r="F1727" s="1">
        <v>0.60416666666666663</v>
      </c>
      <c r="G1727" s="9">
        <f t="shared" si="178"/>
        <v>45355</v>
      </c>
      <c r="H1727" s="11">
        <f t="shared" si="179"/>
        <v>1.6</v>
      </c>
      <c r="I1727" s="10">
        <f t="shared" si="180"/>
        <v>6.5</v>
      </c>
      <c r="J1727" s="10">
        <f t="shared" si="181"/>
        <v>7.2</v>
      </c>
      <c r="K1727" s="10">
        <f t="shared" si="177"/>
        <v>6.5</v>
      </c>
      <c r="L1727" s="10">
        <f t="shared" si="182"/>
        <v>13.799999999999999</v>
      </c>
    </row>
    <row r="1728" spans="1:12" x14ac:dyDescent="0.25">
      <c r="A1728" s="7">
        <v>45355</v>
      </c>
      <c r="B1728" t="s">
        <v>6</v>
      </c>
      <c r="C1728" s="6" t="s">
        <v>416</v>
      </c>
      <c r="D1728" s="1" t="s">
        <v>290</v>
      </c>
      <c r="E1728" s="1">
        <v>0.60416666666666663</v>
      </c>
      <c r="F1728" s="1">
        <v>0.63194444444444442</v>
      </c>
      <c r="G1728" s="9">
        <f t="shared" si="178"/>
        <v>45355</v>
      </c>
      <c r="H1728" s="11">
        <f t="shared" si="179"/>
        <v>0.7</v>
      </c>
      <c r="I1728" s="10">
        <f t="shared" si="180"/>
        <v>7.2</v>
      </c>
      <c r="J1728" s="10">
        <f t="shared" si="181"/>
        <v>7.2</v>
      </c>
      <c r="K1728" s="10">
        <f t="shared" si="177"/>
        <v>7.2</v>
      </c>
      <c r="L1728" s="10">
        <f t="shared" si="182"/>
        <v>14.5</v>
      </c>
    </row>
    <row r="1729" spans="1:12" x14ac:dyDescent="0.25">
      <c r="A1729" s="7">
        <v>45355</v>
      </c>
      <c r="B1729" t="s">
        <v>6</v>
      </c>
      <c r="C1729" s="6" t="s">
        <v>416</v>
      </c>
      <c r="D1729" s="1" t="s">
        <v>523</v>
      </c>
      <c r="E1729" s="1">
        <v>0.63194444444444442</v>
      </c>
      <c r="F1729" s="1">
        <v>0.64444444444444449</v>
      </c>
      <c r="G1729" s="9">
        <f t="shared" si="178"/>
        <v>45355</v>
      </c>
      <c r="H1729" s="11">
        <f t="shared" si="179"/>
        <v>0.3</v>
      </c>
      <c r="I1729" s="10">
        <f t="shared" si="180"/>
        <v>7.5</v>
      </c>
      <c r="J1729" s="10">
        <f t="shared" si="181"/>
        <v>7.2</v>
      </c>
      <c r="K1729" s="10">
        <f t="shared" si="177"/>
        <v>7.5</v>
      </c>
      <c r="L1729" s="10">
        <f t="shared" si="182"/>
        <v>14.8</v>
      </c>
    </row>
    <row r="1730" spans="1:12" x14ac:dyDescent="0.25">
      <c r="A1730" s="7">
        <v>45356</v>
      </c>
      <c r="B1730" t="s">
        <v>6</v>
      </c>
      <c r="C1730" s="6" t="s">
        <v>416</v>
      </c>
      <c r="D1730" s="1" t="s">
        <v>523</v>
      </c>
      <c r="E1730" s="1">
        <v>0.33194444444444443</v>
      </c>
      <c r="F1730" s="1">
        <v>0.48125000000000001</v>
      </c>
      <c r="G1730" s="9">
        <f t="shared" si="178"/>
        <v>45355</v>
      </c>
      <c r="H1730" s="11">
        <f t="shared" si="179"/>
        <v>3.6</v>
      </c>
      <c r="I1730" s="10">
        <f t="shared" si="180"/>
        <v>3.6</v>
      </c>
      <c r="J1730" s="10">
        <f t="shared" si="181"/>
        <v>7.2</v>
      </c>
      <c r="K1730" s="10">
        <f t="shared" si="177"/>
        <v>11.1</v>
      </c>
      <c r="L1730" s="10">
        <f t="shared" si="182"/>
        <v>18.400000000000002</v>
      </c>
    </row>
    <row r="1731" spans="1:12" x14ac:dyDescent="0.25">
      <c r="A1731" s="7">
        <v>45356</v>
      </c>
      <c r="B1731" t="s">
        <v>6</v>
      </c>
      <c r="C1731" s="6" t="s">
        <v>416</v>
      </c>
      <c r="D1731" s="1" t="s">
        <v>523</v>
      </c>
      <c r="E1731" s="1">
        <v>0.50972222222222219</v>
      </c>
      <c r="F1731" s="1">
        <v>0.64097222222222217</v>
      </c>
      <c r="G1731" s="9">
        <f t="shared" si="178"/>
        <v>45355</v>
      </c>
      <c r="H1731" s="11">
        <f t="shared" si="179"/>
        <v>3.2</v>
      </c>
      <c r="I1731" s="10">
        <f t="shared" si="180"/>
        <v>6.8000000000000007</v>
      </c>
      <c r="J1731" s="10">
        <f t="shared" si="181"/>
        <v>7.2</v>
      </c>
      <c r="K1731" s="10">
        <f t="shared" ref="K1731:K1794" si="183">IF(H1731="",H1731,H1731+IF(G1731=G1730,_xlfn.NUMBERVALUE(K1730),0))</f>
        <v>14.3</v>
      </c>
      <c r="L1731" s="10">
        <f t="shared" si="182"/>
        <v>21.599999999999998</v>
      </c>
    </row>
    <row r="1732" spans="1:12" x14ac:dyDescent="0.25">
      <c r="A1732" s="7">
        <v>45357</v>
      </c>
      <c r="B1732" t="s">
        <v>6</v>
      </c>
      <c r="C1732" s="6" t="s">
        <v>416</v>
      </c>
      <c r="D1732" s="1" t="s">
        <v>523</v>
      </c>
      <c r="E1732" s="1">
        <v>0.33333333333333331</v>
      </c>
      <c r="F1732" s="1">
        <v>0.49791666666666662</v>
      </c>
      <c r="G1732" s="9">
        <f t="shared" si="178"/>
        <v>45355</v>
      </c>
      <c r="H1732" s="11">
        <f t="shared" si="179"/>
        <v>4</v>
      </c>
      <c r="I1732" s="10">
        <f t="shared" si="180"/>
        <v>4</v>
      </c>
      <c r="J1732" s="10">
        <f t="shared" si="181"/>
        <v>7.2</v>
      </c>
      <c r="K1732" s="10">
        <f t="shared" si="183"/>
        <v>18.3</v>
      </c>
      <c r="L1732" s="10">
        <f t="shared" si="182"/>
        <v>25.6</v>
      </c>
    </row>
    <row r="1733" spans="1:12" x14ac:dyDescent="0.25">
      <c r="A1733" s="7">
        <v>45357</v>
      </c>
      <c r="B1733" t="s">
        <v>6</v>
      </c>
      <c r="C1733" s="6" t="s">
        <v>416</v>
      </c>
      <c r="D1733" s="1" t="s">
        <v>523</v>
      </c>
      <c r="E1733" s="1">
        <v>0.51527777777777783</v>
      </c>
      <c r="F1733" s="1">
        <v>0.65277777777777779</v>
      </c>
      <c r="G1733" s="9">
        <f t="shared" si="178"/>
        <v>45355</v>
      </c>
      <c r="H1733" s="11">
        <f t="shared" si="179"/>
        <v>3.3</v>
      </c>
      <c r="I1733" s="10">
        <f t="shared" si="180"/>
        <v>7.3</v>
      </c>
      <c r="J1733" s="10">
        <f t="shared" si="181"/>
        <v>7.2</v>
      </c>
      <c r="K1733" s="10">
        <f t="shared" si="183"/>
        <v>21.6</v>
      </c>
      <c r="L1733" s="10">
        <f t="shared" si="182"/>
        <v>28.900000000000002</v>
      </c>
    </row>
    <row r="1734" spans="1:12" x14ac:dyDescent="0.25">
      <c r="A1734" s="7">
        <v>45358</v>
      </c>
      <c r="B1734" t="s">
        <v>6</v>
      </c>
      <c r="C1734" s="6" t="s">
        <v>416</v>
      </c>
      <c r="D1734" s="1" t="s">
        <v>523</v>
      </c>
      <c r="E1734" s="1">
        <v>0.32569444444444445</v>
      </c>
      <c r="F1734" s="1">
        <v>0.47222222222222227</v>
      </c>
      <c r="G1734" s="9">
        <f t="shared" si="178"/>
        <v>45355</v>
      </c>
      <c r="H1734" s="11">
        <f t="shared" si="179"/>
        <v>3.5</v>
      </c>
      <c r="I1734" s="10">
        <f t="shared" si="180"/>
        <v>3.5</v>
      </c>
      <c r="J1734" s="10">
        <f t="shared" si="181"/>
        <v>7.2</v>
      </c>
      <c r="K1734" s="10">
        <f t="shared" si="183"/>
        <v>25.1</v>
      </c>
      <c r="L1734" s="10">
        <f t="shared" si="182"/>
        <v>32.4</v>
      </c>
    </row>
    <row r="1735" spans="1:12" x14ac:dyDescent="0.25">
      <c r="A1735" s="7">
        <v>45358</v>
      </c>
      <c r="B1735" t="s">
        <v>6</v>
      </c>
      <c r="C1735" s="6" t="s">
        <v>416</v>
      </c>
      <c r="D1735" s="1" t="s">
        <v>523</v>
      </c>
      <c r="E1735" s="1">
        <v>0.49374999999999997</v>
      </c>
      <c r="F1735" s="1">
        <v>0.62708333333333333</v>
      </c>
      <c r="G1735" s="9">
        <f t="shared" si="178"/>
        <v>45355</v>
      </c>
      <c r="H1735" s="11">
        <f t="shared" si="179"/>
        <v>3.2</v>
      </c>
      <c r="I1735" s="10">
        <f t="shared" si="180"/>
        <v>6.7</v>
      </c>
      <c r="J1735" s="10">
        <f t="shared" si="181"/>
        <v>7.2</v>
      </c>
      <c r="K1735" s="10">
        <f t="shared" si="183"/>
        <v>28.3</v>
      </c>
      <c r="L1735" s="10">
        <f t="shared" si="182"/>
        <v>35.6</v>
      </c>
    </row>
    <row r="1736" spans="1:12" x14ac:dyDescent="0.25">
      <c r="A1736" s="7">
        <v>45359</v>
      </c>
      <c r="B1736" t="s">
        <v>6</v>
      </c>
      <c r="C1736" s="6" t="s">
        <v>416</v>
      </c>
      <c r="D1736" s="1" t="s">
        <v>523</v>
      </c>
      <c r="E1736" s="1">
        <v>0.32708333333333334</v>
      </c>
      <c r="F1736" s="1">
        <v>0.44375000000000003</v>
      </c>
      <c r="G1736" s="9">
        <f t="shared" si="178"/>
        <v>45355</v>
      </c>
      <c r="H1736" s="11">
        <f t="shared" si="179"/>
        <v>2.8</v>
      </c>
      <c r="I1736" s="10">
        <f t="shared" si="180"/>
        <v>2.8</v>
      </c>
      <c r="J1736" s="10">
        <f t="shared" si="181"/>
        <v>7.2</v>
      </c>
      <c r="K1736" s="10">
        <f t="shared" si="183"/>
        <v>31.1</v>
      </c>
      <c r="L1736" s="10">
        <f t="shared" si="182"/>
        <v>38.4</v>
      </c>
    </row>
    <row r="1737" spans="1:12" x14ac:dyDescent="0.25">
      <c r="A1737" s="7">
        <v>45359</v>
      </c>
      <c r="B1737" t="s">
        <v>6</v>
      </c>
      <c r="C1737" s="6" t="s">
        <v>416</v>
      </c>
      <c r="D1737" s="1" t="s">
        <v>523</v>
      </c>
      <c r="E1737" s="1">
        <v>0.5756944444444444</v>
      </c>
      <c r="F1737" s="1">
        <v>0.65138888888888891</v>
      </c>
      <c r="G1737" s="9">
        <f t="shared" si="178"/>
        <v>45355</v>
      </c>
      <c r="H1737" s="11">
        <f t="shared" si="179"/>
        <v>1.8</v>
      </c>
      <c r="I1737" s="10">
        <f t="shared" si="180"/>
        <v>4.5999999999999996</v>
      </c>
      <c r="J1737" s="10">
        <f t="shared" si="181"/>
        <v>7.2</v>
      </c>
      <c r="K1737" s="10">
        <f t="shared" si="183"/>
        <v>32.9</v>
      </c>
      <c r="L1737" s="10">
        <f t="shared" si="182"/>
        <v>40.199999999999996</v>
      </c>
    </row>
    <row r="1738" spans="1:12" x14ac:dyDescent="0.25">
      <c r="A1738" s="7">
        <v>45362</v>
      </c>
      <c r="B1738" t="s">
        <v>6</v>
      </c>
      <c r="C1738" s="6" t="s">
        <v>416</v>
      </c>
      <c r="D1738" s="1" t="s">
        <v>523</v>
      </c>
      <c r="E1738" s="1">
        <v>0.32847222222222222</v>
      </c>
      <c r="F1738" s="1">
        <v>0.48402777777777778</v>
      </c>
      <c r="G1738" s="9">
        <f t="shared" si="178"/>
        <v>45362</v>
      </c>
      <c r="H1738" s="11">
        <f t="shared" si="179"/>
        <v>3.7</v>
      </c>
      <c r="I1738" s="10">
        <f t="shared" si="180"/>
        <v>3.7</v>
      </c>
      <c r="J1738" s="10">
        <f t="shared" si="181"/>
        <v>7.2</v>
      </c>
      <c r="K1738" s="10">
        <f t="shared" si="183"/>
        <v>3.7</v>
      </c>
      <c r="L1738" s="10">
        <f t="shared" si="182"/>
        <v>43.900000000000006</v>
      </c>
    </row>
    <row r="1739" spans="1:12" x14ac:dyDescent="0.25">
      <c r="A1739" s="7">
        <v>45362</v>
      </c>
      <c r="B1739" t="s">
        <v>6</v>
      </c>
      <c r="C1739" s="6" t="s">
        <v>416</v>
      </c>
      <c r="D1739" s="1" t="s">
        <v>523</v>
      </c>
      <c r="E1739" s="1">
        <v>0.49791666666666662</v>
      </c>
      <c r="F1739" s="1">
        <v>0.65416666666666667</v>
      </c>
      <c r="G1739" s="9">
        <f t="shared" si="178"/>
        <v>45362</v>
      </c>
      <c r="H1739" s="11">
        <f t="shared" si="179"/>
        <v>3.8</v>
      </c>
      <c r="I1739" s="10">
        <f t="shared" si="180"/>
        <v>7.5</v>
      </c>
      <c r="J1739" s="10">
        <f t="shared" si="181"/>
        <v>7.2</v>
      </c>
      <c r="K1739" s="10">
        <f t="shared" si="183"/>
        <v>7.5</v>
      </c>
      <c r="L1739" s="10">
        <f t="shared" si="182"/>
        <v>47.699999999999996</v>
      </c>
    </row>
    <row r="1740" spans="1:12" x14ac:dyDescent="0.25">
      <c r="A1740" s="7">
        <v>45363</v>
      </c>
      <c r="B1740" t="s">
        <v>6</v>
      </c>
      <c r="C1740" s="6" t="s">
        <v>416</v>
      </c>
      <c r="D1740" s="1" t="s">
        <v>523</v>
      </c>
      <c r="E1740" s="1">
        <v>0.33749999999999997</v>
      </c>
      <c r="F1740" s="1">
        <v>0.4680555555555555</v>
      </c>
      <c r="G1740" s="9">
        <f t="shared" si="178"/>
        <v>45362</v>
      </c>
      <c r="H1740" s="11">
        <f t="shared" si="179"/>
        <v>3.1</v>
      </c>
      <c r="I1740" s="10">
        <f t="shared" si="180"/>
        <v>3.1</v>
      </c>
      <c r="J1740" s="10">
        <f t="shared" si="181"/>
        <v>7.2</v>
      </c>
      <c r="K1740" s="10">
        <f t="shared" si="183"/>
        <v>10.6</v>
      </c>
      <c r="L1740" s="10">
        <f t="shared" si="182"/>
        <v>50.800000000000004</v>
      </c>
    </row>
    <row r="1741" spans="1:12" x14ac:dyDescent="0.25">
      <c r="A1741" s="7">
        <v>45363</v>
      </c>
      <c r="B1741" t="s">
        <v>6</v>
      </c>
      <c r="C1741" s="6" t="s">
        <v>416</v>
      </c>
      <c r="D1741" s="1" t="s">
        <v>523</v>
      </c>
      <c r="E1741" s="1">
        <v>0.48541666666666666</v>
      </c>
      <c r="F1741" s="1">
        <v>0.5</v>
      </c>
      <c r="G1741" s="9">
        <f t="shared" si="178"/>
        <v>45362</v>
      </c>
      <c r="H1741" s="11">
        <f t="shared" si="179"/>
        <v>0.4</v>
      </c>
      <c r="I1741" s="10">
        <f t="shared" si="180"/>
        <v>3.5</v>
      </c>
      <c r="J1741" s="10">
        <f t="shared" si="181"/>
        <v>7.2</v>
      </c>
      <c r="K1741" s="10">
        <f t="shared" si="183"/>
        <v>11</v>
      </c>
      <c r="L1741" s="10">
        <f t="shared" si="182"/>
        <v>51.199999999999996</v>
      </c>
    </row>
    <row r="1742" spans="1:12" x14ac:dyDescent="0.25">
      <c r="A1742" s="7">
        <v>45363</v>
      </c>
      <c r="B1742" t="s">
        <v>6</v>
      </c>
      <c r="C1742" s="6" t="s">
        <v>416</v>
      </c>
      <c r="D1742" s="5" t="s">
        <v>548</v>
      </c>
      <c r="E1742" s="1">
        <v>0.5</v>
      </c>
      <c r="F1742" s="1">
        <v>0.52222222222222225</v>
      </c>
      <c r="G1742" s="9">
        <f t="shared" si="178"/>
        <v>45362</v>
      </c>
      <c r="H1742" s="11">
        <f t="shared" si="179"/>
        <v>0.5</v>
      </c>
      <c r="I1742" s="10">
        <f t="shared" si="180"/>
        <v>4</v>
      </c>
      <c r="J1742" s="10">
        <f t="shared" si="181"/>
        <v>7.2</v>
      </c>
      <c r="K1742" s="10">
        <f t="shared" si="183"/>
        <v>11.5</v>
      </c>
      <c r="L1742" s="10">
        <f t="shared" si="182"/>
        <v>51.7</v>
      </c>
    </row>
    <row r="1743" spans="1:12" x14ac:dyDescent="0.25">
      <c r="A1743" s="7">
        <v>45363</v>
      </c>
      <c r="B1743" t="s">
        <v>411</v>
      </c>
      <c r="C1743" s="6">
        <v>6181</v>
      </c>
      <c r="D1743" s="5" t="s">
        <v>549</v>
      </c>
      <c r="E1743" s="1">
        <v>0.52222222222222225</v>
      </c>
      <c r="F1743" s="1">
        <v>0.66875000000000007</v>
      </c>
      <c r="G1743" s="9">
        <f t="shared" si="178"/>
        <v>45362</v>
      </c>
      <c r="H1743" s="11">
        <f t="shared" si="179"/>
        <v>3.5</v>
      </c>
      <c r="I1743" s="10">
        <f t="shared" si="180"/>
        <v>7.5</v>
      </c>
      <c r="J1743" s="10">
        <f t="shared" si="181"/>
        <v>7.2</v>
      </c>
      <c r="K1743" s="10">
        <f t="shared" si="183"/>
        <v>15</v>
      </c>
      <c r="L1743" s="10">
        <f t="shared" si="182"/>
        <v>55.2</v>
      </c>
    </row>
    <row r="1744" spans="1:12" x14ac:dyDescent="0.25">
      <c r="A1744" s="7">
        <v>45364</v>
      </c>
      <c r="B1744" t="s">
        <v>411</v>
      </c>
      <c r="C1744" s="6">
        <v>6181</v>
      </c>
      <c r="D1744" s="5" t="s">
        <v>550</v>
      </c>
      <c r="E1744" s="1">
        <v>0.33402777777777781</v>
      </c>
      <c r="F1744" s="1">
        <v>0.37708333333333338</v>
      </c>
      <c r="G1744" s="9">
        <f t="shared" si="178"/>
        <v>45362</v>
      </c>
      <c r="H1744" s="11">
        <f t="shared" si="179"/>
        <v>1</v>
      </c>
      <c r="I1744" s="10">
        <f t="shared" si="180"/>
        <v>1</v>
      </c>
      <c r="J1744" s="10">
        <f t="shared" si="181"/>
        <v>7.2</v>
      </c>
      <c r="K1744" s="10">
        <f t="shared" si="183"/>
        <v>16</v>
      </c>
      <c r="L1744" s="10">
        <f t="shared" si="182"/>
        <v>56.2</v>
      </c>
    </row>
    <row r="1745" spans="1:12" x14ac:dyDescent="0.25">
      <c r="A1745" s="7">
        <v>45364</v>
      </c>
      <c r="B1745" t="s">
        <v>6</v>
      </c>
      <c r="C1745" s="6" t="s">
        <v>416</v>
      </c>
      <c r="D1745" s="1" t="s">
        <v>523</v>
      </c>
      <c r="E1745" s="1">
        <v>0.37708333333333338</v>
      </c>
      <c r="F1745" s="1">
        <v>0.48888888888888887</v>
      </c>
      <c r="G1745" s="9">
        <f t="shared" si="178"/>
        <v>45362</v>
      </c>
      <c r="H1745" s="11">
        <f t="shared" si="179"/>
        <v>2.7</v>
      </c>
      <c r="I1745" s="10">
        <f t="shared" si="180"/>
        <v>3.7</v>
      </c>
      <c r="J1745" s="10">
        <f t="shared" si="181"/>
        <v>7.2</v>
      </c>
      <c r="K1745" s="10">
        <f t="shared" si="183"/>
        <v>18.7</v>
      </c>
      <c r="L1745" s="10">
        <f t="shared" si="182"/>
        <v>58.900000000000006</v>
      </c>
    </row>
    <row r="1746" spans="1:12" x14ac:dyDescent="0.25">
      <c r="A1746" s="7">
        <v>45364</v>
      </c>
      <c r="B1746" t="s">
        <v>6</v>
      </c>
      <c r="C1746" s="6" t="s">
        <v>416</v>
      </c>
      <c r="D1746" s="1" t="s">
        <v>523</v>
      </c>
      <c r="E1746" s="1">
        <v>0.5</v>
      </c>
      <c r="F1746" s="1">
        <v>0.52083333333333337</v>
      </c>
      <c r="G1746" s="9">
        <f t="shared" si="178"/>
        <v>45362</v>
      </c>
      <c r="H1746" s="11">
        <f t="shared" si="179"/>
        <v>0.5</v>
      </c>
      <c r="I1746" s="10">
        <f t="shared" si="180"/>
        <v>4.2</v>
      </c>
      <c r="J1746" s="10">
        <f t="shared" si="181"/>
        <v>7.2</v>
      </c>
      <c r="K1746" s="10">
        <f t="shared" si="183"/>
        <v>19.2</v>
      </c>
      <c r="L1746" s="10">
        <f t="shared" si="182"/>
        <v>59.4</v>
      </c>
    </row>
    <row r="1747" spans="1:12" x14ac:dyDescent="0.25">
      <c r="A1747" s="7">
        <v>45364</v>
      </c>
      <c r="B1747" t="s">
        <v>551</v>
      </c>
      <c r="C1747" s="6">
        <v>2094</v>
      </c>
      <c r="D1747" s="1" t="s">
        <v>552</v>
      </c>
      <c r="E1747" s="1">
        <v>0.52083333333333337</v>
      </c>
      <c r="F1747" s="1">
        <v>0.58333333333333337</v>
      </c>
      <c r="G1747" s="9">
        <f t="shared" si="178"/>
        <v>45362</v>
      </c>
      <c r="H1747" s="11">
        <f t="shared" si="179"/>
        <v>1.5</v>
      </c>
      <c r="I1747" s="10">
        <f t="shared" si="180"/>
        <v>5.7</v>
      </c>
      <c r="J1747" s="10">
        <f t="shared" si="181"/>
        <v>7.2</v>
      </c>
      <c r="K1747" s="10">
        <f t="shared" si="183"/>
        <v>20.7</v>
      </c>
      <c r="L1747" s="10">
        <f t="shared" si="182"/>
        <v>60.9</v>
      </c>
    </row>
    <row r="1748" spans="1:12" x14ac:dyDescent="0.25">
      <c r="A1748" s="7">
        <v>45364</v>
      </c>
      <c r="B1748" t="s">
        <v>6</v>
      </c>
      <c r="C1748" s="6" t="s">
        <v>416</v>
      </c>
      <c r="D1748" s="1" t="s">
        <v>553</v>
      </c>
      <c r="E1748" s="1">
        <v>0.58333333333333337</v>
      </c>
      <c r="F1748" s="1">
        <v>0.65486111111111112</v>
      </c>
      <c r="G1748" s="9">
        <f t="shared" si="178"/>
        <v>45362</v>
      </c>
      <c r="H1748" s="11">
        <f t="shared" si="179"/>
        <v>1.7</v>
      </c>
      <c r="I1748" s="10">
        <f t="shared" si="180"/>
        <v>7.4</v>
      </c>
      <c r="J1748" s="10">
        <f t="shared" si="181"/>
        <v>7.2</v>
      </c>
      <c r="K1748" s="10">
        <f t="shared" si="183"/>
        <v>22.4</v>
      </c>
      <c r="L1748" s="10">
        <f t="shared" si="182"/>
        <v>62.6</v>
      </c>
    </row>
    <row r="1749" spans="1:12" x14ac:dyDescent="0.25">
      <c r="A1749" s="7">
        <v>45365</v>
      </c>
      <c r="B1749" t="s">
        <v>6</v>
      </c>
      <c r="C1749" s="6" t="s">
        <v>416</v>
      </c>
      <c r="D1749" s="1" t="s">
        <v>523</v>
      </c>
      <c r="E1749" s="1">
        <v>0.32777777777777778</v>
      </c>
      <c r="F1749" s="1">
        <v>0.3576388888888889</v>
      </c>
      <c r="G1749" s="9">
        <f t="shared" si="178"/>
        <v>45362</v>
      </c>
      <c r="H1749" s="11">
        <f t="shared" si="179"/>
        <v>0.7</v>
      </c>
      <c r="I1749" s="10">
        <f t="shared" si="180"/>
        <v>0.7</v>
      </c>
      <c r="J1749" s="10">
        <f t="shared" si="181"/>
        <v>7.2</v>
      </c>
      <c r="K1749" s="10">
        <f t="shared" si="183"/>
        <v>23.099999999999998</v>
      </c>
      <c r="L1749" s="10">
        <f t="shared" si="182"/>
        <v>63.300000000000004</v>
      </c>
    </row>
    <row r="1750" spans="1:12" x14ac:dyDescent="0.25">
      <c r="A1750" s="7">
        <v>45365</v>
      </c>
      <c r="B1750" t="s">
        <v>411</v>
      </c>
      <c r="C1750" s="6">
        <v>6181</v>
      </c>
      <c r="D1750" s="1" t="s">
        <v>539</v>
      </c>
      <c r="E1750" s="1">
        <v>0.3576388888888889</v>
      </c>
      <c r="F1750" s="1">
        <v>0.48472222222222222</v>
      </c>
      <c r="G1750" s="9">
        <f t="shared" si="178"/>
        <v>45362</v>
      </c>
      <c r="H1750" s="11">
        <f t="shared" si="179"/>
        <v>3.1</v>
      </c>
      <c r="I1750" s="10">
        <f t="shared" si="180"/>
        <v>3.8</v>
      </c>
      <c r="J1750" s="10">
        <f t="shared" si="181"/>
        <v>7.2</v>
      </c>
      <c r="K1750" s="10">
        <f t="shared" si="183"/>
        <v>26.200000000000003</v>
      </c>
      <c r="L1750" s="10">
        <f t="shared" si="182"/>
        <v>66.399999999999991</v>
      </c>
    </row>
    <row r="1751" spans="1:12" x14ac:dyDescent="0.25">
      <c r="A1751" s="7">
        <v>45365</v>
      </c>
      <c r="B1751" t="s">
        <v>411</v>
      </c>
      <c r="C1751" s="6">
        <v>6181</v>
      </c>
      <c r="D1751" s="1" t="s">
        <v>539</v>
      </c>
      <c r="E1751" s="1">
        <v>0.50694444444444442</v>
      </c>
      <c r="F1751" s="1">
        <v>0.54861111111111105</v>
      </c>
      <c r="G1751" s="9">
        <f t="shared" si="178"/>
        <v>45362</v>
      </c>
      <c r="H1751" s="11">
        <f t="shared" si="179"/>
        <v>1</v>
      </c>
      <c r="I1751" s="10">
        <f t="shared" si="180"/>
        <v>4.8</v>
      </c>
      <c r="J1751" s="10">
        <f t="shared" si="181"/>
        <v>7.2</v>
      </c>
      <c r="K1751" s="10">
        <f t="shared" si="183"/>
        <v>27.2</v>
      </c>
      <c r="L1751" s="10">
        <f t="shared" si="182"/>
        <v>67.400000000000006</v>
      </c>
    </row>
    <row r="1752" spans="1:12" x14ac:dyDescent="0.25">
      <c r="A1752" s="7">
        <v>45365</v>
      </c>
      <c r="B1752" t="s">
        <v>411</v>
      </c>
      <c r="C1752" s="6">
        <v>6181</v>
      </c>
      <c r="D1752" s="5" t="s">
        <v>554</v>
      </c>
      <c r="E1752" s="1">
        <v>0.54861111111111105</v>
      </c>
      <c r="F1752" s="1">
        <v>0.66666666666666663</v>
      </c>
      <c r="G1752" s="9">
        <f t="shared" si="178"/>
        <v>45362</v>
      </c>
      <c r="H1752" s="11">
        <f t="shared" si="179"/>
        <v>2.8</v>
      </c>
      <c r="I1752" s="10">
        <f t="shared" si="180"/>
        <v>7.6</v>
      </c>
      <c r="J1752" s="10">
        <f t="shared" si="181"/>
        <v>7.2</v>
      </c>
      <c r="K1752" s="10">
        <f t="shared" si="183"/>
        <v>30</v>
      </c>
      <c r="L1752" s="10">
        <f t="shared" si="182"/>
        <v>70.2</v>
      </c>
    </row>
    <row r="1753" spans="1:12" x14ac:dyDescent="0.25">
      <c r="A1753" s="7">
        <v>45366</v>
      </c>
      <c r="B1753" s="2" t="s">
        <v>551</v>
      </c>
      <c r="C1753" s="6">
        <v>2094</v>
      </c>
      <c r="D1753" s="5" t="s">
        <v>555</v>
      </c>
      <c r="E1753" s="1">
        <v>0.34375</v>
      </c>
      <c r="F1753" s="1">
        <v>0.54513888888888895</v>
      </c>
      <c r="G1753" s="9">
        <f t="shared" si="178"/>
        <v>45362</v>
      </c>
      <c r="H1753" s="11">
        <f t="shared" si="179"/>
        <v>4.8</v>
      </c>
      <c r="I1753" s="10">
        <f t="shared" si="180"/>
        <v>4.8</v>
      </c>
      <c r="J1753" s="10">
        <f t="shared" si="181"/>
        <v>7.2</v>
      </c>
      <c r="K1753" s="10">
        <f t="shared" si="183"/>
        <v>34.799999999999997</v>
      </c>
      <c r="L1753" s="10">
        <f t="shared" si="182"/>
        <v>75</v>
      </c>
    </row>
    <row r="1754" spans="1:12" x14ac:dyDescent="0.25">
      <c r="A1754" s="7">
        <v>45366</v>
      </c>
      <c r="B1754" t="s">
        <v>6</v>
      </c>
      <c r="C1754" s="6" t="s">
        <v>416</v>
      </c>
      <c r="D1754" s="5" t="s">
        <v>556</v>
      </c>
      <c r="E1754" s="1">
        <v>0.54513888888888895</v>
      </c>
      <c r="F1754" s="1">
        <v>0.58333333333333337</v>
      </c>
      <c r="G1754" s="9">
        <f t="shared" si="178"/>
        <v>45362</v>
      </c>
      <c r="H1754" s="11">
        <f t="shared" si="179"/>
        <v>0.9</v>
      </c>
      <c r="I1754" s="10">
        <f t="shared" si="180"/>
        <v>5.7</v>
      </c>
      <c r="J1754" s="10">
        <f t="shared" si="181"/>
        <v>7.2</v>
      </c>
      <c r="K1754" s="10">
        <f t="shared" si="183"/>
        <v>35.699999999999996</v>
      </c>
      <c r="L1754" s="10">
        <f t="shared" si="182"/>
        <v>75.900000000000006</v>
      </c>
    </row>
    <row r="1755" spans="1:12" x14ac:dyDescent="0.25">
      <c r="A1755" s="7">
        <v>45366</v>
      </c>
      <c r="B1755" t="s">
        <v>6</v>
      </c>
      <c r="C1755" s="6" t="s">
        <v>416</v>
      </c>
      <c r="D1755" s="1" t="s">
        <v>523</v>
      </c>
      <c r="E1755" s="1">
        <v>0.58333333333333337</v>
      </c>
      <c r="F1755" s="1">
        <v>0.62361111111111112</v>
      </c>
      <c r="G1755" s="9">
        <f t="shared" si="178"/>
        <v>45362</v>
      </c>
      <c r="H1755" s="11">
        <f t="shared" si="179"/>
        <v>1</v>
      </c>
      <c r="I1755" s="10">
        <f t="shared" si="180"/>
        <v>6.7</v>
      </c>
      <c r="J1755" s="10">
        <f t="shared" si="181"/>
        <v>7.2</v>
      </c>
      <c r="K1755" s="10">
        <f t="shared" si="183"/>
        <v>36.700000000000003</v>
      </c>
      <c r="L1755" s="10">
        <f t="shared" si="182"/>
        <v>76.900000000000006</v>
      </c>
    </row>
    <row r="1756" spans="1:12" x14ac:dyDescent="0.25">
      <c r="A1756" s="7">
        <v>45369</v>
      </c>
      <c r="B1756" t="s">
        <v>411</v>
      </c>
      <c r="C1756" s="6">
        <v>6181</v>
      </c>
      <c r="D1756" s="5" t="s">
        <v>557</v>
      </c>
      <c r="E1756" s="1">
        <v>0.3125</v>
      </c>
      <c r="F1756" s="1">
        <v>0.35416666666666669</v>
      </c>
      <c r="G1756" s="9">
        <f t="shared" si="178"/>
        <v>45369</v>
      </c>
      <c r="H1756" s="11">
        <f t="shared" si="179"/>
        <v>1</v>
      </c>
      <c r="I1756" s="10">
        <f t="shared" si="180"/>
        <v>1</v>
      </c>
      <c r="J1756" s="10">
        <f t="shared" si="181"/>
        <v>7.2</v>
      </c>
      <c r="K1756" s="10">
        <f t="shared" si="183"/>
        <v>1</v>
      </c>
      <c r="L1756" s="10">
        <f t="shared" si="182"/>
        <v>77.900000000000006</v>
      </c>
    </row>
    <row r="1757" spans="1:12" x14ac:dyDescent="0.25">
      <c r="A1757" s="7">
        <v>45369</v>
      </c>
      <c r="B1757" s="2" t="s">
        <v>551</v>
      </c>
      <c r="C1757" s="6">
        <v>2094</v>
      </c>
      <c r="D1757" s="5" t="s">
        <v>555</v>
      </c>
      <c r="E1757" s="1">
        <v>0.45277777777777778</v>
      </c>
      <c r="F1757" s="1">
        <v>0.47430555555555554</v>
      </c>
      <c r="G1757" s="9">
        <f t="shared" si="178"/>
        <v>45369</v>
      </c>
      <c r="H1757" s="11">
        <f t="shared" si="179"/>
        <v>0.5</v>
      </c>
      <c r="I1757" s="10">
        <f t="shared" si="180"/>
        <v>1.5</v>
      </c>
      <c r="J1757" s="10">
        <f t="shared" si="181"/>
        <v>7.2</v>
      </c>
      <c r="K1757" s="10">
        <f t="shared" si="183"/>
        <v>1.5</v>
      </c>
      <c r="L1757" s="10">
        <f t="shared" si="182"/>
        <v>78.400000000000006</v>
      </c>
    </row>
    <row r="1758" spans="1:12" x14ac:dyDescent="0.25">
      <c r="A1758" s="7">
        <v>45369</v>
      </c>
      <c r="B1758" t="s">
        <v>411</v>
      </c>
      <c r="C1758" s="6">
        <v>6181</v>
      </c>
      <c r="D1758" s="5" t="s">
        <v>558</v>
      </c>
      <c r="E1758" s="1">
        <v>0.4916666666666667</v>
      </c>
      <c r="F1758" s="1">
        <v>0.5395833333333333</v>
      </c>
      <c r="G1758" s="9">
        <f t="shared" si="178"/>
        <v>45369</v>
      </c>
      <c r="H1758" s="11">
        <f t="shared" si="179"/>
        <v>1.2</v>
      </c>
      <c r="I1758" s="10">
        <f t="shared" si="180"/>
        <v>2.7</v>
      </c>
      <c r="J1758" s="10">
        <f t="shared" si="181"/>
        <v>7.2</v>
      </c>
      <c r="K1758" s="10">
        <f t="shared" si="183"/>
        <v>2.7</v>
      </c>
      <c r="L1758" s="10">
        <f t="shared" si="182"/>
        <v>79.600000000000009</v>
      </c>
    </row>
    <row r="1759" spans="1:12" x14ac:dyDescent="0.25">
      <c r="A1759" s="7">
        <v>45369</v>
      </c>
      <c r="B1759" s="2" t="s">
        <v>551</v>
      </c>
      <c r="C1759" s="6">
        <v>2094</v>
      </c>
      <c r="D1759" s="5" t="s">
        <v>555</v>
      </c>
      <c r="E1759" s="1">
        <v>0.5395833333333333</v>
      </c>
      <c r="F1759" s="1">
        <v>0.64236111111111105</v>
      </c>
      <c r="G1759" s="9">
        <f t="shared" si="178"/>
        <v>45369</v>
      </c>
      <c r="H1759" s="11">
        <f t="shared" si="179"/>
        <v>2.5</v>
      </c>
      <c r="I1759" s="10">
        <f t="shared" si="180"/>
        <v>5.2</v>
      </c>
      <c r="J1759" s="10">
        <f t="shared" si="181"/>
        <v>7.2</v>
      </c>
      <c r="K1759" s="10">
        <f t="shared" si="183"/>
        <v>5.2</v>
      </c>
      <c r="L1759" s="10">
        <f t="shared" si="182"/>
        <v>82.1</v>
      </c>
    </row>
    <row r="1760" spans="1:12" x14ac:dyDescent="0.25">
      <c r="A1760" s="7">
        <v>45370</v>
      </c>
      <c r="B1760" s="2" t="s">
        <v>551</v>
      </c>
      <c r="C1760" s="6">
        <v>2094</v>
      </c>
      <c r="D1760" s="5" t="s">
        <v>555</v>
      </c>
      <c r="E1760" s="1">
        <v>0.33333333333333331</v>
      </c>
      <c r="F1760" s="1">
        <v>0.62916666666666665</v>
      </c>
      <c r="G1760" s="9">
        <f t="shared" si="178"/>
        <v>45369</v>
      </c>
      <c r="H1760" s="11">
        <f t="shared" si="179"/>
        <v>7.1</v>
      </c>
      <c r="I1760" s="10">
        <f t="shared" si="180"/>
        <v>7.1</v>
      </c>
      <c r="J1760" s="10">
        <f t="shared" si="181"/>
        <v>7.2</v>
      </c>
      <c r="K1760" s="10">
        <f t="shared" si="183"/>
        <v>12.3</v>
      </c>
      <c r="L1760" s="10">
        <f t="shared" si="182"/>
        <v>89.199999999999989</v>
      </c>
    </row>
    <row r="1761" spans="1:12" x14ac:dyDescent="0.25">
      <c r="A1761" s="7">
        <v>45371</v>
      </c>
      <c r="B1761" s="2" t="s">
        <v>551</v>
      </c>
      <c r="C1761" s="6">
        <v>2094</v>
      </c>
      <c r="D1761" s="5" t="s">
        <v>555</v>
      </c>
      <c r="E1761" s="1">
        <v>0.34652777777777777</v>
      </c>
      <c r="F1761" s="1">
        <v>0.39583333333333331</v>
      </c>
      <c r="G1761" s="9">
        <f t="shared" si="178"/>
        <v>45369</v>
      </c>
      <c r="H1761" s="11">
        <f t="shared" si="179"/>
        <v>1.2</v>
      </c>
      <c r="I1761" s="10">
        <f t="shared" si="180"/>
        <v>1.2</v>
      </c>
      <c r="J1761" s="10">
        <f t="shared" si="181"/>
        <v>7.2</v>
      </c>
      <c r="K1761" s="10">
        <f t="shared" si="183"/>
        <v>13.5</v>
      </c>
      <c r="L1761" s="10">
        <f t="shared" si="182"/>
        <v>90.4</v>
      </c>
    </row>
    <row r="1762" spans="1:12" x14ac:dyDescent="0.25">
      <c r="A1762" s="7">
        <v>45371</v>
      </c>
      <c r="B1762" t="s">
        <v>6</v>
      </c>
      <c r="C1762" s="6" t="s">
        <v>416</v>
      </c>
      <c r="D1762" s="5" t="s">
        <v>559</v>
      </c>
      <c r="E1762" s="1">
        <v>0.39583333333333331</v>
      </c>
      <c r="F1762" s="1">
        <v>0.4375</v>
      </c>
      <c r="G1762" s="9">
        <f t="shared" si="178"/>
        <v>45369</v>
      </c>
      <c r="H1762" s="11">
        <f t="shared" si="179"/>
        <v>1</v>
      </c>
      <c r="I1762" s="10">
        <f t="shared" si="180"/>
        <v>2.2000000000000002</v>
      </c>
      <c r="J1762" s="10">
        <f t="shared" si="181"/>
        <v>7.2</v>
      </c>
      <c r="K1762" s="10">
        <f t="shared" si="183"/>
        <v>14.5</v>
      </c>
      <c r="L1762" s="10">
        <f t="shared" si="182"/>
        <v>91.4</v>
      </c>
    </row>
    <row r="1763" spans="1:12" x14ac:dyDescent="0.25">
      <c r="A1763" s="7">
        <v>45371</v>
      </c>
      <c r="B1763" s="2" t="s">
        <v>551</v>
      </c>
      <c r="C1763" s="6">
        <v>2094</v>
      </c>
      <c r="D1763" s="5" t="s">
        <v>555</v>
      </c>
      <c r="E1763" s="1">
        <v>0.4375</v>
      </c>
      <c r="F1763" s="1">
        <v>0.58263888888888882</v>
      </c>
      <c r="G1763" s="9">
        <f t="shared" si="178"/>
        <v>45369</v>
      </c>
      <c r="H1763" s="11">
        <f t="shared" si="179"/>
        <v>3.5</v>
      </c>
      <c r="I1763" s="10">
        <f t="shared" si="180"/>
        <v>5.7</v>
      </c>
      <c r="J1763" s="10">
        <f t="shared" si="181"/>
        <v>7.2</v>
      </c>
      <c r="K1763" s="10">
        <f t="shared" si="183"/>
        <v>18</v>
      </c>
      <c r="L1763" s="10">
        <f t="shared" si="182"/>
        <v>94.9</v>
      </c>
    </row>
    <row r="1764" spans="1:12" x14ac:dyDescent="0.25">
      <c r="A1764" s="7">
        <v>45371</v>
      </c>
      <c r="B1764" s="2" t="s">
        <v>551</v>
      </c>
      <c r="C1764" s="6">
        <v>2094</v>
      </c>
      <c r="D1764" s="5" t="s">
        <v>555</v>
      </c>
      <c r="E1764" s="1">
        <v>0.60069444444444442</v>
      </c>
      <c r="F1764" s="1">
        <v>0.66805555555555562</v>
      </c>
      <c r="G1764" s="9">
        <f t="shared" si="178"/>
        <v>45369</v>
      </c>
      <c r="H1764" s="11">
        <f t="shared" si="179"/>
        <v>1.6</v>
      </c>
      <c r="I1764" s="10">
        <f t="shared" si="180"/>
        <v>7.3000000000000007</v>
      </c>
      <c r="J1764" s="10">
        <f t="shared" si="181"/>
        <v>7.2</v>
      </c>
      <c r="K1764" s="10">
        <f t="shared" si="183"/>
        <v>19.600000000000001</v>
      </c>
      <c r="L1764" s="10">
        <f t="shared" si="182"/>
        <v>96.5</v>
      </c>
    </row>
    <row r="1765" spans="1:12" x14ac:dyDescent="0.25">
      <c r="A1765" s="7">
        <v>45372</v>
      </c>
      <c r="B1765" s="2" t="s">
        <v>551</v>
      </c>
      <c r="C1765" s="6">
        <v>2094</v>
      </c>
      <c r="D1765" s="5" t="s">
        <v>555</v>
      </c>
      <c r="E1765" s="1">
        <v>0.3347222222222222</v>
      </c>
      <c r="F1765" s="1">
        <v>0.41736111111111113</v>
      </c>
      <c r="G1765" s="9">
        <f t="shared" si="178"/>
        <v>45369</v>
      </c>
      <c r="H1765" s="11">
        <f t="shared" si="179"/>
        <v>2</v>
      </c>
      <c r="I1765" s="10">
        <f t="shared" si="180"/>
        <v>2</v>
      </c>
      <c r="J1765" s="10">
        <f t="shared" si="181"/>
        <v>7.2</v>
      </c>
      <c r="K1765" s="10">
        <f t="shared" si="183"/>
        <v>21.6</v>
      </c>
      <c r="L1765" s="10">
        <f t="shared" si="182"/>
        <v>98.5</v>
      </c>
    </row>
    <row r="1766" spans="1:12" x14ac:dyDescent="0.25">
      <c r="A1766" s="7">
        <v>45372</v>
      </c>
      <c r="B1766" t="s">
        <v>6</v>
      </c>
      <c r="C1766" s="6" t="s">
        <v>416</v>
      </c>
      <c r="D1766" s="5" t="s">
        <v>560</v>
      </c>
      <c r="E1766" s="1">
        <v>0.41736111111111113</v>
      </c>
      <c r="F1766" s="1">
        <v>0.42986111111111108</v>
      </c>
      <c r="G1766" s="9">
        <f t="shared" si="178"/>
        <v>45369</v>
      </c>
      <c r="H1766" s="11">
        <f t="shared" si="179"/>
        <v>0.3</v>
      </c>
      <c r="I1766" s="10">
        <f t="shared" si="180"/>
        <v>2.2999999999999998</v>
      </c>
      <c r="J1766" s="10">
        <f t="shared" si="181"/>
        <v>7.2</v>
      </c>
      <c r="K1766" s="10">
        <f t="shared" si="183"/>
        <v>21.900000000000002</v>
      </c>
      <c r="L1766" s="10">
        <f t="shared" si="182"/>
        <v>98.8</v>
      </c>
    </row>
    <row r="1767" spans="1:12" x14ac:dyDescent="0.25">
      <c r="A1767" s="7">
        <v>45372</v>
      </c>
      <c r="B1767" t="s">
        <v>6</v>
      </c>
      <c r="C1767" s="6" t="s">
        <v>416</v>
      </c>
      <c r="D1767" s="5" t="s">
        <v>561</v>
      </c>
      <c r="E1767" s="1">
        <v>0.42986111111111108</v>
      </c>
      <c r="F1767" s="1">
        <v>0.51388888888888895</v>
      </c>
      <c r="G1767" s="9">
        <f t="shared" si="178"/>
        <v>45369</v>
      </c>
      <c r="H1767" s="11">
        <f t="shared" si="179"/>
        <v>2</v>
      </c>
      <c r="I1767" s="10">
        <f t="shared" si="180"/>
        <v>4.3</v>
      </c>
      <c r="J1767" s="10">
        <f t="shared" si="181"/>
        <v>7.2</v>
      </c>
      <c r="K1767" s="10">
        <f t="shared" si="183"/>
        <v>23.9</v>
      </c>
      <c r="L1767" s="10">
        <f t="shared" si="182"/>
        <v>100.8</v>
      </c>
    </row>
    <row r="1768" spans="1:12" x14ac:dyDescent="0.25">
      <c r="A1768" s="7">
        <v>45373</v>
      </c>
      <c r="B1768" t="s">
        <v>7</v>
      </c>
      <c r="C1768" s="6" t="s">
        <v>22</v>
      </c>
      <c r="D1768" t="s">
        <v>515</v>
      </c>
      <c r="E1768" s="1">
        <v>0.40972222222222227</v>
      </c>
      <c r="F1768" s="1">
        <v>0.70833333333333337</v>
      </c>
      <c r="G1768" s="9">
        <f t="shared" si="178"/>
        <v>45369</v>
      </c>
      <c r="H1768" s="11">
        <f t="shared" si="179"/>
        <v>7.2</v>
      </c>
      <c r="I1768" s="10">
        <f t="shared" si="180"/>
        <v>7.2</v>
      </c>
      <c r="J1768" s="10">
        <f t="shared" si="181"/>
        <v>7.2</v>
      </c>
      <c r="K1768" s="10">
        <f t="shared" si="183"/>
        <v>31.099999999999998</v>
      </c>
      <c r="L1768" s="10">
        <f t="shared" si="182"/>
        <v>108</v>
      </c>
    </row>
    <row r="1769" spans="1:12" x14ac:dyDescent="0.25">
      <c r="A1769" s="7">
        <v>45376</v>
      </c>
      <c r="B1769" t="s">
        <v>7</v>
      </c>
      <c r="C1769" s="6" t="s">
        <v>22</v>
      </c>
      <c r="D1769" t="s">
        <v>515</v>
      </c>
      <c r="E1769" s="1">
        <v>0.40972222222222227</v>
      </c>
      <c r="F1769" s="1">
        <v>0.70833333333333337</v>
      </c>
      <c r="G1769" s="9">
        <f t="shared" si="178"/>
        <v>45376</v>
      </c>
      <c r="H1769" s="11">
        <f t="shared" si="179"/>
        <v>7.2</v>
      </c>
      <c r="I1769" s="10">
        <f t="shared" si="180"/>
        <v>7.2</v>
      </c>
      <c r="J1769" s="10">
        <f t="shared" si="181"/>
        <v>7.2</v>
      </c>
      <c r="K1769" s="10">
        <f t="shared" si="183"/>
        <v>7.2</v>
      </c>
      <c r="L1769" s="10">
        <f t="shared" si="182"/>
        <v>115.2</v>
      </c>
    </row>
    <row r="1770" spans="1:12" x14ac:dyDescent="0.25">
      <c r="A1770" s="7">
        <v>45377</v>
      </c>
      <c r="B1770" t="s">
        <v>7</v>
      </c>
      <c r="C1770" s="6" t="s">
        <v>22</v>
      </c>
      <c r="D1770" t="s">
        <v>515</v>
      </c>
      <c r="E1770" s="1">
        <v>0.40972222222222227</v>
      </c>
      <c r="F1770" s="1">
        <v>0.70833333333333337</v>
      </c>
      <c r="G1770" s="9">
        <f t="shared" si="178"/>
        <v>45376</v>
      </c>
      <c r="H1770" s="11">
        <f t="shared" si="179"/>
        <v>7.2</v>
      </c>
      <c r="I1770" s="10">
        <f t="shared" si="180"/>
        <v>7.2</v>
      </c>
      <c r="J1770" s="10">
        <f t="shared" si="181"/>
        <v>7.2</v>
      </c>
      <c r="K1770" s="10">
        <f t="shared" si="183"/>
        <v>14.4</v>
      </c>
      <c r="L1770" s="10">
        <f t="shared" si="182"/>
        <v>122.4</v>
      </c>
    </row>
    <row r="1771" spans="1:12" x14ac:dyDescent="0.25">
      <c r="A1771" s="7">
        <v>45378</v>
      </c>
      <c r="B1771" t="s">
        <v>6</v>
      </c>
      <c r="C1771" s="6" t="s">
        <v>416</v>
      </c>
      <c r="D1771" s="5" t="s">
        <v>104</v>
      </c>
      <c r="E1771" s="1">
        <v>0.34791666666666665</v>
      </c>
      <c r="F1771" s="1">
        <v>0.45833333333333331</v>
      </c>
      <c r="G1771" s="9">
        <f t="shared" si="178"/>
        <v>45376</v>
      </c>
      <c r="H1771" s="11">
        <f t="shared" si="179"/>
        <v>2.7</v>
      </c>
      <c r="I1771" s="10">
        <f t="shared" si="180"/>
        <v>2.7</v>
      </c>
      <c r="J1771" s="10">
        <f t="shared" si="181"/>
        <v>7.2</v>
      </c>
      <c r="K1771" s="10">
        <f t="shared" si="183"/>
        <v>17.100000000000001</v>
      </c>
      <c r="L1771" s="10">
        <f t="shared" si="182"/>
        <v>125.10000000000001</v>
      </c>
    </row>
    <row r="1772" spans="1:12" x14ac:dyDescent="0.25">
      <c r="A1772" s="7">
        <v>45378</v>
      </c>
      <c r="B1772" t="s">
        <v>411</v>
      </c>
      <c r="C1772" s="6">
        <v>6181</v>
      </c>
      <c r="D1772" s="5" t="s">
        <v>44</v>
      </c>
      <c r="E1772" s="1">
        <v>0.45833333333333331</v>
      </c>
      <c r="F1772" s="1">
        <v>0.49374999999999997</v>
      </c>
      <c r="G1772" s="9">
        <f t="shared" si="178"/>
        <v>45376</v>
      </c>
      <c r="H1772" s="11">
        <f t="shared" si="179"/>
        <v>0.9</v>
      </c>
      <c r="I1772" s="10">
        <f t="shared" si="180"/>
        <v>3.6</v>
      </c>
      <c r="J1772" s="10">
        <f t="shared" si="181"/>
        <v>7.2</v>
      </c>
      <c r="K1772" s="10">
        <f t="shared" si="183"/>
        <v>18</v>
      </c>
      <c r="L1772" s="10">
        <f t="shared" si="182"/>
        <v>126</v>
      </c>
    </row>
    <row r="1773" spans="1:12" x14ac:dyDescent="0.25">
      <c r="A1773" s="7">
        <v>45378</v>
      </c>
      <c r="B1773" t="s">
        <v>6</v>
      </c>
      <c r="C1773" s="6" t="s">
        <v>416</v>
      </c>
      <c r="D1773" s="5" t="s">
        <v>562</v>
      </c>
      <c r="E1773" s="1">
        <v>0.52013888888888882</v>
      </c>
      <c r="F1773" s="1">
        <v>0.57638888888888895</v>
      </c>
      <c r="G1773" s="9">
        <f t="shared" ref="G1773:G1836" si="184">IF(E1773&gt;0,INT((A1773-2)/7)*7+2,"")</f>
        <v>45376</v>
      </c>
      <c r="H1773" s="11">
        <f t="shared" ref="H1773:H1836" si="185">IF(E1773&gt;0,ROUND(24*(IF(F1773&gt;0,F1773,NowTime)-E1773),1),"")</f>
        <v>1.4</v>
      </c>
      <c r="I1773" s="10">
        <f t="shared" ref="I1773:I1836" si="186">IF(H1773="",H1773,H1773+IF(A1773=A1772,_xlfn.NUMBERVALUE(I1772),0))</f>
        <v>5</v>
      </c>
      <c r="J1773" s="10">
        <f t="shared" ref="J1773:J1836" si="187">IF(H1773="",H1773,7.2)</f>
        <v>7.2</v>
      </c>
      <c r="K1773" s="10">
        <f t="shared" si="183"/>
        <v>19.399999999999999</v>
      </c>
      <c r="L1773" s="10">
        <f t="shared" ref="L1773:L1836" si="188">IF(H1773="",H1773,H1773+IF(MONTH(A1773)=MONTH(A1772),_xlfn.NUMBERVALUE(L1772),0))</f>
        <v>127.4</v>
      </c>
    </row>
    <row r="1774" spans="1:12" x14ac:dyDescent="0.25">
      <c r="A1774" s="7">
        <v>45378</v>
      </c>
      <c r="B1774" t="s">
        <v>6</v>
      </c>
      <c r="C1774" s="6" t="s">
        <v>416</v>
      </c>
      <c r="D1774" s="5" t="s">
        <v>562</v>
      </c>
      <c r="E1774" s="1">
        <v>0.58333333333333337</v>
      </c>
      <c r="F1774" s="1">
        <v>0.62916666666666665</v>
      </c>
      <c r="G1774" s="9">
        <f t="shared" si="184"/>
        <v>45376</v>
      </c>
      <c r="H1774" s="11">
        <f t="shared" si="185"/>
        <v>1.1000000000000001</v>
      </c>
      <c r="I1774" s="10">
        <f t="shared" si="186"/>
        <v>6.1</v>
      </c>
      <c r="J1774" s="10">
        <f t="shared" si="187"/>
        <v>7.2</v>
      </c>
      <c r="K1774" s="10">
        <f t="shared" si="183"/>
        <v>20.5</v>
      </c>
      <c r="L1774" s="10">
        <f t="shared" si="188"/>
        <v>128.5</v>
      </c>
    </row>
    <row r="1775" spans="1:12" x14ac:dyDescent="0.25">
      <c r="A1775" s="7">
        <v>45379</v>
      </c>
      <c r="B1775" t="s">
        <v>6</v>
      </c>
      <c r="C1775" s="6" t="s">
        <v>416</v>
      </c>
      <c r="D1775" s="5" t="s">
        <v>562</v>
      </c>
      <c r="E1775" s="1">
        <v>0.3756944444444445</v>
      </c>
      <c r="F1775" s="1">
        <v>0.47847222222222219</v>
      </c>
      <c r="G1775" s="9">
        <f t="shared" si="184"/>
        <v>45376</v>
      </c>
      <c r="H1775" s="11">
        <f t="shared" si="185"/>
        <v>2.5</v>
      </c>
      <c r="I1775" s="10">
        <f t="shared" si="186"/>
        <v>2.5</v>
      </c>
      <c r="J1775" s="10">
        <f t="shared" si="187"/>
        <v>7.2</v>
      </c>
      <c r="K1775" s="10">
        <f t="shared" si="183"/>
        <v>23</v>
      </c>
      <c r="L1775" s="10">
        <f t="shared" si="188"/>
        <v>131</v>
      </c>
    </row>
    <row r="1776" spans="1:12" x14ac:dyDescent="0.25">
      <c r="A1776" s="7">
        <v>45379</v>
      </c>
      <c r="B1776" t="s">
        <v>411</v>
      </c>
      <c r="C1776" s="6">
        <v>6181</v>
      </c>
      <c r="D1776" s="5" t="s">
        <v>563</v>
      </c>
      <c r="E1776" s="1">
        <v>0.47847222222222219</v>
      </c>
      <c r="F1776" s="1">
        <v>0.52083333333333337</v>
      </c>
      <c r="G1776" s="9">
        <f t="shared" si="184"/>
        <v>45376</v>
      </c>
      <c r="H1776" s="11">
        <f t="shared" si="185"/>
        <v>1</v>
      </c>
      <c r="I1776" s="10">
        <f t="shared" si="186"/>
        <v>3.5</v>
      </c>
      <c r="J1776" s="10">
        <f t="shared" si="187"/>
        <v>7.2</v>
      </c>
      <c r="K1776" s="10">
        <f t="shared" si="183"/>
        <v>24</v>
      </c>
      <c r="L1776" s="10">
        <f t="shared" si="188"/>
        <v>132</v>
      </c>
    </row>
    <row r="1777" spans="1:12" x14ac:dyDescent="0.25">
      <c r="A1777" s="7">
        <v>45379</v>
      </c>
      <c r="B1777" s="2" t="s">
        <v>464</v>
      </c>
      <c r="C1777" s="6">
        <v>2431</v>
      </c>
      <c r="D1777" s="5" t="s">
        <v>564</v>
      </c>
      <c r="E1777" s="1">
        <v>0.52083333333333337</v>
      </c>
      <c r="F1777" s="1">
        <v>0.54166666666666663</v>
      </c>
      <c r="G1777" s="9">
        <f t="shared" si="184"/>
        <v>45376</v>
      </c>
      <c r="H1777" s="11">
        <f t="shared" si="185"/>
        <v>0.5</v>
      </c>
      <c r="I1777" s="10">
        <f t="shared" si="186"/>
        <v>4</v>
      </c>
      <c r="J1777" s="10">
        <f t="shared" si="187"/>
        <v>7.2</v>
      </c>
      <c r="K1777" s="10">
        <f t="shared" si="183"/>
        <v>24.5</v>
      </c>
      <c r="L1777" s="10">
        <f t="shared" si="188"/>
        <v>132.5</v>
      </c>
    </row>
    <row r="1778" spans="1:12" x14ac:dyDescent="0.25">
      <c r="A1778" s="7">
        <v>45379</v>
      </c>
      <c r="B1778" t="s">
        <v>411</v>
      </c>
      <c r="C1778" s="6">
        <v>6181</v>
      </c>
      <c r="D1778" s="5" t="s">
        <v>563</v>
      </c>
      <c r="E1778" s="1">
        <v>0.54166666666666663</v>
      </c>
      <c r="F1778" s="1">
        <v>0.60277777777777775</v>
      </c>
      <c r="G1778" s="9">
        <f t="shared" si="184"/>
        <v>45376</v>
      </c>
      <c r="H1778" s="11">
        <f t="shared" si="185"/>
        <v>1.5</v>
      </c>
      <c r="I1778" s="10">
        <f t="shared" si="186"/>
        <v>5.5</v>
      </c>
      <c r="J1778" s="10">
        <f t="shared" si="187"/>
        <v>7.2</v>
      </c>
      <c r="K1778" s="10">
        <f t="shared" si="183"/>
        <v>26</v>
      </c>
      <c r="L1778" s="10">
        <f t="shared" si="188"/>
        <v>134</v>
      </c>
    </row>
    <row r="1779" spans="1:12" x14ac:dyDescent="0.25">
      <c r="A1779" s="7">
        <v>45380</v>
      </c>
      <c r="B1779" t="s">
        <v>7</v>
      </c>
      <c r="C1779" s="6" t="s">
        <v>22</v>
      </c>
      <c r="D1779" s="2" t="s">
        <v>565</v>
      </c>
      <c r="E1779" s="1">
        <v>0.40972222222222227</v>
      </c>
      <c r="F1779" s="1">
        <v>0.70833333333333337</v>
      </c>
      <c r="G1779" s="9">
        <f t="shared" si="184"/>
        <v>45376</v>
      </c>
      <c r="H1779" s="11">
        <f t="shared" si="185"/>
        <v>7.2</v>
      </c>
      <c r="I1779" s="10">
        <f t="shared" si="186"/>
        <v>7.2</v>
      </c>
      <c r="J1779" s="10">
        <f t="shared" si="187"/>
        <v>7.2</v>
      </c>
      <c r="K1779" s="10">
        <f t="shared" si="183"/>
        <v>33.200000000000003</v>
      </c>
      <c r="L1779" s="10">
        <f t="shared" si="188"/>
        <v>141.19999999999999</v>
      </c>
    </row>
    <row r="1780" spans="1:12" x14ac:dyDescent="0.25">
      <c r="A1780" s="7">
        <v>45383</v>
      </c>
      <c r="B1780" t="s">
        <v>7</v>
      </c>
      <c r="C1780" s="6" t="s">
        <v>22</v>
      </c>
      <c r="D1780" s="2" t="s">
        <v>565</v>
      </c>
      <c r="E1780" s="1">
        <v>0.40972222222222227</v>
      </c>
      <c r="F1780" s="1">
        <v>0.70833333333333337</v>
      </c>
      <c r="G1780" s="9">
        <f t="shared" si="184"/>
        <v>45383</v>
      </c>
      <c r="H1780" s="11">
        <f t="shared" si="185"/>
        <v>7.2</v>
      </c>
      <c r="I1780" s="10">
        <f t="shared" si="186"/>
        <v>7.2</v>
      </c>
      <c r="J1780" s="10">
        <f t="shared" si="187"/>
        <v>7.2</v>
      </c>
      <c r="K1780" s="10">
        <f t="shared" si="183"/>
        <v>7.2</v>
      </c>
      <c r="L1780" s="10">
        <f t="shared" si="188"/>
        <v>7.2</v>
      </c>
    </row>
    <row r="1781" spans="1:12" x14ac:dyDescent="0.25">
      <c r="A1781" s="7">
        <v>45384</v>
      </c>
      <c r="B1781" t="s">
        <v>6</v>
      </c>
      <c r="C1781" s="6" t="s">
        <v>416</v>
      </c>
      <c r="D1781" s="5" t="s">
        <v>566</v>
      </c>
      <c r="E1781" s="1">
        <v>0.3354166666666667</v>
      </c>
      <c r="F1781" s="1">
        <v>0.43194444444444446</v>
      </c>
      <c r="G1781" s="9">
        <f t="shared" si="184"/>
        <v>45383</v>
      </c>
      <c r="H1781" s="11">
        <f t="shared" si="185"/>
        <v>2.2999999999999998</v>
      </c>
      <c r="I1781" s="10">
        <f t="shared" si="186"/>
        <v>2.2999999999999998</v>
      </c>
      <c r="J1781" s="10">
        <f t="shared" si="187"/>
        <v>7.2</v>
      </c>
      <c r="K1781" s="10">
        <f t="shared" si="183"/>
        <v>9.5</v>
      </c>
      <c r="L1781" s="10">
        <f t="shared" si="188"/>
        <v>9.5</v>
      </c>
    </row>
    <row r="1782" spans="1:12" x14ac:dyDescent="0.25">
      <c r="A1782" s="7">
        <v>45384</v>
      </c>
      <c r="B1782" s="2" t="s">
        <v>551</v>
      </c>
      <c r="C1782" s="6">
        <v>2094</v>
      </c>
      <c r="D1782" s="5" t="s">
        <v>552</v>
      </c>
      <c r="E1782" s="1">
        <v>0.43194444444444446</v>
      </c>
      <c r="F1782" s="1">
        <v>0.46388888888888885</v>
      </c>
      <c r="G1782" s="9">
        <f t="shared" si="184"/>
        <v>45383</v>
      </c>
      <c r="H1782" s="11">
        <f t="shared" si="185"/>
        <v>0.8</v>
      </c>
      <c r="I1782" s="10">
        <f t="shared" si="186"/>
        <v>3.0999999999999996</v>
      </c>
      <c r="J1782" s="10">
        <f t="shared" si="187"/>
        <v>7.2</v>
      </c>
      <c r="K1782" s="10">
        <f t="shared" si="183"/>
        <v>10.3</v>
      </c>
      <c r="L1782" s="10">
        <f t="shared" si="188"/>
        <v>10.3</v>
      </c>
    </row>
    <row r="1783" spans="1:12" x14ac:dyDescent="0.25">
      <c r="A1783" s="7">
        <v>45384</v>
      </c>
      <c r="B1783" t="s">
        <v>411</v>
      </c>
      <c r="C1783" s="6">
        <v>6181</v>
      </c>
      <c r="D1783" s="1" t="s">
        <v>539</v>
      </c>
      <c r="E1783" s="1">
        <v>0.4861111111111111</v>
      </c>
      <c r="F1783" s="1">
        <v>0.6381944444444444</v>
      </c>
      <c r="G1783" s="9">
        <f t="shared" si="184"/>
        <v>45383</v>
      </c>
      <c r="H1783" s="11">
        <f t="shared" si="185"/>
        <v>3.7</v>
      </c>
      <c r="I1783" s="10">
        <f t="shared" si="186"/>
        <v>6.8000000000000007</v>
      </c>
      <c r="J1783" s="10">
        <f t="shared" si="187"/>
        <v>7.2</v>
      </c>
      <c r="K1783" s="10">
        <f t="shared" si="183"/>
        <v>14</v>
      </c>
      <c r="L1783" s="10">
        <f t="shared" si="188"/>
        <v>14</v>
      </c>
    </row>
    <row r="1784" spans="1:12" x14ac:dyDescent="0.25">
      <c r="A1784" s="7">
        <v>45385</v>
      </c>
      <c r="B1784" t="s">
        <v>411</v>
      </c>
      <c r="C1784" s="6">
        <v>6181</v>
      </c>
      <c r="D1784" s="1" t="s">
        <v>539</v>
      </c>
      <c r="E1784" s="1">
        <v>0.36736111111111108</v>
      </c>
      <c r="F1784" s="1">
        <v>0.41666666666666669</v>
      </c>
      <c r="G1784" s="9">
        <f t="shared" si="184"/>
        <v>45383</v>
      </c>
      <c r="H1784" s="11">
        <f t="shared" si="185"/>
        <v>1.2</v>
      </c>
      <c r="I1784" s="10">
        <f t="shared" si="186"/>
        <v>1.2</v>
      </c>
      <c r="J1784" s="10">
        <f t="shared" si="187"/>
        <v>7.2</v>
      </c>
      <c r="K1784" s="10">
        <f t="shared" si="183"/>
        <v>15.2</v>
      </c>
      <c r="L1784" s="10">
        <f t="shared" si="188"/>
        <v>15.2</v>
      </c>
    </row>
    <row r="1785" spans="1:12" x14ac:dyDescent="0.25">
      <c r="A1785" s="7">
        <v>45385</v>
      </c>
      <c r="B1785" t="s">
        <v>6</v>
      </c>
      <c r="C1785" s="6" t="s">
        <v>416</v>
      </c>
      <c r="D1785" s="5" t="s">
        <v>135</v>
      </c>
      <c r="E1785" s="1">
        <v>0.41666666666666669</v>
      </c>
      <c r="F1785" s="1">
        <v>0.45069444444444445</v>
      </c>
      <c r="G1785" s="9">
        <f t="shared" si="184"/>
        <v>45383</v>
      </c>
      <c r="H1785" s="11">
        <f t="shared" si="185"/>
        <v>0.8</v>
      </c>
      <c r="I1785" s="10">
        <f t="shared" si="186"/>
        <v>2</v>
      </c>
      <c r="J1785" s="10">
        <f t="shared" si="187"/>
        <v>7.2</v>
      </c>
      <c r="K1785" s="10">
        <f t="shared" si="183"/>
        <v>16</v>
      </c>
      <c r="L1785" s="10">
        <f t="shared" si="188"/>
        <v>16</v>
      </c>
    </row>
    <row r="1786" spans="1:12" x14ac:dyDescent="0.25">
      <c r="A1786" s="7">
        <v>45385</v>
      </c>
      <c r="B1786" t="s">
        <v>411</v>
      </c>
      <c r="C1786" s="6">
        <v>6181</v>
      </c>
      <c r="D1786" s="1" t="s">
        <v>539</v>
      </c>
      <c r="E1786" s="1">
        <v>0.45069444444444445</v>
      </c>
      <c r="F1786" s="1">
        <v>0.64513888888888882</v>
      </c>
      <c r="G1786" s="9">
        <f t="shared" si="184"/>
        <v>45383</v>
      </c>
      <c r="H1786" s="11">
        <f t="shared" si="185"/>
        <v>4.7</v>
      </c>
      <c r="I1786" s="10">
        <f t="shared" si="186"/>
        <v>6.7</v>
      </c>
      <c r="J1786" s="10">
        <f t="shared" si="187"/>
        <v>7.2</v>
      </c>
      <c r="K1786" s="10">
        <f t="shared" si="183"/>
        <v>20.7</v>
      </c>
      <c r="L1786" s="10">
        <f t="shared" si="188"/>
        <v>20.7</v>
      </c>
    </row>
    <row r="1787" spans="1:12" x14ac:dyDescent="0.25">
      <c r="A1787" s="7">
        <v>45386</v>
      </c>
      <c r="B1787" t="s">
        <v>411</v>
      </c>
      <c r="C1787" s="6">
        <v>6181</v>
      </c>
      <c r="D1787" s="5" t="s">
        <v>567</v>
      </c>
      <c r="E1787" s="1">
        <v>0.34166666666666662</v>
      </c>
      <c r="F1787" s="1">
        <v>0.41666666666666669</v>
      </c>
      <c r="G1787" s="9">
        <f t="shared" si="184"/>
        <v>45383</v>
      </c>
      <c r="H1787" s="11">
        <f t="shared" si="185"/>
        <v>1.8</v>
      </c>
      <c r="I1787" s="10">
        <f t="shared" si="186"/>
        <v>1.8</v>
      </c>
      <c r="J1787" s="10">
        <f t="shared" si="187"/>
        <v>7.2</v>
      </c>
      <c r="K1787" s="10">
        <f t="shared" si="183"/>
        <v>22.5</v>
      </c>
      <c r="L1787" s="10">
        <f t="shared" si="188"/>
        <v>22.5</v>
      </c>
    </row>
    <row r="1788" spans="1:12" x14ac:dyDescent="0.25">
      <c r="A1788" s="7">
        <v>45386</v>
      </c>
      <c r="B1788" t="s">
        <v>6</v>
      </c>
      <c r="C1788" s="6" t="s">
        <v>416</v>
      </c>
      <c r="D1788" s="5" t="s">
        <v>561</v>
      </c>
      <c r="E1788" s="1">
        <v>0.41666666666666669</v>
      </c>
      <c r="F1788" s="1">
        <v>0.46736111111111112</v>
      </c>
      <c r="G1788" s="9">
        <f t="shared" si="184"/>
        <v>45383</v>
      </c>
      <c r="H1788" s="11">
        <f t="shared" si="185"/>
        <v>1.2</v>
      </c>
      <c r="I1788" s="10">
        <f t="shared" si="186"/>
        <v>3</v>
      </c>
      <c r="J1788" s="10">
        <f t="shared" si="187"/>
        <v>7.2</v>
      </c>
      <c r="K1788" s="10">
        <f t="shared" si="183"/>
        <v>23.7</v>
      </c>
      <c r="L1788" s="10">
        <f t="shared" si="188"/>
        <v>23.7</v>
      </c>
    </row>
    <row r="1789" spans="1:12" x14ac:dyDescent="0.25">
      <c r="A1789" s="7">
        <v>45386</v>
      </c>
      <c r="B1789" s="2" t="s">
        <v>551</v>
      </c>
      <c r="C1789" s="6">
        <v>2094</v>
      </c>
      <c r="D1789" s="5" t="s">
        <v>466</v>
      </c>
      <c r="E1789" s="1">
        <v>0.46736111111111112</v>
      </c>
      <c r="F1789" s="1">
        <v>0.48888888888888887</v>
      </c>
      <c r="G1789" s="9">
        <f t="shared" si="184"/>
        <v>45383</v>
      </c>
      <c r="H1789" s="11">
        <f t="shared" si="185"/>
        <v>0.5</v>
      </c>
      <c r="I1789" s="10">
        <f t="shared" si="186"/>
        <v>3.5</v>
      </c>
      <c r="J1789" s="10">
        <f t="shared" si="187"/>
        <v>7.2</v>
      </c>
      <c r="K1789" s="10">
        <f t="shared" si="183"/>
        <v>24.2</v>
      </c>
      <c r="L1789" s="10">
        <f t="shared" si="188"/>
        <v>24.2</v>
      </c>
    </row>
    <row r="1790" spans="1:12" x14ac:dyDescent="0.25">
      <c r="A1790" s="7">
        <v>45386</v>
      </c>
      <c r="B1790" s="2" t="s">
        <v>551</v>
      </c>
      <c r="C1790" s="6">
        <v>2094</v>
      </c>
      <c r="D1790" s="5" t="s">
        <v>466</v>
      </c>
      <c r="E1790" s="1">
        <v>0.50138888888888888</v>
      </c>
      <c r="F1790" s="1">
        <v>0.5625</v>
      </c>
      <c r="G1790" s="9">
        <f t="shared" si="184"/>
        <v>45383</v>
      </c>
      <c r="H1790" s="11">
        <f t="shared" si="185"/>
        <v>1.5</v>
      </c>
      <c r="I1790" s="10">
        <f t="shared" si="186"/>
        <v>5</v>
      </c>
      <c r="J1790" s="10">
        <f t="shared" si="187"/>
        <v>7.2</v>
      </c>
      <c r="K1790" s="10">
        <f t="shared" si="183"/>
        <v>25.7</v>
      </c>
      <c r="L1790" s="10">
        <f t="shared" si="188"/>
        <v>25.7</v>
      </c>
    </row>
    <row r="1791" spans="1:12" x14ac:dyDescent="0.25">
      <c r="A1791" s="7">
        <v>45386</v>
      </c>
      <c r="B1791" s="2" t="s">
        <v>311</v>
      </c>
      <c r="C1791" s="6">
        <v>2008</v>
      </c>
      <c r="D1791" s="1" t="s">
        <v>44</v>
      </c>
      <c r="E1791" s="1">
        <v>0.5625</v>
      </c>
      <c r="F1791" s="1">
        <v>0.60763888888888895</v>
      </c>
      <c r="G1791" s="9">
        <f t="shared" si="184"/>
        <v>45383</v>
      </c>
      <c r="H1791" s="11">
        <f t="shared" si="185"/>
        <v>1.1000000000000001</v>
      </c>
      <c r="I1791" s="10">
        <f t="shared" si="186"/>
        <v>6.1</v>
      </c>
      <c r="J1791" s="10">
        <f t="shared" si="187"/>
        <v>7.2</v>
      </c>
      <c r="K1791" s="10">
        <f t="shared" si="183"/>
        <v>26.8</v>
      </c>
      <c r="L1791" s="10">
        <f t="shared" si="188"/>
        <v>26.8</v>
      </c>
    </row>
    <row r="1792" spans="1:12" x14ac:dyDescent="0.25">
      <c r="A1792" s="7">
        <v>45386</v>
      </c>
      <c r="B1792" s="2" t="s">
        <v>551</v>
      </c>
      <c r="C1792" s="6">
        <v>2094</v>
      </c>
      <c r="D1792" s="5" t="s">
        <v>466</v>
      </c>
      <c r="E1792" s="1">
        <v>0.60763888888888895</v>
      </c>
      <c r="F1792" s="1">
        <v>0.66388888888888886</v>
      </c>
      <c r="G1792" s="9">
        <f t="shared" si="184"/>
        <v>45383</v>
      </c>
      <c r="H1792" s="11">
        <f t="shared" si="185"/>
        <v>1.4</v>
      </c>
      <c r="I1792" s="10">
        <f t="shared" si="186"/>
        <v>7.5</v>
      </c>
      <c r="J1792" s="10">
        <f t="shared" si="187"/>
        <v>7.2</v>
      </c>
      <c r="K1792" s="10">
        <f t="shared" si="183"/>
        <v>28.2</v>
      </c>
      <c r="L1792" s="10">
        <f t="shared" si="188"/>
        <v>28.2</v>
      </c>
    </row>
    <row r="1793" spans="1:12" x14ac:dyDescent="0.25">
      <c r="A1793" s="7">
        <v>45387</v>
      </c>
      <c r="B1793" s="2" t="s">
        <v>6</v>
      </c>
      <c r="C1793" s="6" t="s">
        <v>416</v>
      </c>
      <c r="D1793" s="5" t="s">
        <v>568</v>
      </c>
      <c r="E1793" s="1">
        <v>0.32847222222222222</v>
      </c>
      <c r="F1793" s="1">
        <v>0.39583333333333331</v>
      </c>
      <c r="G1793" s="9">
        <f t="shared" si="184"/>
        <v>45383</v>
      </c>
      <c r="H1793" s="11">
        <f t="shared" si="185"/>
        <v>1.6</v>
      </c>
      <c r="I1793" s="10">
        <f t="shared" si="186"/>
        <v>1.6</v>
      </c>
      <c r="J1793" s="10">
        <f t="shared" si="187"/>
        <v>7.2</v>
      </c>
      <c r="K1793" s="10">
        <f t="shared" si="183"/>
        <v>29.8</v>
      </c>
      <c r="L1793" s="10">
        <f t="shared" si="188"/>
        <v>29.8</v>
      </c>
    </row>
    <row r="1794" spans="1:12" x14ac:dyDescent="0.25">
      <c r="A1794" s="7">
        <v>45387</v>
      </c>
      <c r="B1794" t="s">
        <v>6</v>
      </c>
      <c r="C1794" s="6" t="s">
        <v>416</v>
      </c>
      <c r="D1794" s="5" t="s">
        <v>512</v>
      </c>
      <c r="E1794" s="1">
        <v>0.39583333333333331</v>
      </c>
      <c r="F1794" s="1">
        <v>0.41597222222222219</v>
      </c>
      <c r="G1794" s="9">
        <f t="shared" si="184"/>
        <v>45383</v>
      </c>
      <c r="H1794" s="11">
        <f t="shared" si="185"/>
        <v>0.5</v>
      </c>
      <c r="I1794" s="10">
        <f t="shared" si="186"/>
        <v>2.1</v>
      </c>
      <c r="J1794" s="10">
        <f t="shared" si="187"/>
        <v>7.2</v>
      </c>
      <c r="K1794" s="10">
        <f t="shared" si="183"/>
        <v>30.3</v>
      </c>
      <c r="L1794" s="10">
        <f t="shared" si="188"/>
        <v>30.3</v>
      </c>
    </row>
    <row r="1795" spans="1:12" x14ac:dyDescent="0.25">
      <c r="A1795" s="7">
        <v>45387</v>
      </c>
      <c r="B1795" t="s">
        <v>6</v>
      </c>
      <c r="C1795" s="6" t="s">
        <v>416</v>
      </c>
      <c r="D1795" s="5" t="s">
        <v>568</v>
      </c>
      <c r="E1795" s="1">
        <v>0.41597222222222219</v>
      </c>
      <c r="F1795" s="1">
        <v>0.49791666666666662</v>
      </c>
      <c r="G1795" s="9">
        <f t="shared" si="184"/>
        <v>45383</v>
      </c>
      <c r="H1795" s="11">
        <f t="shared" si="185"/>
        <v>2</v>
      </c>
      <c r="I1795" s="10">
        <f t="shared" si="186"/>
        <v>4.0999999999999996</v>
      </c>
      <c r="J1795" s="10">
        <f t="shared" si="187"/>
        <v>7.2</v>
      </c>
      <c r="K1795" s="10">
        <f t="shared" ref="K1795:K1858" si="189">IF(H1795="",H1795,H1795+IF(G1795=G1794,_xlfn.NUMBERVALUE(K1794),0))</f>
        <v>32.299999999999997</v>
      </c>
      <c r="L1795" s="10">
        <f t="shared" si="188"/>
        <v>32.299999999999997</v>
      </c>
    </row>
    <row r="1796" spans="1:12" x14ac:dyDescent="0.25">
      <c r="A1796" s="7">
        <v>45387</v>
      </c>
      <c r="B1796" t="s">
        <v>6</v>
      </c>
      <c r="C1796" s="6" t="s">
        <v>416</v>
      </c>
      <c r="D1796" s="5" t="s">
        <v>568</v>
      </c>
      <c r="E1796" s="1">
        <v>0.5131944444444444</v>
      </c>
      <c r="F1796" s="1">
        <v>0.54166666666666663</v>
      </c>
      <c r="G1796" s="9">
        <f t="shared" si="184"/>
        <v>45383</v>
      </c>
      <c r="H1796" s="11">
        <f t="shared" si="185"/>
        <v>0.7</v>
      </c>
      <c r="I1796" s="10">
        <f t="shared" si="186"/>
        <v>4.8</v>
      </c>
      <c r="J1796" s="10">
        <f t="shared" si="187"/>
        <v>7.2</v>
      </c>
      <c r="K1796" s="10">
        <f t="shared" si="189"/>
        <v>33</v>
      </c>
      <c r="L1796" s="10">
        <f t="shared" si="188"/>
        <v>33</v>
      </c>
    </row>
    <row r="1797" spans="1:12" x14ac:dyDescent="0.25">
      <c r="A1797" s="7">
        <v>45387</v>
      </c>
      <c r="B1797" t="s">
        <v>411</v>
      </c>
      <c r="C1797" s="6">
        <v>6181</v>
      </c>
      <c r="D1797" s="5" t="s">
        <v>44</v>
      </c>
      <c r="E1797" s="1">
        <v>0.54166666666666663</v>
      </c>
      <c r="F1797" s="1">
        <v>0.63194444444444442</v>
      </c>
      <c r="G1797" s="9">
        <f t="shared" si="184"/>
        <v>45383</v>
      </c>
      <c r="H1797" s="11">
        <f t="shared" si="185"/>
        <v>2.2000000000000002</v>
      </c>
      <c r="I1797" s="10">
        <f t="shared" si="186"/>
        <v>7</v>
      </c>
      <c r="J1797" s="10">
        <f t="shared" si="187"/>
        <v>7.2</v>
      </c>
      <c r="K1797" s="10">
        <f t="shared" si="189"/>
        <v>35.200000000000003</v>
      </c>
      <c r="L1797" s="10">
        <f t="shared" si="188"/>
        <v>35.200000000000003</v>
      </c>
    </row>
    <row r="1798" spans="1:12" x14ac:dyDescent="0.25">
      <c r="A1798" s="7">
        <v>45389</v>
      </c>
      <c r="B1798" t="s">
        <v>6</v>
      </c>
      <c r="C1798" s="6" t="s">
        <v>416</v>
      </c>
      <c r="D1798" s="2" t="s">
        <v>569</v>
      </c>
      <c r="E1798" s="1">
        <v>0.31527777777777777</v>
      </c>
      <c r="F1798" s="1">
        <v>0.44861111111111113</v>
      </c>
      <c r="G1798" s="9">
        <f t="shared" si="184"/>
        <v>45383</v>
      </c>
      <c r="H1798" s="11">
        <f t="shared" si="185"/>
        <v>3.2</v>
      </c>
      <c r="I1798" s="10">
        <f t="shared" si="186"/>
        <v>3.2</v>
      </c>
      <c r="J1798" s="10">
        <f t="shared" si="187"/>
        <v>7.2</v>
      </c>
      <c r="K1798" s="10">
        <f t="shared" si="189"/>
        <v>38.400000000000006</v>
      </c>
      <c r="L1798" s="10">
        <f t="shared" si="188"/>
        <v>38.400000000000006</v>
      </c>
    </row>
    <row r="1799" spans="1:12" x14ac:dyDescent="0.25">
      <c r="A1799" s="7">
        <v>45390</v>
      </c>
      <c r="B1799" t="s">
        <v>6</v>
      </c>
      <c r="C1799" s="6" t="s">
        <v>416</v>
      </c>
      <c r="D1799" s="5" t="s">
        <v>104</v>
      </c>
      <c r="E1799" s="1">
        <v>0.32777777777777778</v>
      </c>
      <c r="F1799" s="1">
        <v>0.50416666666666665</v>
      </c>
      <c r="G1799" s="9">
        <f t="shared" si="184"/>
        <v>45390</v>
      </c>
      <c r="H1799" s="11">
        <f t="shared" si="185"/>
        <v>4.2</v>
      </c>
      <c r="I1799" s="10">
        <f t="shared" si="186"/>
        <v>4.2</v>
      </c>
      <c r="J1799" s="10">
        <f t="shared" si="187"/>
        <v>7.2</v>
      </c>
      <c r="K1799" s="10">
        <f t="shared" si="189"/>
        <v>4.2</v>
      </c>
      <c r="L1799" s="10">
        <f t="shared" si="188"/>
        <v>42.6</v>
      </c>
    </row>
    <row r="1800" spans="1:12" x14ac:dyDescent="0.25">
      <c r="A1800" s="7">
        <v>45390</v>
      </c>
      <c r="B1800" t="s">
        <v>6</v>
      </c>
      <c r="C1800" s="6" t="s">
        <v>416</v>
      </c>
      <c r="D1800" s="5" t="s">
        <v>104</v>
      </c>
      <c r="E1800" s="1">
        <v>0.52847222222222223</v>
      </c>
      <c r="F1800" s="1">
        <v>0.6694444444444444</v>
      </c>
      <c r="G1800" s="9">
        <f t="shared" si="184"/>
        <v>45390</v>
      </c>
      <c r="H1800" s="11">
        <f t="shared" si="185"/>
        <v>3.4</v>
      </c>
      <c r="I1800" s="10">
        <f t="shared" si="186"/>
        <v>7.6</v>
      </c>
      <c r="J1800" s="10">
        <f t="shared" si="187"/>
        <v>7.2</v>
      </c>
      <c r="K1800" s="10">
        <f t="shared" si="189"/>
        <v>7.6</v>
      </c>
      <c r="L1800" s="10">
        <f t="shared" si="188"/>
        <v>46</v>
      </c>
    </row>
    <row r="1801" spans="1:12" x14ac:dyDescent="0.25">
      <c r="A1801" s="7">
        <v>45391</v>
      </c>
      <c r="B1801" s="2" t="s">
        <v>551</v>
      </c>
      <c r="C1801" s="6">
        <v>2094</v>
      </c>
      <c r="D1801" s="5" t="s">
        <v>570</v>
      </c>
      <c r="E1801" s="1">
        <v>0.30624999999999997</v>
      </c>
      <c r="F1801" s="1">
        <v>0.5</v>
      </c>
      <c r="G1801" s="9">
        <f t="shared" si="184"/>
        <v>45390</v>
      </c>
      <c r="H1801" s="11">
        <f t="shared" si="185"/>
        <v>4.7</v>
      </c>
      <c r="I1801" s="10">
        <f t="shared" si="186"/>
        <v>4.7</v>
      </c>
      <c r="J1801" s="10">
        <f t="shared" si="187"/>
        <v>7.2</v>
      </c>
      <c r="K1801" s="10">
        <f t="shared" si="189"/>
        <v>12.3</v>
      </c>
      <c r="L1801" s="10">
        <f t="shared" si="188"/>
        <v>50.7</v>
      </c>
    </row>
    <row r="1802" spans="1:12" x14ac:dyDescent="0.25">
      <c r="A1802" s="7">
        <v>45391</v>
      </c>
      <c r="B1802" s="2" t="s">
        <v>551</v>
      </c>
      <c r="C1802" s="6">
        <v>2094</v>
      </c>
      <c r="D1802" s="5" t="s">
        <v>570</v>
      </c>
      <c r="E1802" s="1">
        <v>0.51597222222222217</v>
      </c>
      <c r="F1802" s="1">
        <v>0.54166666666666663</v>
      </c>
      <c r="G1802" s="9">
        <f t="shared" si="184"/>
        <v>45390</v>
      </c>
      <c r="H1802" s="11">
        <f t="shared" si="185"/>
        <v>0.6</v>
      </c>
      <c r="I1802" s="10">
        <f t="shared" si="186"/>
        <v>5.3</v>
      </c>
      <c r="J1802" s="10">
        <f t="shared" si="187"/>
        <v>7.2</v>
      </c>
      <c r="K1802" s="10">
        <f t="shared" si="189"/>
        <v>12.9</v>
      </c>
      <c r="L1802" s="10">
        <f t="shared" si="188"/>
        <v>51.300000000000004</v>
      </c>
    </row>
    <row r="1803" spans="1:12" x14ac:dyDescent="0.25">
      <c r="A1803" s="7">
        <v>45391</v>
      </c>
      <c r="B1803" t="s">
        <v>6</v>
      </c>
      <c r="C1803" s="6" t="s">
        <v>416</v>
      </c>
      <c r="D1803" s="5" t="s">
        <v>58</v>
      </c>
      <c r="E1803" s="1">
        <v>0.54166666666666663</v>
      </c>
      <c r="F1803" s="1">
        <v>0.5854166666666667</v>
      </c>
      <c r="G1803" s="9">
        <f t="shared" si="184"/>
        <v>45390</v>
      </c>
      <c r="H1803" s="11">
        <f t="shared" si="185"/>
        <v>1.1000000000000001</v>
      </c>
      <c r="I1803" s="10">
        <f t="shared" si="186"/>
        <v>6.4</v>
      </c>
      <c r="J1803" s="10">
        <f t="shared" si="187"/>
        <v>7.2</v>
      </c>
      <c r="K1803" s="10">
        <f t="shared" si="189"/>
        <v>14</v>
      </c>
      <c r="L1803" s="10">
        <f t="shared" si="188"/>
        <v>52.4</v>
      </c>
    </row>
    <row r="1804" spans="1:12" x14ac:dyDescent="0.25">
      <c r="A1804" s="7">
        <v>45391</v>
      </c>
      <c r="B1804" s="2" t="s">
        <v>551</v>
      </c>
      <c r="C1804" s="6">
        <v>2094</v>
      </c>
      <c r="D1804" s="5" t="s">
        <v>570</v>
      </c>
      <c r="E1804" s="1">
        <v>0.5854166666666667</v>
      </c>
      <c r="F1804" s="1">
        <v>0.65763888888888888</v>
      </c>
      <c r="G1804" s="9">
        <f t="shared" si="184"/>
        <v>45390</v>
      </c>
      <c r="H1804" s="11">
        <f t="shared" si="185"/>
        <v>1.7</v>
      </c>
      <c r="I1804" s="10">
        <f t="shared" si="186"/>
        <v>8.1</v>
      </c>
      <c r="J1804" s="10">
        <f t="shared" si="187"/>
        <v>7.2</v>
      </c>
      <c r="K1804" s="10">
        <f t="shared" si="189"/>
        <v>15.7</v>
      </c>
      <c r="L1804" s="10">
        <f t="shared" si="188"/>
        <v>54.1</v>
      </c>
    </row>
    <row r="1805" spans="1:12" x14ac:dyDescent="0.25">
      <c r="A1805" s="7">
        <v>45392</v>
      </c>
      <c r="B1805" s="2" t="s">
        <v>551</v>
      </c>
      <c r="C1805" s="6">
        <v>2094</v>
      </c>
      <c r="D1805" s="5" t="s">
        <v>570</v>
      </c>
      <c r="E1805" s="1">
        <v>0.31458333333333333</v>
      </c>
      <c r="F1805" s="1">
        <v>0.49583333333333335</v>
      </c>
      <c r="G1805" s="9">
        <f t="shared" si="184"/>
        <v>45390</v>
      </c>
      <c r="H1805" s="11">
        <f t="shared" si="185"/>
        <v>4.4000000000000004</v>
      </c>
      <c r="I1805" s="10">
        <f t="shared" si="186"/>
        <v>4.4000000000000004</v>
      </c>
      <c r="J1805" s="10">
        <f t="shared" si="187"/>
        <v>7.2</v>
      </c>
      <c r="K1805" s="10">
        <f t="shared" si="189"/>
        <v>20.100000000000001</v>
      </c>
      <c r="L1805" s="10">
        <f t="shared" si="188"/>
        <v>58.5</v>
      </c>
    </row>
    <row r="1806" spans="1:12" x14ac:dyDescent="0.25">
      <c r="A1806" s="7">
        <v>45392</v>
      </c>
      <c r="B1806" s="2" t="s">
        <v>551</v>
      </c>
      <c r="C1806" s="6">
        <v>2094</v>
      </c>
      <c r="D1806" s="5" t="s">
        <v>570</v>
      </c>
      <c r="E1806" s="1">
        <v>0.50902777777777775</v>
      </c>
      <c r="F1806" s="1">
        <v>0.54166666666666663</v>
      </c>
      <c r="G1806" s="9">
        <f t="shared" si="184"/>
        <v>45390</v>
      </c>
      <c r="H1806" s="11">
        <f t="shared" si="185"/>
        <v>0.8</v>
      </c>
      <c r="I1806" s="10">
        <f t="shared" si="186"/>
        <v>5.2</v>
      </c>
      <c r="J1806" s="10">
        <f t="shared" si="187"/>
        <v>7.2</v>
      </c>
      <c r="K1806" s="10">
        <f t="shared" si="189"/>
        <v>20.900000000000002</v>
      </c>
      <c r="L1806" s="10">
        <f t="shared" si="188"/>
        <v>59.3</v>
      </c>
    </row>
    <row r="1807" spans="1:12" x14ac:dyDescent="0.25">
      <c r="A1807" s="7">
        <v>45393</v>
      </c>
      <c r="B1807" s="2" t="s">
        <v>551</v>
      </c>
      <c r="C1807" s="6">
        <v>2094</v>
      </c>
      <c r="D1807" s="5" t="s">
        <v>570</v>
      </c>
      <c r="E1807" s="1">
        <v>0.32291666666666669</v>
      </c>
      <c r="F1807" s="1">
        <v>0.51874999999999993</v>
      </c>
      <c r="G1807" s="9">
        <f t="shared" si="184"/>
        <v>45390</v>
      </c>
      <c r="H1807" s="11">
        <f t="shared" si="185"/>
        <v>4.7</v>
      </c>
      <c r="I1807" s="10">
        <f t="shared" si="186"/>
        <v>4.7</v>
      </c>
      <c r="J1807" s="10">
        <f t="shared" si="187"/>
        <v>7.2</v>
      </c>
      <c r="K1807" s="10">
        <f t="shared" si="189"/>
        <v>25.599999999999998</v>
      </c>
      <c r="L1807" s="10">
        <f t="shared" si="188"/>
        <v>64</v>
      </c>
    </row>
    <row r="1808" spans="1:12" x14ac:dyDescent="0.25">
      <c r="A1808" s="7">
        <v>45394</v>
      </c>
      <c r="B1808" s="2" t="s">
        <v>551</v>
      </c>
      <c r="C1808" s="6">
        <v>2094</v>
      </c>
      <c r="D1808" s="5" t="s">
        <v>570</v>
      </c>
      <c r="E1808" s="1">
        <v>0.34305555555555556</v>
      </c>
      <c r="F1808" s="1">
        <v>0.46041666666666664</v>
      </c>
      <c r="G1808" s="9">
        <f t="shared" si="184"/>
        <v>45390</v>
      </c>
      <c r="H1808" s="11">
        <f t="shared" si="185"/>
        <v>2.8</v>
      </c>
      <c r="I1808" s="10">
        <f t="shared" si="186"/>
        <v>2.8</v>
      </c>
      <c r="J1808" s="10">
        <f t="shared" si="187"/>
        <v>7.2</v>
      </c>
      <c r="K1808" s="10">
        <f t="shared" si="189"/>
        <v>28.400000000000002</v>
      </c>
      <c r="L1808" s="10">
        <f t="shared" si="188"/>
        <v>66.8</v>
      </c>
    </row>
    <row r="1809" spans="1:12" x14ac:dyDescent="0.25">
      <c r="A1809" s="7">
        <v>45394</v>
      </c>
      <c r="B1809" s="2" t="s">
        <v>551</v>
      </c>
      <c r="C1809" s="6">
        <v>2094</v>
      </c>
      <c r="D1809" s="5" t="s">
        <v>570</v>
      </c>
      <c r="E1809" s="1">
        <v>0.47222222222222221</v>
      </c>
      <c r="F1809" s="1">
        <v>0.48472222222222222</v>
      </c>
      <c r="G1809" s="9">
        <f t="shared" si="184"/>
        <v>45390</v>
      </c>
      <c r="H1809" s="11">
        <f t="shared" si="185"/>
        <v>0.3</v>
      </c>
      <c r="I1809" s="10">
        <f t="shared" si="186"/>
        <v>3.0999999999999996</v>
      </c>
      <c r="J1809" s="10">
        <f t="shared" si="187"/>
        <v>7.2</v>
      </c>
      <c r="K1809" s="10">
        <f t="shared" si="189"/>
        <v>28.7</v>
      </c>
      <c r="L1809" s="10">
        <f t="shared" si="188"/>
        <v>67.099999999999994</v>
      </c>
    </row>
    <row r="1810" spans="1:12" x14ac:dyDescent="0.25">
      <c r="A1810" s="7">
        <v>45394</v>
      </c>
      <c r="B1810" t="s">
        <v>411</v>
      </c>
      <c r="C1810" s="6">
        <v>6181</v>
      </c>
      <c r="D1810" s="5" t="s">
        <v>538</v>
      </c>
      <c r="E1810" s="1">
        <v>0.48472222222222222</v>
      </c>
      <c r="F1810" s="1">
        <v>0.62430555555555556</v>
      </c>
      <c r="G1810" s="9">
        <f t="shared" si="184"/>
        <v>45390</v>
      </c>
      <c r="H1810" s="11">
        <f t="shared" si="185"/>
        <v>3.4</v>
      </c>
      <c r="I1810" s="10">
        <f t="shared" si="186"/>
        <v>6.5</v>
      </c>
      <c r="J1810" s="10">
        <f t="shared" si="187"/>
        <v>7.2</v>
      </c>
      <c r="K1810" s="10">
        <f t="shared" si="189"/>
        <v>32.1</v>
      </c>
      <c r="L1810" s="10">
        <f t="shared" si="188"/>
        <v>70.5</v>
      </c>
    </row>
    <row r="1811" spans="1:12" x14ac:dyDescent="0.25">
      <c r="A1811" s="7">
        <v>45397</v>
      </c>
      <c r="B1811" t="s">
        <v>6</v>
      </c>
      <c r="C1811" s="6" t="s">
        <v>416</v>
      </c>
      <c r="D1811" s="5" t="s">
        <v>104</v>
      </c>
      <c r="E1811" s="1">
        <v>0.31111111111111112</v>
      </c>
      <c r="F1811" s="1">
        <v>0.33611111111111114</v>
      </c>
      <c r="G1811" s="9">
        <f t="shared" si="184"/>
        <v>45397</v>
      </c>
      <c r="H1811" s="11">
        <f t="shared" si="185"/>
        <v>0.6</v>
      </c>
      <c r="I1811" s="10">
        <f t="shared" si="186"/>
        <v>0.6</v>
      </c>
      <c r="J1811" s="10">
        <f t="shared" si="187"/>
        <v>7.2</v>
      </c>
      <c r="K1811" s="10">
        <f t="shared" si="189"/>
        <v>0.6</v>
      </c>
      <c r="L1811" s="10">
        <f t="shared" si="188"/>
        <v>71.099999999999994</v>
      </c>
    </row>
    <row r="1812" spans="1:12" x14ac:dyDescent="0.25">
      <c r="A1812" s="7">
        <v>45397</v>
      </c>
      <c r="B1812" t="s">
        <v>411</v>
      </c>
      <c r="C1812" s="6">
        <v>6181</v>
      </c>
      <c r="D1812" s="5" t="s">
        <v>538</v>
      </c>
      <c r="E1812" s="1">
        <v>0.33611111111111114</v>
      </c>
      <c r="F1812" s="1">
        <v>0.44236111111111109</v>
      </c>
      <c r="G1812" s="9">
        <f t="shared" si="184"/>
        <v>45397</v>
      </c>
      <c r="H1812" s="11">
        <f t="shared" si="185"/>
        <v>2.6</v>
      </c>
      <c r="I1812" s="10">
        <f t="shared" si="186"/>
        <v>3.2</v>
      </c>
      <c r="J1812" s="10">
        <f t="shared" si="187"/>
        <v>7.2</v>
      </c>
      <c r="K1812" s="10">
        <f t="shared" si="189"/>
        <v>3.2</v>
      </c>
      <c r="L1812" s="10">
        <f t="shared" si="188"/>
        <v>73.699999999999989</v>
      </c>
    </row>
    <row r="1813" spans="1:12" x14ac:dyDescent="0.25">
      <c r="A1813" s="7">
        <v>45397</v>
      </c>
      <c r="B1813" t="s">
        <v>6</v>
      </c>
      <c r="C1813" s="6" t="s">
        <v>416</v>
      </c>
      <c r="D1813" s="5" t="s">
        <v>571</v>
      </c>
      <c r="E1813" s="1">
        <v>0.44236111111111109</v>
      </c>
      <c r="F1813" s="1">
        <v>0.50138888888888888</v>
      </c>
      <c r="G1813" s="9">
        <f t="shared" si="184"/>
        <v>45397</v>
      </c>
      <c r="H1813" s="11">
        <f t="shared" si="185"/>
        <v>1.4</v>
      </c>
      <c r="I1813" s="10">
        <f t="shared" si="186"/>
        <v>4.5999999999999996</v>
      </c>
      <c r="J1813" s="10">
        <f t="shared" si="187"/>
        <v>7.2</v>
      </c>
      <c r="K1813" s="10">
        <f t="shared" si="189"/>
        <v>4.5999999999999996</v>
      </c>
      <c r="L1813" s="10">
        <f t="shared" si="188"/>
        <v>75.100000000000009</v>
      </c>
    </row>
    <row r="1814" spans="1:12" x14ac:dyDescent="0.25">
      <c r="A1814" s="7">
        <v>45397</v>
      </c>
      <c r="B1814" t="s">
        <v>411</v>
      </c>
      <c r="C1814" s="6">
        <v>6181</v>
      </c>
      <c r="D1814" s="5" t="s">
        <v>538</v>
      </c>
      <c r="E1814" s="1">
        <v>0.52083333333333337</v>
      </c>
      <c r="F1814" s="1">
        <v>0.6</v>
      </c>
      <c r="G1814" s="9">
        <f t="shared" si="184"/>
        <v>45397</v>
      </c>
      <c r="H1814" s="11">
        <f t="shared" si="185"/>
        <v>1.9</v>
      </c>
      <c r="I1814" s="10">
        <f t="shared" si="186"/>
        <v>6.5</v>
      </c>
      <c r="J1814" s="10">
        <f t="shared" si="187"/>
        <v>7.2</v>
      </c>
      <c r="K1814" s="10">
        <f t="shared" si="189"/>
        <v>6.5</v>
      </c>
      <c r="L1814" s="10">
        <f t="shared" si="188"/>
        <v>77</v>
      </c>
    </row>
    <row r="1815" spans="1:12" x14ac:dyDescent="0.25">
      <c r="A1815" s="7">
        <v>45397</v>
      </c>
      <c r="B1815" s="2" t="s">
        <v>551</v>
      </c>
      <c r="C1815" s="6">
        <v>2094</v>
      </c>
      <c r="D1815" s="5" t="s">
        <v>570</v>
      </c>
      <c r="E1815" s="1">
        <v>0.6</v>
      </c>
      <c r="F1815" s="1">
        <v>0.61597222222222225</v>
      </c>
      <c r="G1815" s="9">
        <f t="shared" si="184"/>
        <v>45397</v>
      </c>
      <c r="H1815" s="11">
        <f t="shared" si="185"/>
        <v>0.4</v>
      </c>
      <c r="I1815" s="10">
        <f t="shared" si="186"/>
        <v>6.9</v>
      </c>
      <c r="J1815" s="10">
        <f t="shared" si="187"/>
        <v>7.2</v>
      </c>
      <c r="K1815" s="10">
        <f t="shared" si="189"/>
        <v>6.9</v>
      </c>
      <c r="L1815" s="10">
        <f t="shared" si="188"/>
        <v>77.400000000000006</v>
      </c>
    </row>
    <row r="1816" spans="1:12" x14ac:dyDescent="0.25">
      <c r="A1816" s="7">
        <v>45398</v>
      </c>
      <c r="B1816" s="2" t="s">
        <v>551</v>
      </c>
      <c r="C1816" s="6">
        <v>2094</v>
      </c>
      <c r="D1816" s="5" t="s">
        <v>570</v>
      </c>
      <c r="E1816" s="1">
        <v>0.33333333333333331</v>
      </c>
      <c r="F1816" s="1">
        <v>0.375</v>
      </c>
      <c r="G1816" s="9">
        <f t="shared" si="184"/>
        <v>45397</v>
      </c>
      <c r="H1816" s="11">
        <f t="shared" si="185"/>
        <v>1</v>
      </c>
      <c r="I1816" s="10">
        <f t="shared" si="186"/>
        <v>1</v>
      </c>
      <c r="J1816" s="10">
        <f t="shared" si="187"/>
        <v>7.2</v>
      </c>
      <c r="K1816" s="10">
        <f t="shared" si="189"/>
        <v>7.9</v>
      </c>
      <c r="L1816" s="10">
        <f t="shared" si="188"/>
        <v>78.400000000000006</v>
      </c>
    </row>
    <row r="1817" spans="1:12" x14ac:dyDescent="0.25">
      <c r="A1817" s="7">
        <v>45398</v>
      </c>
      <c r="B1817" s="2" t="s">
        <v>551</v>
      </c>
      <c r="C1817" s="6">
        <v>2094</v>
      </c>
      <c r="D1817" s="5" t="s">
        <v>570</v>
      </c>
      <c r="E1817" s="1">
        <v>0.375</v>
      </c>
      <c r="F1817" s="1">
        <v>0.41666666666666669</v>
      </c>
      <c r="G1817" s="9">
        <f t="shared" si="184"/>
        <v>45397</v>
      </c>
      <c r="H1817" s="11">
        <f t="shared" si="185"/>
        <v>1</v>
      </c>
      <c r="I1817" s="10">
        <f t="shared" si="186"/>
        <v>2</v>
      </c>
      <c r="J1817" s="10">
        <f t="shared" si="187"/>
        <v>7.2</v>
      </c>
      <c r="K1817" s="10">
        <f t="shared" si="189"/>
        <v>8.9</v>
      </c>
      <c r="L1817" s="10">
        <f t="shared" si="188"/>
        <v>79.400000000000006</v>
      </c>
    </row>
    <row r="1818" spans="1:12" x14ac:dyDescent="0.25">
      <c r="A1818" s="7">
        <v>45398</v>
      </c>
      <c r="B1818" s="2" t="s">
        <v>551</v>
      </c>
      <c r="C1818" s="6">
        <v>2094</v>
      </c>
      <c r="D1818" s="5" t="s">
        <v>570</v>
      </c>
      <c r="E1818" s="1">
        <v>0.41666666666666669</v>
      </c>
      <c r="F1818" s="1">
        <v>0.65208333333333335</v>
      </c>
      <c r="G1818" s="9">
        <f t="shared" si="184"/>
        <v>45397</v>
      </c>
      <c r="H1818" s="11">
        <f t="shared" si="185"/>
        <v>5.7</v>
      </c>
      <c r="I1818" s="10">
        <f t="shared" si="186"/>
        <v>7.7</v>
      </c>
      <c r="J1818" s="10">
        <f t="shared" si="187"/>
        <v>7.2</v>
      </c>
      <c r="K1818" s="10">
        <f t="shared" si="189"/>
        <v>14.600000000000001</v>
      </c>
      <c r="L1818" s="10">
        <f t="shared" si="188"/>
        <v>85.100000000000009</v>
      </c>
    </row>
    <row r="1819" spans="1:12" x14ac:dyDescent="0.25">
      <c r="A1819" s="7">
        <v>45399</v>
      </c>
      <c r="B1819" s="2" t="s">
        <v>551</v>
      </c>
      <c r="C1819" s="6">
        <v>2094</v>
      </c>
      <c r="D1819" s="5" t="s">
        <v>570</v>
      </c>
      <c r="E1819" s="1">
        <v>0.32847222222222222</v>
      </c>
      <c r="F1819" s="1">
        <v>0.62708333333333333</v>
      </c>
      <c r="G1819" s="9">
        <f t="shared" si="184"/>
        <v>45397</v>
      </c>
      <c r="H1819" s="11">
        <f t="shared" si="185"/>
        <v>7.2</v>
      </c>
      <c r="I1819" s="10">
        <f t="shared" si="186"/>
        <v>7.2</v>
      </c>
      <c r="J1819" s="10">
        <f t="shared" si="187"/>
        <v>7.2</v>
      </c>
      <c r="K1819" s="10">
        <f t="shared" si="189"/>
        <v>21.8</v>
      </c>
      <c r="L1819" s="10">
        <f t="shared" si="188"/>
        <v>92.3</v>
      </c>
    </row>
    <row r="1820" spans="1:12" x14ac:dyDescent="0.25">
      <c r="A1820" s="7">
        <v>45400</v>
      </c>
      <c r="B1820" s="2" t="s">
        <v>551</v>
      </c>
      <c r="C1820" s="6">
        <v>2094</v>
      </c>
      <c r="D1820" s="5" t="s">
        <v>570</v>
      </c>
      <c r="E1820" s="1">
        <v>0.32291666666666669</v>
      </c>
      <c r="F1820" s="1">
        <v>0.64166666666666672</v>
      </c>
      <c r="G1820" s="9">
        <f t="shared" si="184"/>
        <v>45397</v>
      </c>
      <c r="H1820" s="11">
        <f t="shared" si="185"/>
        <v>7.7</v>
      </c>
      <c r="I1820" s="10">
        <f t="shared" si="186"/>
        <v>7.7</v>
      </c>
      <c r="J1820" s="10">
        <f t="shared" si="187"/>
        <v>7.2</v>
      </c>
      <c r="K1820" s="10">
        <f t="shared" si="189"/>
        <v>29.5</v>
      </c>
      <c r="L1820" s="10">
        <f t="shared" si="188"/>
        <v>100</v>
      </c>
    </row>
    <row r="1821" spans="1:12" x14ac:dyDescent="0.25">
      <c r="A1821" s="7">
        <v>45401</v>
      </c>
      <c r="B1821" s="2" t="s">
        <v>551</v>
      </c>
      <c r="C1821" s="6">
        <v>2094</v>
      </c>
      <c r="D1821" s="5" t="s">
        <v>570</v>
      </c>
      <c r="E1821" s="1">
        <v>0.3263888888888889</v>
      </c>
      <c r="F1821" s="1">
        <v>0.60277777777777775</v>
      </c>
      <c r="G1821" s="9">
        <f t="shared" si="184"/>
        <v>45397</v>
      </c>
      <c r="H1821" s="11">
        <f t="shared" si="185"/>
        <v>6.6</v>
      </c>
      <c r="I1821" s="10">
        <f t="shared" si="186"/>
        <v>6.6</v>
      </c>
      <c r="J1821" s="10">
        <f t="shared" si="187"/>
        <v>7.2</v>
      </c>
      <c r="K1821" s="10">
        <f t="shared" si="189"/>
        <v>36.1</v>
      </c>
      <c r="L1821" s="10">
        <f t="shared" si="188"/>
        <v>106.6</v>
      </c>
    </row>
    <row r="1822" spans="1:12" x14ac:dyDescent="0.25">
      <c r="A1822" s="7">
        <v>45404</v>
      </c>
      <c r="B1822" s="2" t="s">
        <v>551</v>
      </c>
      <c r="C1822" s="6">
        <v>2094</v>
      </c>
      <c r="D1822" s="5" t="s">
        <v>570</v>
      </c>
      <c r="E1822" s="1">
        <v>0.32291666666666669</v>
      </c>
      <c r="F1822" s="1">
        <v>0.62569444444444444</v>
      </c>
      <c r="G1822" s="9">
        <f t="shared" si="184"/>
        <v>45404</v>
      </c>
      <c r="H1822" s="11">
        <f t="shared" si="185"/>
        <v>7.3</v>
      </c>
      <c r="I1822" s="10">
        <f t="shared" si="186"/>
        <v>7.3</v>
      </c>
      <c r="J1822" s="10">
        <f t="shared" si="187"/>
        <v>7.2</v>
      </c>
      <c r="K1822" s="10">
        <f t="shared" si="189"/>
        <v>7.3</v>
      </c>
      <c r="L1822" s="10">
        <f t="shared" si="188"/>
        <v>113.89999999999999</v>
      </c>
    </row>
    <row r="1823" spans="1:12" x14ac:dyDescent="0.25">
      <c r="A1823" s="7">
        <v>45405</v>
      </c>
      <c r="B1823" s="2" t="s">
        <v>551</v>
      </c>
      <c r="C1823" s="6">
        <v>2094</v>
      </c>
      <c r="D1823" s="5" t="s">
        <v>570</v>
      </c>
      <c r="E1823" s="1">
        <v>0.33541666666666664</v>
      </c>
      <c r="F1823" s="1">
        <v>0.375</v>
      </c>
      <c r="G1823" s="9">
        <f t="shared" si="184"/>
        <v>45404</v>
      </c>
      <c r="H1823" s="11">
        <f t="shared" si="185"/>
        <v>1</v>
      </c>
      <c r="I1823" s="10">
        <f t="shared" si="186"/>
        <v>1</v>
      </c>
      <c r="J1823" s="10">
        <f t="shared" si="187"/>
        <v>7.2</v>
      </c>
      <c r="K1823" s="10">
        <f t="shared" si="189"/>
        <v>8.3000000000000007</v>
      </c>
      <c r="L1823" s="10">
        <f t="shared" si="188"/>
        <v>114.9</v>
      </c>
    </row>
    <row r="1824" spans="1:12" x14ac:dyDescent="0.25">
      <c r="A1824" s="7">
        <v>45405</v>
      </c>
      <c r="B1824" t="s">
        <v>6</v>
      </c>
      <c r="C1824" s="6" t="s">
        <v>416</v>
      </c>
      <c r="D1824" s="5" t="s">
        <v>234</v>
      </c>
      <c r="E1824" s="1">
        <v>0.375</v>
      </c>
      <c r="F1824" s="1">
        <v>0.45833333333333331</v>
      </c>
      <c r="G1824" s="9">
        <f t="shared" si="184"/>
        <v>45404</v>
      </c>
      <c r="H1824" s="11">
        <f t="shared" si="185"/>
        <v>2</v>
      </c>
      <c r="I1824" s="10">
        <f t="shared" si="186"/>
        <v>3</v>
      </c>
      <c r="J1824" s="10">
        <f t="shared" si="187"/>
        <v>7.2</v>
      </c>
      <c r="K1824" s="10">
        <f t="shared" si="189"/>
        <v>10.3</v>
      </c>
      <c r="L1824" s="10">
        <f t="shared" si="188"/>
        <v>116.9</v>
      </c>
    </row>
    <row r="1825" spans="1:12" x14ac:dyDescent="0.25">
      <c r="A1825" s="7">
        <v>45405</v>
      </c>
      <c r="B1825" t="s">
        <v>6</v>
      </c>
      <c r="C1825" s="6" t="s">
        <v>416</v>
      </c>
      <c r="D1825" s="5" t="s">
        <v>572</v>
      </c>
      <c r="E1825" s="1">
        <v>0.45833333333333331</v>
      </c>
      <c r="F1825" s="1">
        <v>0.50486111111111109</v>
      </c>
      <c r="G1825" s="9">
        <f t="shared" si="184"/>
        <v>45404</v>
      </c>
      <c r="H1825" s="11">
        <f t="shared" si="185"/>
        <v>1.1000000000000001</v>
      </c>
      <c r="I1825" s="10">
        <f t="shared" si="186"/>
        <v>4.0999999999999996</v>
      </c>
      <c r="J1825" s="10">
        <f t="shared" si="187"/>
        <v>7.2</v>
      </c>
      <c r="K1825" s="10">
        <f t="shared" si="189"/>
        <v>11.4</v>
      </c>
      <c r="L1825" s="10">
        <f t="shared" si="188"/>
        <v>118</v>
      </c>
    </row>
    <row r="1826" spans="1:12" x14ac:dyDescent="0.25">
      <c r="A1826" s="7">
        <v>45405</v>
      </c>
      <c r="B1826" s="2" t="s">
        <v>551</v>
      </c>
      <c r="C1826" s="6">
        <v>2094</v>
      </c>
      <c r="D1826" s="5" t="s">
        <v>573</v>
      </c>
      <c r="E1826" s="1">
        <v>0.52083333333333337</v>
      </c>
      <c r="F1826" s="1">
        <v>0.58333333333333337</v>
      </c>
      <c r="G1826" s="9">
        <f t="shared" si="184"/>
        <v>45404</v>
      </c>
      <c r="H1826" s="11">
        <f t="shared" si="185"/>
        <v>1.5</v>
      </c>
      <c r="I1826" s="10">
        <f t="shared" si="186"/>
        <v>5.6</v>
      </c>
      <c r="J1826" s="10">
        <f t="shared" si="187"/>
        <v>7.2</v>
      </c>
      <c r="K1826" s="10">
        <f t="shared" si="189"/>
        <v>12.9</v>
      </c>
      <c r="L1826" s="10">
        <f t="shared" si="188"/>
        <v>119.5</v>
      </c>
    </row>
    <row r="1827" spans="1:12" x14ac:dyDescent="0.25">
      <c r="A1827" s="7">
        <v>45405</v>
      </c>
      <c r="B1827" t="s">
        <v>6</v>
      </c>
      <c r="C1827" s="6" t="s">
        <v>416</v>
      </c>
      <c r="D1827" s="5" t="s">
        <v>527</v>
      </c>
      <c r="E1827" s="1">
        <v>0.58333333333333337</v>
      </c>
      <c r="F1827" s="1">
        <v>0.61319444444444449</v>
      </c>
      <c r="G1827" s="9">
        <f t="shared" si="184"/>
        <v>45404</v>
      </c>
      <c r="H1827" s="11">
        <f t="shared" si="185"/>
        <v>0.7</v>
      </c>
      <c r="I1827" s="10">
        <f t="shared" si="186"/>
        <v>6.3</v>
      </c>
      <c r="J1827" s="10">
        <f t="shared" si="187"/>
        <v>7.2</v>
      </c>
      <c r="K1827" s="10">
        <f t="shared" si="189"/>
        <v>13.6</v>
      </c>
      <c r="L1827" s="10">
        <f t="shared" si="188"/>
        <v>120.2</v>
      </c>
    </row>
    <row r="1828" spans="1:12" x14ac:dyDescent="0.25">
      <c r="A1828" s="7">
        <v>45405</v>
      </c>
      <c r="B1828" s="2" t="s">
        <v>551</v>
      </c>
      <c r="C1828" s="6">
        <v>2094</v>
      </c>
      <c r="D1828" s="5" t="s">
        <v>573</v>
      </c>
      <c r="E1828" s="1">
        <v>0.61319444444444449</v>
      </c>
      <c r="F1828" s="1">
        <v>0.66388888888888886</v>
      </c>
      <c r="G1828" s="9">
        <f t="shared" si="184"/>
        <v>45404</v>
      </c>
      <c r="H1828" s="11">
        <f t="shared" si="185"/>
        <v>1.2</v>
      </c>
      <c r="I1828" s="10">
        <f t="shared" si="186"/>
        <v>7.5</v>
      </c>
      <c r="J1828" s="10">
        <f t="shared" si="187"/>
        <v>7.2</v>
      </c>
      <c r="K1828" s="10">
        <f t="shared" si="189"/>
        <v>14.799999999999999</v>
      </c>
      <c r="L1828" s="10">
        <f t="shared" si="188"/>
        <v>121.4</v>
      </c>
    </row>
    <row r="1829" spans="1:12" x14ac:dyDescent="0.25">
      <c r="A1829" s="7">
        <v>45406</v>
      </c>
      <c r="B1829" s="2" t="s">
        <v>551</v>
      </c>
      <c r="C1829" s="6">
        <v>2094</v>
      </c>
      <c r="D1829" s="5" t="s">
        <v>574</v>
      </c>
      <c r="E1829" s="1">
        <v>0.28125</v>
      </c>
      <c r="F1829" s="1">
        <v>0.48749999999999999</v>
      </c>
      <c r="G1829" s="9">
        <f t="shared" si="184"/>
        <v>45404</v>
      </c>
      <c r="H1829" s="11">
        <f t="shared" si="185"/>
        <v>5</v>
      </c>
      <c r="I1829" s="10">
        <f t="shared" si="186"/>
        <v>5</v>
      </c>
      <c r="J1829" s="10">
        <f t="shared" si="187"/>
        <v>7.2</v>
      </c>
      <c r="K1829" s="10">
        <f t="shared" si="189"/>
        <v>19.8</v>
      </c>
      <c r="L1829" s="10">
        <f t="shared" si="188"/>
        <v>126.4</v>
      </c>
    </row>
    <row r="1830" spans="1:12" x14ac:dyDescent="0.25">
      <c r="A1830" s="7">
        <v>45406</v>
      </c>
      <c r="B1830" s="2" t="s">
        <v>551</v>
      </c>
      <c r="C1830" s="6">
        <v>2094</v>
      </c>
      <c r="D1830" s="5" t="s">
        <v>574</v>
      </c>
      <c r="E1830" s="1">
        <v>0.49930555555555556</v>
      </c>
      <c r="F1830" s="1">
        <v>0.61458333333333337</v>
      </c>
      <c r="G1830" s="9">
        <f t="shared" si="184"/>
        <v>45404</v>
      </c>
      <c r="H1830" s="11">
        <f t="shared" si="185"/>
        <v>2.8</v>
      </c>
      <c r="I1830" s="10">
        <f t="shared" si="186"/>
        <v>7.8</v>
      </c>
      <c r="J1830" s="10">
        <f t="shared" si="187"/>
        <v>7.2</v>
      </c>
      <c r="K1830" s="10">
        <f t="shared" si="189"/>
        <v>22.6</v>
      </c>
      <c r="L1830" s="10">
        <f t="shared" si="188"/>
        <v>129.20000000000002</v>
      </c>
    </row>
    <row r="1831" spans="1:12" x14ac:dyDescent="0.25">
      <c r="A1831" s="7">
        <v>45407</v>
      </c>
      <c r="B1831" t="s">
        <v>7</v>
      </c>
      <c r="C1831" s="6" t="s">
        <v>22</v>
      </c>
      <c r="D1831" s="2" t="s">
        <v>91</v>
      </c>
      <c r="E1831" s="1">
        <v>0.40972222222222227</v>
      </c>
      <c r="F1831" s="1">
        <v>0.70833333333333337</v>
      </c>
      <c r="G1831" s="9">
        <f t="shared" si="184"/>
        <v>45404</v>
      </c>
      <c r="H1831" s="11">
        <f t="shared" si="185"/>
        <v>7.2</v>
      </c>
      <c r="I1831" s="10">
        <f t="shared" si="186"/>
        <v>7.2</v>
      </c>
      <c r="J1831" s="10">
        <f t="shared" si="187"/>
        <v>7.2</v>
      </c>
      <c r="K1831" s="10">
        <f t="shared" si="189"/>
        <v>29.8</v>
      </c>
      <c r="L1831" s="10">
        <f t="shared" si="188"/>
        <v>136.39999999999998</v>
      </c>
    </row>
    <row r="1832" spans="1:12" x14ac:dyDescent="0.25">
      <c r="A1832" s="7">
        <v>45408</v>
      </c>
      <c r="B1832" s="2" t="s">
        <v>551</v>
      </c>
      <c r="C1832" s="6">
        <v>2094</v>
      </c>
      <c r="D1832" s="5" t="s">
        <v>574</v>
      </c>
      <c r="E1832" s="1">
        <v>0.33124999999999999</v>
      </c>
      <c r="F1832" s="1">
        <v>0.47222222222222221</v>
      </c>
      <c r="G1832" s="9">
        <f t="shared" si="184"/>
        <v>45404</v>
      </c>
      <c r="H1832" s="11">
        <f t="shared" si="185"/>
        <v>3.4</v>
      </c>
      <c r="I1832" s="10">
        <f t="shared" si="186"/>
        <v>3.4</v>
      </c>
      <c r="J1832" s="10">
        <f t="shared" si="187"/>
        <v>7.2</v>
      </c>
      <c r="K1832" s="10">
        <f t="shared" si="189"/>
        <v>33.200000000000003</v>
      </c>
      <c r="L1832" s="10">
        <f t="shared" si="188"/>
        <v>139.80000000000001</v>
      </c>
    </row>
    <row r="1833" spans="1:12" x14ac:dyDescent="0.25">
      <c r="A1833" s="7">
        <v>45408</v>
      </c>
      <c r="B1833" s="2" t="s">
        <v>551</v>
      </c>
      <c r="C1833" s="6">
        <v>2094</v>
      </c>
      <c r="D1833" s="5" t="s">
        <v>574</v>
      </c>
      <c r="E1833" s="1">
        <v>0.48541666666666666</v>
      </c>
      <c r="F1833" s="1">
        <v>0.61527777777777781</v>
      </c>
      <c r="G1833" s="9">
        <f t="shared" si="184"/>
        <v>45404</v>
      </c>
      <c r="H1833" s="11">
        <f t="shared" si="185"/>
        <v>3.1</v>
      </c>
      <c r="I1833" s="10">
        <f t="shared" si="186"/>
        <v>6.5</v>
      </c>
      <c r="J1833" s="10">
        <f t="shared" si="187"/>
        <v>7.2</v>
      </c>
      <c r="K1833" s="10">
        <f t="shared" si="189"/>
        <v>36.300000000000004</v>
      </c>
      <c r="L1833" s="10">
        <f t="shared" si="188"/>
        <v>142.9</v>
      </c>
    </row>
    <row r="1834" spans="1:12" x14ac:dyDescent="0.25">
      <c r="A1834" s="7">
        <v>45411</v>
      </c>
      <c r="B1834" s="2" t="s">
        <v>551</v>
      </c>
      <c r="C1834" s="6">
        <v>2094</v>
      </c>
      <c r="D1834" s="5" t="s">
        <v>574</v>
      </c>
      <c r="E1834" s="1">
        <v>0.3125</v>
      </c>
      <c r="F1834" s="1">
        <v>0.45694444444444443</v>
      </c>
      <c r="G1834" s="9">
        <f t="shared" si="184"/>
        <v>45411</v>
      </c>
      <c r="H1834" s="11">
        <f t="shared" si="185"/>
        <v>3.5</v>
      </c>
      <c r="I1834" s="10">
        <f t="shared" si="186"/>
        <v>3.5</v>
      </c>
      <c r="J1834" s="10">
        <f t="shared" si="187"/>
        <v>7.2</v>
      </c>
      <c r="K1834" s="10">
        <f t="shared" si="189"/>
        <v>3.5</v>
      </c>
      <c r="L1834" s="10">
        <f t="shared" si="188"/>
        <v>146.4</v>
      </c>
    </row>
    <row r="1835" spans="1:12" x14ac:dyDescent="0.25">
      <c r="A1835" s="7">
        <v>45411</v>
      </c>
      <c r="B1835" s="2" t="s">
        <v>551</v>
      </c>
      <c r="C1835" s="6">
        <v>2094</v>
      </c>
      <c r="D1835" s="5" t="s">
        <v>574</v>
      </c>
      <c r="E1835" s="1">
        <v>0.47916666666666669</v>
      </c>
      <c r="F1835" s="1">
        <v>0.54861111111111116</v>
      </c>
      <c r="G1835" s="9">
        <f t="shared" si="184"/>
        <v>45411</v>
      </c>
      <c r="H1835" s="11">
        <f t="shared" si="185"/>
        <v>1.7</v>
      </c>
      <c r="I1835" s="10">
        <f t="shared" si="186"/>
        <v>5.2</v>
      </c>
      <c r="J1835" s="10">
        <f t="shared" si="187"/>
        <v>7.2</v>
      </c>
      <c r="K1835" s="10">
        <f t="shared" si="189"/>
        <v>5.2</v>
      </c>
      <c r="L1835" s="10">
        <f t="shared" si="188"/>
        <v>148.1</v>
      </c>
    </row>
    <row r="1836" spans="1:12" x14ac:dyDescent="0.25">
      <c r="A1836" s="7">
        <v>45411</v>
      </c>
      <c r="B1836" t="s">
        <v>6</v>
      </c>
      <c r="C1836" s="6" t="s">
        <v>416</v>
      </c>
      <c r="D1836" s="5" t="s">
        <v>290</v>
      </c>
      <c r="E1836" s="1">
        <v>0.54861111111111116</v>
      </c>
      <c r="F1836" s="1">
        <v>0.56944444444444442</v>
      </c>
      <c r="G1836" s="9">
        <f t="shared" si="184"/>
        <v>45411</v>
      </c>
      <c r="H1836" s="11">
        <f t="shared" si="185"/>
        <v>0.5</v>
      </c>
      <c r="I1836" s="10">
        <f t="shared" si="186"/>
        <v>5.7</v>
      </c>
      <c r="J1836" s="10">
        <f t="shared" si="187"/>
        <v>7.2</v>
      </c>
      <c r="K1836" s="10">
        <f t="shared" si="189"/>
        <v>5.7</v>
      </c>
      <c r="L1836" s="10">
        <f t="shared" si="188"/>
        <v>148.6</v>
      </c>
    </row>
    <row r="1837" spans="1:12" x14ac:dyDescent="0.25">
      <c r="A1837" s="7">
        <v>45411</v>
      </c>
      <c r="B1837" s="2" t="s">
        <v>551</v>
      </c>
      <c r="C1837" s="6">
        <v>2094</v>
      </c>
      <c r="D1837" s="5" t="s">
        <v>574</v>
      </c>
      <c r="E1837" s="1">
        <v>0.56944444444444442</v>
      </c>
      <c r="F1837" s="1">
        <v>0.62638888888888888</v>
      </c>
      <c r="G1837" s="9">
        <f t="shared" ref="G1837:G1900" si="190">IF(E1837&gt;0,INT((A1837-2)/7)*7+2,"")</f>
        <v>45411</v>
      </c>
      <c r="H1837" s="11">
        <f t="shared" ref="H1837:H1900" si="191">IF(E1837&gt;0,ROUND(24*(IF(F1837&gt;0,F1837,NowTime)-E1837),1),"")</f>
        <v>1.4</v>
      </c>
      <c r="I1837" s="10">
        <f t="shared" ref="I1837:I1900" si="192">IF(H1837="",H1837,H1837+IF(A1837=A1836,_xlfn.NUMBERVALUE(I1836),0))</f>
        <v>7.1</v>
      </c>
      <c r="J1837" s="10">
        <f t="shared" ref="J1837:J1900" si="193">IF(H1837="",H1837,7.2)</f>
        <v>7.2</v>
      </c>
      <c r="K1837" s="10">
        <f t="shared" si="189"/>
        <v>7.1</v>
      </c>
      <c r="L1837" s="10">
        <f t="shared" ref="L1837:L1900" si="194">IF(H1837="",H1837,H1837+IF(MONTH(A1837)=MONTH(A1836),_xlfn.NUMBERVALUE(L1836),0))</f>
        <v>150</v>
      </c>
    </row>
    <row r="1838" spans="1:12" x14ac:dyDescent="0.25">
      <c r="A1838" s="7">
        <v>45412</v>
      </c>
      <c r="B1838" s="2" t="s">
        <v>551</v>
      </c>
      <c r="C1838" s="6">
        <v>2094</v>
      </c>
      <c r="D1838" s="5" t="s">
        <v>574</v>
      </c>
      <c r="E1838" s="1">
        <v>0.32847222222222222</v>
      </c>
      <c r="F1838" s="1">
        <v>0.5</v>
      </c>
      <c r="G1838" s="9">
        <f t="shared" si="190"/>
        <v>45411</v>
      </c>
      <c r="H1838" s="11">
        <f t="shared" si="191"/>
        <v>4.0999999999999996</v>
      </c>
      <c r="I1838" s="10">
        <f t="shared" si="192"/>
        <v>4.0999999999999996</v>
      </c>
      <c r="J1838" s="10">
        <f t="shared" si="193"/>
        <v>7.2</v>
      </c>
      <c r="K1838" s="10">
        <f t="shared" si="189"/>
        <v>11.2</v>
      </c>
      <c r="L1838" s="10">
        <f t="shared" si="194"/>
        <v>154.1</v>
      </c>
    </row>
    <row r="1839" spans="1:12" x14ac:dyDescent="0.25">
      <c r="A1839" s="7">
        <v>45412</v>
      </c>
      <c r="B1839" s="2" t="s">
        <v>464</v>
      </c>
      <c r="C1839" s="6">
        <v>2431</v>
      </c>
      <c r="D1839" s="5" t="s">
        <v>564</v>
      </c>
      <c r="E1839" s="1">
        <v>0.5</v>
      </c>
      <c r="F1839" s="1">
        <v>0.5493055555555556</v>
      </c>
      <c r="G1839" s="9">
        <f t="shared" si="190"/>
        <v>45411</v>
      </c>
      <c r="H1839" s="11">
        <f t="shared" si="191"/>
        <v>1.2</v>
      </c>
      <c r="I1839" s="10">
        <f t="shared" si="192"/>
        <v>5.3</v>
      </c>
      <c r="J1839" s="10">
        <f t="shared" si="193"/>
        <v>7.2</v>
      </c>
      <c r="K1839" s="10">
        <f t="shared" si="189"/>
        <v>12.399999999999999</v>
      </c>
      <c r="L1839" s="10">
        <f t="shared" si="194"/>
        <v>155.29999999999998</v>
      </c>
    </row>
    <row r="1840" spans="1:12" x14ac:dyDescent="0.25">
      <c r="A1840" s="7">
        <v>45412</v>
      </c>
      <c r="B1840" s="2" t="s">
        <v>551</v>
      </c>
      <c r="C1840" s="6">
        <v>2094</v>
      </c>
      <c r="D1840" s="5" t="s">
        <v>574</v>
      </c>
      <c r="E1840" s="1">
        <v>0.56111111111111112</v>
      </c>
      <c r="F1840" s="1">
        <v>0.62083333333333335</v>
      </c>
      <c r="G1840" s="9">
        <f t="shared" si="190"/>
        <v>45411</v>
      </c>
      <c r="H1840" s="11">
        <f t="shared" si="191"/>
        <v>1.4</v>
      </c>
      <c r="I1840" s="10">
        <f t="shared" si="192"/>
        <v>6.6999999999999993</v>
      </c>
      <c r="J1840" s="10">
        <f t="shared" si="193"/>
        <v>7.2</v>
      </c>
      <c r="K1840" s="10">
        <f t="shared" si="189"/>
        <v>13.8</v>
      </c>
      <c r="L1840" s="10">
        <f t="shared" si="194"/>
        <v>156.70000000000002</v>
      </c>
    </row>
    <row r="1841" spans="1:12" x14ac:dyDescent="0.25">
      <c r="A1841" s="7">
        <v>45413</v>
      </c>
      <c r="B1841" s="2" t="s">
        <v>551</v>
      </c>
      <c r="C1841" s="6">
        <v>2094</v>
      </c>
      <c r="D1841" s="5" t="s">
        <v>574</v>
      </c>
      <c r="E1841" s="1">
        <v>0.29305555555555557</v>
      </c>
      <c r="F1841" s="1">
        <v>0.49861111111111112</v>
      </c>
      <c r="G1841" s="9">
        <f t="shared" si="190"/>
        <v>45411</v>
      </c>
      <c r="H1841" s="11">
        <f t="shared" si="191"/>
        <v>4.9000000000000004</v>
      </c>
      <c r="I1841" s="10">
        <f t="shared" si="192"/>
        <v>4.9000000000000004</v>
      </c>
      <c r="J1841" s="10">
        <f t="shared" si="193"/>
        <v>7.2</v>
      </c>
      <c r="K1841" s="10">
        <f t="shared" si="189"/>
        <v>18.700000000000003</v>
      </c>
      <c r="L1841" s="10">
        <f t="shared" si="194"/>
        <v>4.9000000000000004</v>
      </c>
    </row>
    <row r="1842" spans="1:12" x14ac:dyDescent="0.25">
      <c r="A1842" s="7">
        <v>45413</v>
      </c>
      <c r="B1842" s="2" t="s">
        <v>551</v>
      </c>
      <c r="C1842" s="6">
        <v>2094</v>
      </c>
      <c r="D1842" s="5" t="s">
        <v>574</v>
      </c>
      <c r="E1842" s="1">
        <v>0.56597222222222221</v>
      </c>
      <c r="F1842" s="1">
        <v>0.58333333333333337</v>
      </c>
      <c r="G1842" s="9">
        <f t="shared" si="190"/>
        <v>45411</v>
      </c>
      <c r="H1842" s="11">
        <f t="shared" si="191"/>
        <v>0.4</v>
      </c>
      <c r="I1842" s="10">
        <f t="shared" si="192"/>
        <v>5.3000000000000007</v>
      </c>
      <c r="J1842" s="10">
        <f t="shared" si="193"/>
        <v>7.2</v>
      </c>
      <c r="K1842" s="10">
        <f t="shared" si="189"/>
        <v>19.099999999999998</v>
      </c>
      <c r="L1842" s="10">
        <f t="shared" si="194"/>
        <v>5.3000000000000007</v>
      </c>
    </row>
    <row r="1843" spans="1:12" x14ac:dyDescent="0.25">
      <c r="A1843" s="7">
        <v>45413</v>
      </c>
      <c r="B1843" t="s">
        <v>6</v>
      </c>
      <c r="C1843" s="6" t="s">
        <v>416</v>
      </c>
      <c r="D1843" s="5" t="s">
        <v>135</v>
      </c>
      <c r="E1843" s="1">
        <v>0.58333333333333337</v>
      </c>
      <c r="F1843" s="1">
        <v>0.62569444444444444</v>
      </c>
      <c r="G1843" s="9">
        <f t="shared" si="190"/>
        <v>45411</v>
      </c>
      <c r="H1843" s="11">
        <f t="shared" si="191"/>
        <v>1</v>
      </c>
      <c r="I1843" s="10">
        <f t="shared" si="192"/>
        <v>6.3</v>
      </c>
      <c r="J1843" s="10">
        <f t="shared" si="193"/>
        <v>7.2</v>
      </c>
      <c r="K1843" s="10">
        <f t="shared" si="189"/>
        <v>20.100000000000001</v>
      </c>
      <c r="L1843" s="10">
        <f t="shared" si="194"/>
        <v>6.3</v>
      </c>
    </row>
    <row r="1844" spans="1:12" x14ac:dyDescent="0.25">
      <c r="A1844" s="7">
        <v>45413</v>
      </c>
      <c r="B1844" s="2" t="s">
        <v>551</v>
      </c>
      <c r="C1844" s="6">
        <v>2094</v>
      </c>
      <c r="D1844" s="5" t="s">
        <v>574</v>
      </c>
      <c r="E1844" s="1">
        <v>0.62569444444444444</v>
      </c>
      <c r="F1844" s="1">
        <v>0.64513888888888893</v>
      </c>
      <c r="G1844" s="9">
        <f t="shared" si="190"/>
        <v>45411</v>
      </c>
      <c r="H1844" s="11">
        <f t="shared" si="191"/>
        <v>0.5</v>
      </c>
      <c r="I1844" s="10">
        <f t="shared" si="192"/>
        <v>6.8</v>
      </c>
      <c r="J1844" s="10">
        <f t="shared" si="193"/>
        <v>7.2</v>
      </c>
      <c r="K1844" s="10">
        <f t="shared" si="189"/>
        <v>20.6</v>
      </c>
      <c r="L1844" s="10">
        <f t="shared" si="194"/>
        <v>6.8</v>
      </c>
    </row>
    <row r="1845" spans="1:12" x14ac:dyDescent="0.25">
      <c r="A1845" s="7">
        <v>45414</v>
      </c>
      <c r="B1845" s="2" t="s">
        <v>551</v>
      </c>
      <c r="C1845" s="6">
        <v>2094</v>
      </c>
      <c r="D1845" s="5" t="s">
        <v>574</v>
      </c>
      <c r="E1845" s="1">
        <v>0.34166666666666667</v>
      </c>
      <c r="F1845" s="1">
        <v>0.58333333333333337</v>
      </c>
      <c r="G1845" s="9">
        <f t="shared" si="190"/>
        <v>45411</v>
      </c>
      <c r="H1845" s="11">
        <f t="shared" si="191"/>
        <v>5.8</v>
      </c>
      <c r="I1845" s="10">
        <f t="shared" si="192"/>
        <v>5.8</v>
      </c>
      <c r="J1845" s="10">
        <f t="shared" si="193"/>
        <v>7.2</v>
      </c>
      <c r="K1845" s="10">
        <f t="shared" si="189"/>
        <v>26.400000000000002</v>
      </c>
      <c r="L1845" s="10">
        <f t="shared" si="194"/>
        <v>12.6</v>
      </c>
    </row>
    <row r="1846" spans="1:12" x14ac:dyDescent="0.25">
      <c r="A1846" s="7">
        <v>45414</v>
      </c>
      <c r="B1846" t="s">
        <v>311</v>
      </c>
      <c r="C1846" s="6">
        <v>2008</v>
      </c>
      <c r="D1846" s="1" t="s">
        <v>44</v>
      </c>
      <c r="E1846" s="1">
        <v>0.58333333333333337</v>
      </c>
      <c r="F1846" s="1">
        <v>0.625</v>
      </c>
      <c r="G1846" s="9">
        <f t="shared" si="190"/>
        <v>45411</v>
      </c>
      <c r="H1846" s="11">
        <f t="shared" si="191"/>
        <v>1</v>
      </c>
      <c r="I1846" s="10">
        <f t="shared" si="192"/>
        <v>6.8</v>
      </c>
      <c r="J1846" s="10">
        <f t="shared" si="193"/>
        <v>7.2</v>
      </c>
      <c r="K1846" s="10">
        <f t="shared" si="189"/>
        <v>27.4</v>
      </c>
      <c r="L1846" s="10">
        <f t="shared" si="194"/>
        <v>13.6</v>
      </c>
    </row>
    <row r="1847" spans="1:12" x14ac:dyDescent="0.25">
      <c r="A1847" s="7">
        <v>45414</v>
      </c>
      <c r="B1847" s="2" t="s">
        <v>551</v>
      </c>
      <c r="C1847" s="6">
        <v>2094</v>
      </c>
      <c r="D1847" s="5" t="s">
        <v>574</v>
      </c>
      <c r="E1847" s="1">
        <v>0.625</v>
      </c>
      <c r="F1847" s="1">
        <v>0.64583333333333337</v>
      </c>
      <c r="G1847" s="9">
        <f t="shared" si="190"/>
        <v>45411</v>
      </c>
      <c r="H1847" s="11">
        <f t="shared" si="191"/>
        <v>0.5</v>
      </c>
      <c r="I1847" s="10">
        <f t="shared" si="192"/>
        <v>7.3</v>
      </c>
      <c r="J1847" s="10">
        <f t="shared" si="193"/>
        <v>7.2</v>
      </c>
      <c r="K1847" s="10">
        <f t="shared" si="189"/>
        <v>27.9</v>
      </c>
      <c r="L1847" s="10">
        <f t="shared" si="194"/>
        <v>14.1</v>
      </c>
    </row>
    <row r="1848" spans="1:12" x14ac:dyDescent="0.25">
      <c r="A1848" s="7">
        <v>45415</v>
      </c>
      <c r="B1848" t="s">
        <v>411</v>
      </c>
      <c r="C1848" s="6">
        <v>6181</v>
      </c>
      <c r="D1848" s="5" t="s">
        <v>575</v>
      </c>
      <c r="E1848" s="1">
        <v>0.3298611111111111</v>
      </c>
      <c r="F1848" s="1">
        <v>0.39583333333333331</v>
      </c>
      <c r="G1848" s="9">
        <f t="shared" si="190"/>
        <v>45411</v>
      </c>
      <c r="H1848" s="11">
        <f t="shared" si="191"/>
        <v>1.6</v>
      </c>
      <c r="I1848" s="10">
        <f t="shared" si="192"/>
        <v>1.6</v>
      </c>
      <c r="J1848" s="10">
        <f t="shared" si="193"/>
        <v>7.2</v>
      </c>
      <c r="K1848" s="10">
        <f t="shared" si="189"/>
        <v>29.5</v>
      </c>
      <c r="L1848" s="10">
        <f t="shared" si="194"/>
        <v>15.7</v>
      </c>
    </row>
    <row r="1849" spans="1:12" x14ac:dyDescent="0.25">
      <c r="A1849" s="7">
        <v>45415</v>
      </c>
      <c r="B1849" s="2" t="s">
        <v>551</v>
      </c>
      <c r="C1849" s="6">
        <v>2094</v>
      </c>
      <c r="D1849" s="5" t="s">
        <v>574</v>
      </c>
      <c r="E1849" s="1">
        <v>0.39583333333333331</v>
      </c>
      <c r="F1849" s="1">
        <v>0.47847222222222224</v>
      </c>
      <c r="G1849" s="9">
        <f t="shared" si="190"/>
        <v>45411</v>
      </c>
      <c r="H1849" s="11">
        <f t="shared" si="191"/>
        <v>2</v>
      </c>
      <c r="I1849" s="10">
        <f t="shared" si="192"/>
        <v>3.6</v>
      </c>
      <c r="J1849" s="10">
        <f t="shared" si="193"/>
        <v>7.2</v>
      </c>
      <c r="K1849" s="10">
        <f t="shared" si="189"/>
        <v>31.5</v>
      </c>
      <c r="L1849" s="10">
        <f t="shared" si="194"/>
        <v>17.7</v>
      </c>
    </row>
    <row r="1850" spans="1:12" x14ac:dyDescent="0.25">
      <c r="A1850" s="7">
        <v>45415</v>
      </c>
      <c r="B1850" s="2" t="s">
        <v>551</v>
      </c>
      <c r="C1850" s="6">
        <v>2094</v>
      </c>
      <c r="D1850" s="5" t="s">
        <v>574</v>
      </c>
      <c r="E1850" s="1">
        <v>0.49305555555555558</v>
      </c>
      <c r="F1850" s="1">
        <v>0.68125000000000002</v>
      </c>
      <c r="G1850" s="9">
        <f t="shared" si="190"/>
        <v>45411</v>
      </c>
      <c r="H1850" s="11">
        <f t="shared" si="191"/>
        <v>4.5</v>
      </c>
      <c r="I1850" s="10">
        <f t="shared" si="192"/>
        <v>8.1</v>
      </c>
      <c r="J1850" s="10">
        <f t="shared" si="193"/>
        <v>7.2</v>
      </c>
      <c r="K1850" s="10">
        <f t="shared" si="189"/>
        <v>36</v>
      </c>
      <c r="L1850" s="10">
        <f t="shared" si="194"/>
        <v>22.2</v>
      </c>
    </row>
    <row r="1851" spans="1:12" x14ac:dyDescent="0.25">
      <c r="A1851" s="7">
        <v>45418</v>
      </c>
      <c r="B1851" t="s">
        <v>411</v>
      </c>
      <c r="C1851" s="6">
        <v>6181</v>
      </c>
      <c r="D1851" s="5" t="s">
        <v>575</v>
      </c>
      <c r="E1851" s="1">
        <v>0.29375000000000001</v>
      </c>
      <c r="F1851" s="1">
        <v>0.31805555555555554</v>
      </c>
      <c r="G1851" s="9">
        <f t="shared" si="190"/>
        <v>45418</v>
      </c>
      <c r="H1851" s="11">
        <f t="shared" si="191"/>
        <v>0.6</v>
      </c>
      <c r="I1851" s="10">
        <f t="shared" si="192"/>
        <v>0.6</v>
      </c>
      <c r="J1851" s="10">
        <f t="shared" si="193"/>
        <v>7.2</v>
      </c>
      <c r="K1851" s="10">
        <f t="shared" si="189"/>
        <v>0.6</v>
      </c>
      <c r="L1851" s="10">
        <f t="shared" si="194"/>
        <v>22.8</v>
      </c>
    </row>
    <row r="1852" spans="1:12" x14ac:dyDescent="0.25">
      <c r="A1852" s="7">
        <v>45418</v>
      </c>
      <c r="B1852" t="s">
        <v>6</v>
      </c>
      <c r="C1852" s="6" t="s">
        <v>416</v>
      </c>
      <c r="D1852" s="5" t="s">
        <v>560</v>
      </c>
      <c r="E1852" s="1">
        <v>0.42222222222222222</v>
      </c>
      <c r="F1852" s="1">
        <v>0.4548611111111111</v>
      </c>
      <c r="G1852" s="9">
        <f t="shared" si="190"/>
        <v>45418</v>
      </c>
      <c r="H1852" s="11">
        <f t="shared" si="191"/>
        <v>0.8</v>
      </c>
      <c r="I1852" s="10">
        <f t="shared" si="192"/>
        <v>1.4</v>
      </c>
      <c r="J1852" s="10">
        <f t="shared" si="193"/>
        <v>7.2</v>
      </c>
      <c r="K1852" s="10">
        <f t="shared" si="189"/>
        <v>1.4</v>
      </c>
      <c r="L1852" s="10">
        <f t="shared" si="194"/>
        <v>23.6</v>
      </c>
    </row>
    <row r="1853" spans="1:12" x14ac:dyDescent="0.25">
      <c r="A1853" s="7">
        <v>45418</v>
      </c>
      <c r="B1853" s="2" t="s">
        <v>551</v>
      </c>
      <c r="C1853" s="6">
        <v>2094</v>
      </c>
      <c r="D1853" s="5" t="s">
        <v>219</v>
      </c>
      <c r="E1853" s="1">
        <v>0.4548611111111111</v>
      </c>
      <c r="F1853" s="1">
        <v>0.48888888888888887</v>
      </c>
      <c r="G1853" s="9">
        <f t="shared" si="190"/>
        <v>45418</v>
      </c>
      <c r="H1853" s="11">
        <f t="shared" si="191"/>
        <v>0.8</v>
      </c>
      <c r="I1853" s="10">
        <f t="shared" si="192"/>
        <v>2.2000000000000002</v>
      </c>
      <c r="J1853" s="10">
        <f t="shared" si="193"/>
        <v>7.2</v>
      </c>
      <c r="K1853" s="10">
        <f t="shared" si="189"/>
        <v>2.2000000000000002</v>
      </c>
      <c r="L1853" s="10">
        <f t="shared" si="194"/>
        <v>24.400000000000002</v>
      </c>
    </row>
    <row r="1854" spans="1:12" x14ac:dyDescent="0.25">
      <c r="A1854" s="7">
        <v>45418</v>
      </c>
      <c r="B1854" s="2" t="s">
        <v>551</v>
      </c>
      <c r="C1854" s="6">
        <v>2094</v>
      </c>
      <c r="D1854" s="5" t="s">
        <v>219</v>
      </c>
      <c r="E1854" s="1">
        <v>0.5083333333333333</v>
      </c>
      <c r="F1854" s="1">
        <v>0.66666666666666663</v>
      </c>
      <c r="G1854" s="9">
        <f t="shared" si="190"/>
        <v>45418</v>
      </c>
      <c r="H1854" s="11">
        <f t="shared" si="191"/>
        <v>3.8</v>
      </c>
      <c r="I1854" s="10">
        <f t="shared" si="192"/>
        <v>6</v>
      </c>
      <c r="J1854" s="10">
        <f t="shared" si="193"/>
        <v>7.2</v>
      </c>
      <c r="K1854" s="10">
        <f t="shared" si="189"/>
        <v>6</v>
      </c>
      <c r="L1854" s="10">
        <f t="shared" si="194"/>
        <v>28.2</v>
      </c>
    </row>
    <row r="1855" spans="1:12" x14ac:dyDescent="0.25">
      <c r="A1855" s="7">
        <v>45419</v>
      </c>
      <c r="B1855" t="s">
        <v>411</v>
      </c>
      <c r="C1855" s="6">
        <v>6181</v>
      </c>
      <c r="D1855" s="5" t="s">
        <v>575</v>
      </c>
      <c r="E1855" s="1">
        <v>0.33333333333333331</v>
      </c>
      <c r="F1855" s="1">
        <v>0.46041666666666664</v>
      </c>
      <c r="G1855" s="9">
        <f t="shared" si="190"/>
        <v>45418</v>
      </c>
      <c r="H1855" s="11">
        <f t="shared" si="191"/>
        <v>3.1</v>
      </c>
      <c r="I1855" s="10">
        <f t="shared" si="192"/>
        <v>3.1</v>
      </c>
      <c r="J1855" s="10">
        <f t="shared" si="193"/>
        <v>7.2</v>
      </c>
      <c r="K1855" s="10">
        <f t="shared" si="189"/>
        <v>9.1</v>
      </c>
      <c r="L1855" s="10">
        <f t="shared" si="194"/>
        <v>31.3</v>
      </c>
    </row>
    <row r="1856" spans="1:12" x14ac:dyDescent="0.25">
      <c r="A1856" s="7">
        <v>45419</v>
      </c>
      <c r="B1856" t="s">
        <v>411</v>
      </c>
      <c r="C1856" s="6">
        <v>6181</v>
      </c>
      <c r="D1856" s="5" t="s">
        <v>576</v>
      </c>
      <c r="E1856" s="1">
        <v>0.46041666666666664</v>
      </c>
      <c r="F1856" s="1">
        <v>0.48888888888888887</v>
      </c>
      <c r="G1856" s="9">
        <f t="shared" si="190"/>
        <v>45418</v>
      </c>
      <c r="H1856" s="11">
        <f t="shared" si="191"/>
        <v>0.7</v>
      </c>
      <c r="I1856" s="10">
        <f t="shared" si="192"/>
        <v>3.8</v>
      </c>
      <c r="J1856" s="10">
        <f t="shared" si="193"/>
        <v>7.2</v>
      </c>
      <c r="K1856" s="10">
        <f t="shared" si="189"/>
        <v>9.7999999999999989</v>
      </c>
      <c r="L1856" s="10">
        <f t="shared" si="194"/>
        <v>32</v>
      </c>
    </row>
    <row r="1857" spans="1:12" x14ac:dyDescent="0.25">
      <c r="A1857" s="7">
        <v>45419</v>
      </c>
      <c r="B1857" t="s">
        <v>411</v>
      </c>
      <c r="C1857" s="6">
        <v>6181</v>
      </c>
      <c r="D1857" s="5" t="s">
        <v>576</v>
      </c>
      <c r="E1857" s="1">
        <v>0.50486111111111109</v>
      </c>
      <c r="F1857" s="1">
        <v>0.54166666666666663</v>
      </c>
      <c r="G1857" s="9">
        <f t="shared" si="190"/>
        <v>45418</v>
      </c>
      <c r="H1857" s="11">
        <f t="shared" si="191"/>
        <v>0.9</v>
      </c>
      <c r="I1857" s="10">
        <f t="shared" si="192"/>
        <v>4.7</v>
      </c>
      <c r="J1857" s="10">
        <f t="shared" si="193"/>
        <v>7.2</v>
      </c>
      <c r="K1857" s="10">
        <f t="shared" si="189"/>
        <v>10.700000000000001</v>
      </c>
      <c r="L1857" s="10">
        <f t="shared" si="194"/>
        <v>32.9</v>
      </c>
    </row>
    <row r="1858" spans="1:12" x14ac:dyDescent="0.25">
      <c r="A1858" s="7">
        <v>45419</v>
      </c>
      <c r="B1858" t="s">
        <v>6</v>
      </c>
      <c r="C1858" s="6" t="s">
        <v>416</v>
      </c>
      <c r="D1858" s="5" t="s">
        <v>58</v>
      </c>
      <c r="E1858" s="1">
        <v>0.54166666666666663</v>
      </c>
      <c r="F1858" s="1">
        <v>0.58472222222222225</v>
      </c>
      <c r="G1858" s="9">
        <f t="shared" si="190"/>
        <v>45418</v>
      </c>
      <c r="H1858" s="11">
        <f t="shared" si="191"/>
        <v>1</v>
      </c>
      <c r="I1858" s="10">
        <f t="shared" si="192"/>
        <v>5.7</v>
      </c>
      <c r="J1858" s="10">
        <f t="shared" si="193"/>
        <v>7.2</v>
      </c>
      <c r="K1858" s="10">
        <f t="shared" si="189"/>
        <v>11.7</v>
      </c>
      <c r="L1858" s="10">
        <f t="shared" si="194"/>
        <v>33.9</v>
      </c>
    </row>
    <row r="1859" spans="1:12" x14ac:dyDescent="0.25">
      <c r="A1859" s="7">
        <v>45419</v>
      </c>
      <c r="B1859" t="s">
        <v>411</v>
      </c>
      <c r="C1859" s="6">
        <v>6181</v>
      </c>
      <c r="D1859" s="5" t="s">
        <v>576</v>
      </c>
      <c r="E1859" s="1">
        <v>0.58472222222222225</v>
      </c>
      <c r="F1859" s="1">
        <v>0.6743055555555556</v>
      </c>
      <c r="G1859" s="9">
        <f t="shared" si="190"/>
        <v>45418</v>
      </c>
      <c r="H1859" s="11">
        <f t="shared" si="191"/>
        <v>2.2000000000000002</v>
      </c>
      <c r="I1859" s="10">
        <f t="shared" si="192"/>
        <v>7.9</v>
      </c>
      <c r="J1859" s="10">
        <f t="shared" si="193"/>
        <v>7.2</v>
      </c>
      <c r="K1859" s="10">
        <f t="shared" ref="K1859:K1922" si="195">IF(H1859="",H1859,H1859+IF(G1859=G1858,_xlfn.NUMBERVALUE(K1858),0))</f>
        <v>13.899999999999999</v>
      </c>
      <c r="L1859" s="10">
        <f t="shared" si="194"/>
        <v>36.1</v>
      </c>
    </row>
    <row r="1860" spans="1:12" x14ac:dyDescent="0.25">
      <c r="A1860" s="7">
        <v>45420</v>
      </c>
      <c r="B1860" t="s">
        <v>411</v>
      </c>
      <c r="C1860" s="6">
        <v>6181</v>
      </c>
      <c r="D1860" s="1" t="s">
        <v>576</v>
      </c>
      <c r="E1860" s="1">
        <v>0.33124999999999999</v>
      </c>
      <c r="F1860" s="1">
        <v>0.56388888888888888</v>
      </c>
      <c r="G1860" s="9">
        <f t="shared" si="190"/>
        <v>45418</v>
      </c>
      <c r="H1860" s="11">
        <f t="shared" si="191"/>
        <v>5.6</v>
      </c>
      <c r="I1860" s="10">
        <f t="shared" si="192"/>
        <v>5.6</v>
      </c>
      <c r="J1860" s="10">
        <f t="shared" si="193"/>
        <v>7.2</v>
      </c>
      <c r="K1860" s="10">
        <f t="shared" si="195"/>
        <v>19.5</v>
      </c>
      <c r="L1860" s="10">
        <f t="shared" si="194"/>
        <v>41.7</v>
      </c>
    </row>
    <row r="1861" spans="1:12" x14ac:dyDescent="0.25">
      <c r="A1861" s="7">
        <v>45420</v>
      </c>
      <c r="B1861" t="s">
        <v>411</v>
      </c>
      <c r="C1861" s="6">
        <v>6181</v>
      </c>
      <c r="D1861" t="s">
        <v>577</v>
      </c>
      <c r="E1861" s="1">
        <v>0.56388888888888888</v>
      </c>
      <c r="F1861" s="1">
        <v>0.6069444444444444</v>
      </c>
      <c r="G1861" s="9">
        <f t="shared" si="190"/>
        <v>45418</v>
      </c>
      <c r="H1861" s="11">
        <f t="shared" si="191"/>
        <v>1</v>
      </c>
      <c r="I1861" s="10">
        <f t="shared" si="192"/>
        <v>6.6</v>
      </c>
      <c r="J1861" s="10">
        <f t="shared" si="193"/>
        <v>7.2</v>
      </c>
      <c r="K1861" s="10">
        <f t="shared" si="195"/>
        <v>20.5</v>
      </c>
      <c r="L1861" s="10">
        <f t="shared" si="194"/>
        <v>42.7</v>
      </c>
    </row>
    <row r="1862" spans="1:12" x14ac:dyDescent="0.25">
      <c r="A1862" s="7">
        <v>45420</v>
      </c>
      <c r="B1862" t="s">
        <v>411</v>
      </c>
      <c r="C1862" s="6">
        <v>6181</v>
      </c>
      <c r="D1862" s="1" t="s">
        <v>576</v>
      </c>
      <c r="E1862" s="1">
        <v>0.6069444444444444</v>
      </c>
      <c r="F1862" s="1">
        <v>0.65555555555555556</v>
      </c>
      <c r="G1862" s="9">
        <f t="shared" si="190"/>
        <v>45418</v>
      </c>
      <c r="H1862" s="11">
        <f t="shared" si="191"/>
        <v>1.2</v>
      </c>
      <c r="I1862" s="10">
        <f t="shared" si="192"/>
        <v>7.8</v>
      </c>
      <c r="J1862" s="10">
        <f t="shared" si="193"/>
        <v>7.2</v>
      </c>
      <c r="K1862" s="10">
        <f t="shared" si="195"/>
        <v>21.7</v>
      </c>
      <c r="L1862" s="10">
        <f t="shared" si="194"/>
        <v>43.900000000000006</v>
      </c>
    </row>
    <row r="1863" spans="1:12" x14ac:dyDescent="0.25">
      <c r="A1863" s="7">
        <v>45421</v>
      </c>
      <c r="B1863" t="s">
        <v>411</v>
      </c>
      <c r="C1863" s="6">
        <v>6181</v>
      </c>
      <c r="D1863" s="1" t="s">
        <v>576</v>
      </c>
      <c r="E1863" s="1">
        <v>0.32500000000000001</v>
      </c>
      <c r="F1863" s="1">
        <v>0.38472222222222224</v>
      </c>
      <c r="G1863" s="9">
        <f t="shared" si="190"/>
        <v>45418</v>
      </c>
      <c r="H1863" s="11">
        <f t="shared" si="191"/>
        <v>1.4</v>
      </c>
      <c r="I1863" s="10">
        <f t="shared" si="192"/>
        <v>1.4</v>
      </c>
      <c r="J1863" s="10">
        <f t="shared" si="193"/>
        <v>7.2</v>
      </c>
      <c r="K1863" s="10">
        <f t="shared" si="195"/>
        <v>23.099999999999998</v>
      </c>
      <c r="L1863" s="10">
        <f t="shared" si="194"/>
        <v>45.3</v>
      </c>
    </row>
    <row r="1864" spans="1:12" x14ac:dyDescent="0.25">
      <c r="A1864" s="7">
        <v>45421</v>
      </c>
      <c r="B1864" s="2" t="s">
        <v>551</v>
      </c>
      <c r="C1864" s="6">
        <v>2094</v>
      </c>
      <c r="D1864" s="5" t="s">
        <v>578</v>
      </c>
      <c r="E1864" s="1">
        <v>0.38472222222222224</v>
      </c>
      <c r="F1864" s="1">
        <v>0.54166666666666663</v>
      </c>
      <c r="G1864" s="9">
        <f t="shared" si="190"/>
        <v>45418</v>
      </c>
      <c r="H1864" s="11">
        <f t="shared" si="191"/>
        <v>3.8</v>
      </c>
      <c r="I1864" s="10">
        <f t="shared" si="192"/>
        <v>5.1999999999999993</v>
      </c>
      <c r="J1864" s="10">
        <f t="shared" si="193"/>
        <v>7.2</v>
      </c>
      <c r="K1864" s="10">
        <f t="shared" si="195"/>
        <v>26.900000000000002</v>
      </c>
      <c r="L1864" s="10">
        <f t="shared" si="194"/>
        <v>49.099999999999994</v>
      </c>
    </row>
    <row r="1865" spans="1:12" x14ac:dyDescent="0.25">
      <c r="A1865" s="7">
        <v>45421</v>
      </c>
      <c r="B1865" s="2" t="s">
        <v>579</v>
      </c>
      <c r="C1865" s="6">
        <v>2682</v>
      </c>
      <c r="D1865" s="5" t="s">
        <v>544</v>
      </c>
      <c r="E1865" s="1">
        <v>0.54166666666666663</v>
      </c>
      <c r="F1865" s="1">
        <v>0.58611111111111114</v>
      </c>
      <c r="G1865" s="9">
        <f t="shared" si="190"/>
        <v>45418</v>
      </c>
      <c r="H1865" s="11">
        <f t="shared" si="191"/>
        <v>1.1000000000000001</v>
      </c>
      <c r="I1865" s="10">
        <f t="shared" si="192"/>
        <v>6.3000000000000007</v>
      </c>
      <c r="J1865" s="10">
        <f t="shared" si="193"/>
        <v>7.2</v>
      </c>
      <c r="K1865" s="10">
        <f t="shared" si="195"/>
        <v>28</v>
      </c>
      <c r="L1865" s="10">
        <f t="shared" si="194"/>
        <v>50.2</v>
      </c>
    </row>
    <row r="1866" spans="1:12" x14ac:dyDescent="0.25">
      <c r="A1866" s="7">
        <v>45421</v>
      </c>
      <c r="B1866" s="2" t="s">
        <v>551</v>
      </c>
      <c r="C1866" s="6">
        <v>2094</v>
      </c>
      <c r="D1866" s="5" t="s">
        <v>578</v>
      </c>
      <c r="E1866" s="1">
        <v>0.58611111111111114</v>
      </c>
      <c r="F1866" s="1">
        <v>0.61805555555555558</v>
      </c>
      <c r="G1866" s="9">
        <f t="shared" si="190"/>
        <v>45418</v>
      </c>
      <c r="H1866" s="11">
        <f t="shared" si="191"/>
        <v>0.8</v>
      </c>
      <c r="I1866" s="10">
        <f t="shared" si="192"/>
        <v>7.1</v>
      </c>
      <c r="J1866" s="10">
        <f t="shared" si="193"/>
        <v>7.2</v>
      </c>
      <c r="K1866" s="10">
        <f t="shared" si="195"/>
        <v>28.8</v>
      </c>
      <c r="L1866" s="10">
        <f t="shared" si="194"/>
        <v>51</v>
      </c>
    </row>
    <row r="1867" spans="1:12" x14ac:dyDescent="0.25">
      <c r="A1867" s="7">
        <v>45422</v>
      </c>
      <c r="B1867" t="s">
        <v>411</v>
      </c>
      <c r="C1867" s="6">
        <v>6181</v>
      </c>
      <c r="D1867" s="1" t="s">
        <v>576</v>
      </c>
      <c r="E1867" s="1">
        <v>0.34375</v>
      </c>
      <c r="F1867" s="1">
        <v>0.52430555555555558</v>
      </c>
      <c r="G1867" s="9">
        <f t="shared" si="190"/>
        <v>45418</v>
      </c>
      <c r="H1867" s="11">
        <f t="shared" si="191"/>
        <v>4.3</v>
      </c>
      <c r="I1867" s="10">
        <f t="shared" si="192"/>
        <v>4.3</v>
      </c>
      <c r="J1867" s="10">
        <f t="shared" si="193"/>
        <v>7.2</v>
      </c>
      <c r="K1867" s="10">
        <f t="shared" si="195"/>
        <v>33.1</v>
      </c>
      <c r="L1867" s="10">
        <f t="shared" si="194"/>
        <v>55.3</v>
      </c>
    </row>
    <row r="1868" spans="1:12" x14ac:dyDescent="0.25">
      <c r="A1868" s="7">
        <v>45422</v>
      </c>
      <c r="B1868" s="2" t="s">
        <v>551</v>
      </c>
      <c r="C1868" s="6">
        <v>2094</v>
      </c>
      <c r="D1868" s="5" t="s">
        <v>578</v>
      </c>
      <c r="E1868" s="1">
        <v>0.52430555555555558</v>
      </c>
      <c r="F1868" s="1">
        <v>0.53749999999999998</v>
      </c>
      <c r="G1868" s="9">
        <f t="shared" si="190"/>
        <v>45418</v>
      </c>
      <c r="H1868" s="11">
        <f t="shared" si="191"/>
        <v>0.3</v>
      </c>
      <c r="I1868" s="10">
        <f t="shared" si="192"/>
        <v>4.5999999999999996</v>
      </c>
      <c r="J1868" s="10">
        <f t="shared" si="193"/>
        <v>7.2</v>
      </c>
      <c r="K1868" s="10">
        <f t="shared" si="195"/>
        <v>33.4</v>
      </c>
      <c r="L1868" s="10">
        <f t="shared" si="194"/>
        <v>55.599999999999994</v>
      </c>
    </row>
    <row r="1869" spans="1:12" x14ac:dyDescent="0.25">
      <c r="A1869" s="7">
        <v>45422</v>
      </c>
      <c r="B1869" t="s">
        <v>6</v>
      </c>
      <c r="C1869" s="6" t="s">
        <v>416</v>
      </c>
      <c r="D1869" s="5" t="s">
        <v>580</v>
      </c>
      <c r="E1869" s="1">
        <v>0.53749999999999998</v>
      </c>
      <c r="F1869" s="1">
        <v>0.65208333333333335</v>
      </c>
      <c r="G1869" s="9">
        <f t="shared" si="190"/>
        <v>45418</v>
      </c>
      <c r="H1869" s="11">
        <f t="shared" si="191"/>
        <v>2.8</v>
      </c>
      <c r="I1869" s="10">
        <f t="shared" si="192"/>
        <v>7.3999999999999995</v>
      </c>
      <c r="J1869" s="10">
        <f t="shared" si="193"/>
        <v>7.2</v>
      </c>
      <c r="K1869" s="10">
        <f t="shared" si="195"/>
        <v>36.199999999999996</v>
      </c>
      <c r="L1869" s="10">
        <f t="shared" si="194"/>
        <v>58.4</v>
      </c>
    </row>
    <row r="1870" spans="1:12" x14ac:dyDescent="0.25">
      <c r="A1870" s="7">
        <v>45425</v>
      </c>
      <c r="B1870" s="2" t="s">
        <v>551</v>
      </c>
      <c r="C1870" s="6">
        <v>2094</v>
      </c>
      <c r="D1870" s="5" t="s">
        <v>578</v>
      </c>
      <c r="E1870" s="1">
        <v>0.34375</v>
      </c>
      <c r="F1870" s="1">
        <v>0.39097222222222222</v>
      </c>
      <c r="G1870" s="9">
        <f t="shared" si="190"/>
        <v>45425</v>
      </c>
      <c r="H1870" s="11">
        <f t="shared" si="191"/>
        <v>1.1000000000000001</v>
      </c>
      <c r="I1870" s="10">
        <f t="shared" si="192"/>
        <v>1.1000000000000001</v>
      </c>
      <c r="J1870" s="10">
        <f t="shared" si="193"/>
        <v>7.2</v>
      </c>
      <c r="K1870" s="10">
        <f t="shared" si="195"/>
        <v>1.1000000000000001</v>
      </c>
      <c r="L1870" s="10">
        <f t="shared" si="194"/>
        <v>59.5</v>
      </c>
    </row>
    <row r="1871" spans="1:12" x14ac:dyDescent="0.25">
      <c r="A1871" s="7">
        <v>45425</v>
      </c>
      <c r="B1871" s="2" t="s">
        <v>551</v>
      </c>
      <c r="C1871" s="6">
        <v>2094</v>
      </c>
      <c r="D1871" s="5" t="s">
        <v>578</v>
      </c>
      <c r="E1871" s="1">
        <v>0.4152777777777778</v>
      </c>
      <c r="F1871" s="1">
        <v>0.56597222222222221</v>
      </c>
      <c r="G1871" s="9">
        <f t="shared" si="190"/>
        <v>45425</v>
      </c>
      <c r="H1871" s="11">
        <f t="shared" si="191"/>
        <v>3.6</v>
      </c>
      <c r="I1871" s="10">
        <f t="shared" si="192"/>
        <v>4.7</v>
      </c>
      <c r="J1871" s="10">
        <f t="shared" si="193"/>
        <v>7.2</v>
      </c>
      <c r="K1871" s="10">
        <f t="shared" si="195"/>
        <v>4.7</v>
      </c>
      <c r="L1871" s="10">
        <f t="shared" si="194"/>
        <v>63.1</v>
      </c>
    </row>
    <row r="1872" spans="1:12" x14ac:dyDescent="0.25">
      <c r="A1872" s="7">
        <v>45425</v>
      </c>
      <c r="B1872" s="2" t="s">
        <v>551</v>
      </c>
      <c r="C1872" s="6">
        <v>2094</v>
      </c>
      <c r="D1872" s="5" t="s">
        <v>578</v>
      </c>
      <c r="E1872" s="1">
        <v>0.60624999999999996</v>
      </c>
      <c r="F1872" s="1">
        <v>0.68541666666666667</v>
      </c>
      <c r="G1872" s="9">
        <f t="shared" si="190"/>
        <v>45425</v>
      </c>
      <c r="H1872" s="11">
        <f t="shared" si="191"/>
        <v>1.9</v>
      </c>
      <c r="I1872" s="10">
        <f t="shared" si="192"/>
        <v>6.6</v>
      </c>
      <c r="J1872" s="10">
        <f t="shared" si="193"/>
        <v>7.2</v>
      </c>
      <c r="K1872" s="10">
        <f t="shared" si="195"/>
        <v>6.6</v>
      </c>
      <c r="L1872" s="10">
        <f t="shared" si="194"/>
        <v>65</v>
      </c>
    </row>
    <row r="1873" spans="1:12" x14ac:dyDescent="0.25">
      <c r="A1873" s="7">
        <v>45426</v>
      </c>
      <c r="B1873" t="s">
        <v>411</v>
      </c>
      <c r="C1873" s="6">
        <v>6181</v>
      </c>
      <c r="D1873" s="1" t="s">
        <v>576</v>
      </c>
      <c r="E1873" s="1">
        <v>0.32708333333333334</v>
      </c>
      <c r="F1873" s="1">
        <v>0.51875000000000004</v>
      </c>
      <c r="G1873" s="9">
        <f t="shared" si="190"/>
        <v>45425</v>
      </c>
      <c r="H1873" s="11">
        <f t="shared" si="191"/>
        <v>4.5999999999999996</v>
      </c>
      <c r="I1873" s="10">
        <f t="shared" si="192"/>
        <v>4.5999999999999996</v>
      </c>
      <c r="J1873" s="10">
        <f t="shared" si="193"/>
        <v>7.2</v>
      </c>
      <c r="K1873" s="10">
        <f t="shared" si="195"/>
        <v>11.2</v>
      </c>
      <c r="L1873" s="10">
        <f t="shared" si="194"/>
        <v>69.599999999999994</v>
      </c>
    </row>
    <row r="1874" spans="1:12" x14ac:dyDescent="0.25">
      <c r="A1874" s="7">
        <v>45426</v>
      </c>
      <c r="B1874" s="2" t="s">
        <v>551</v>
      </c>
      <c r="C1874" s="6">
        <v>2094</v>
      </c>
      <c r="D1874" s="5" t="s">
        <v>578</v>
      </c>
      <c r="E1874" s="1">
        <v>0.53541666666666665</v>
      </c>
      <c r="F1874" s="1">
        <v>0.68402777777777779</v>
      </c>
      <c r="G1874" s="9">
        <f t="shared" si="190"/>
        <v>45425</v>
      </c>
      <c r="H1874" s="11">
        <f t="shared" si="191"/>
        <v>3.6</v>
      </c>
      <c r="I1874" s="10">
        <f t="shared" si="192"/>
        <v>8.1999999999999993</v>
      </c>
      <c r="J1874" s="10">
        <f t="shared" si="193"/>
        <v>7.2</v>
      </c>
      <c r="K1874" s="10">
        <f t="shared" si="195"/>
        <v>14.799999999999999</v>
      </c>
      <c r="L1874" s="10">
        <f t="shared" si="194"/>
        <v>73.199999999999989</v>
      </c>
    </row>
    <row r="1875" spans="1:12" x14ac:dyDescent="0.25">
      <c r="A1875" s="7">
        <v>45427</v>
      </c>
      <c r="B1875" s="2" t="s">
        <v>551</v>
      </c>
      <c r="C1875" s="6">
        <v>2094</v>
      </c>
      <c r="D1875" s="5" t="s">
        <v>578</v>
      </c>
      <c r="E1875" s="1">
        <v>0.30486111111111114</v>
      </c>
      <c r="F1875" s="1">
        <v>0.4152777777777778</v>
      </c>
      <c r="G1875" s="9">
        <f t="shared" si="190"/>
        <v>45425</v>
      </c>
      <c r="H1875" s="11">
        <f t="shared" si="191"/>
        <v>2.7</v>
      </c>
      <c r="I1875" s="10">
        <f t="shared" si="192"/>
        <v>2.7</v>
      </c>
      <c r="J1875" s="10">
        <f t="shared" si="193"/>
        <v>7.2</v>
      </c>
      <c r="K1875" s="10">
        <f t="shared" si="195"/>
        <v>17.5</v>
      </c>
      <c r="L1875" s="10">
        <f t="shared" si="194"/>
        <v>75.900000000000006</v>
      </c>
    </row>
    <row r="1876" spans="1:12" x14ac:dyDescent="0.25">
      <c r="A1876" s="7">
        <v>45427</v>
      </c>
      <c r="B1876" s="2" t="s">
        <v>582</v>
      </c>
      <c r="C1876" s="6">
        <v>8055</v>
      </c>
      <c r="D1876" s="5" t="s">
        <v>581</v>
      </c>
      <c r="E1876" s="1">
        <v>0.4152777777777778</v>
      </c>
      <c r="F1876" s="1">
        <v>0.61041666666666672</v>
      </c>
      <c r="G1876" s="9">
        <f t="shared" si="190"/>
        <v>45425</v>
      </c>
      <c r="H1876" s="11">
        <f t="shared" si="191"/>
        <v>4.7</v>
      </c>
      <c r="I1876" s="10">
        <f t="shared" si="192"/>
        <v>7.4</v>
      </c>
      <c r="J1876" s="10">
        <f t="shared" si="193"/>
        <v>7.2</v>
      </c>
      <c r="K1876" s="10">
        <f t="shared" si="195"/>
        <v>22.2</v>
      </c>
      <c r="L1876" s="10">
        <f t="shared" si="194"/>
        <v>80.600000000000009</v>
      </c>
    </row>
    <row r="1877" spans="1:12" x14ac:dyDescent="0.25">
      <c r="A1877" s="7">
        <v>45428</v>
      </c>
      <c r="B1877" s="2" t="s">
        <v>582</v>
      </c>
      <c r="C1877" s="6">
        <v>8055</v>
      </c>
      <c r="D1877" s="5" t="s">
        <v>581</v>
      </c>
      <c r="E1877" s="1">
        <v>0.31805555555555554</v>
      </c>
      <c r="F1877" s="1">
        <v>0.54166666666666663</v>
      </c>
      <c r="G1877" s="9">
        <f t="shared" si="190"/>
        <v>45425</v>
      </c>
      <c r="H1877" s="11">
        <f t="shared" si="191"/>
        <v>5.4</v>
      </c>
      <c r="I1877" s="10">
        <f t="shared" si="192"/>
        <v>5.4</v>
      </c>
      <c r="J1877" s="10">
        <f t="shared" si="193"/>
        <v>7.2</v>
      </c>
      <c r="K1877" s="10">
        <f t="shared" si="195"/>
        <v>27.6</v>
      </c>
      <c r="L1877" s="10">
        <f t="shared" si="194"/>
        <v>86</v>
      </c>
    </row>
    <row r="1878" spans="1:12" x14ac:dyDescent="0.25">
      <c r="A1878" s="7">
        <v>45428</v>
      </c>
      <c r="B1878" t="s">
        <v>6</v>
      </c>
      <c r="C1878" s="6" t="s">
        <v>416</v>
      </c>
      <c r="D1878" s="5" t="s">
        <v>583</v>
      </c>
      <c r="E1878" s="1">
        <v>0.54166666666666663</v>
      </c>
      <c r="F1878" s="1">
        <v>0.5625</v>
      </c>
      <c r="G1878" s="9">
        <f t="shared" si="190"/>
        <v>45425</v>
      </c>
      <c r="H1878" s="11">
        <f t="shared" si="191"/>
        <v>0.5</v>
      </c>
      <c r="I1878" s="10">
        <f t="shared" si="192"/>
        <v>5.9</v>
      </c>
      <c r="J1878" s="10">
        <f t="shared" si="193"/>
        <v>7.2</v>
      </c>
      <c r="K1878" s="10">
        <f t="shared" si="195"/>
        <v>28.1</v>
      </c>
      <c r="L1878" s="10">
        <f t="shared" si="194"/>
        <v>86.5</v>
      </c>
    </row>
    <row r="1879" spans="1:12" x14ac:dyDescent="0.25">
      <c r="A1879" s="7">
        <v>45428</v>
      </c>
      <c r="B1879" t="s">
        <v>6</v>
      </c>
      <c r="C1879" s="6" t="s">
        <v>416</v>
      </c>
      <c r="D1879" s="5" t="s">
        <v>290</v>
      </c>
      <c r="E1879" s="1">
        <v>0.5625</v>
      </c>
      <c r="F1879" s="1">
        <v>0.58958333333333335</v>
      </c>
      <c r="G1879" s="9">
        <f t="shared" si="190"/>
        <v>45425</v>
      </c>
      <c r="H1879" s="11">
        <f t="shared" si="191"/>
        <v>0.7</v>
      </c>
      <c r="I1879" s="10">
        <f t="shared" si="192"/>
        <v>6.6000000000000005</v>
      </c>
      <c r="J1879" s="10">
        <f t="shared" si="193"/>
        <v>7.2</v>
      </c>
      <c r="K1879" s="10">
        <f t="shared" si="195"/>
        <v>28.8</v>
      </c>
      <c r="L1879" s="10">
        <f t="shared" si="194"/>
        <v>87.2</v>
      </c>
    </row>
    <row r="1880" spans="1:12" x14ac:dyDescent="0.25">
      <c r="A1880" s="7">
        <v>45428</v>
      </c>
      <c r="B1880" s="2" t="s">
        <v>582</v>
      </c>
      <c r="C1880" s="6">
        <v>8055</v>
      </c>
      <c r="D1880" s="5" t="s">
        <v>581</v>
      </c>
      <c r="E1880" s="1">
        <v>0.58958333333333335</v>
      </c>
      <c r="F1880" s="1">
        <v>0.64166666666666672</v>
      </c>
      <c r="G1880" s="9">
        <f t="shared" si="190"/>
        <v>45425</v>
      </c>
      <c r="H1880" s="11">
        <f t="shared" si="191"/>
        <v>1.3</v>
      </c>
      <c r="I1880" s="10">
        <f t="shared" si="192"/>
        <v>7.8999999999999995</v>
      </c>
      <c r="J1880" s="10">
        <f t="shared" si="193"/>
        <v>7.2</v>
      </c>
      <c r="K1880" s="10">
        <f t="shared" si="195"/>
        <v>30.1</v>
      </c>
      <c r="L1880" s="10">
        <f t="shared" si="194"/>
        <v>88.5</v>
      </c>
    </row>
    <row r="1881" spans="1:12" x14ac:dyDescent="0.25">
      <c r="A1881" s="7">
        <v>45429</v>
      </c>
      <c r="B1881" s="2" t="s">
        <v>551</v>
      </c>
      <c r="C1881" s="6">
        <v>2094</v>
      </c>
      <c r="D1881" s="5" t="s">
        <v>584</v>
      </c>
      <c r="E1881" s="1">
        <v>0.31666666666666665</v>
      </c>
      <c r="F1881" s="1">
        <v>0.43125000000000002</v>
      </c>
      <c r="G1881" s="9">
        <f t="shared" si="190"/>
        <v>45425</v>
      </c>
      <c r="H1881" s="11">
        <f t="shared" si="191"/>
        <v>2.8</v>
      </c>
      <c r="I1881" s="10">
        <f t="shared" si="192"/>
        <v>2.8</v>
      </c>
      <c r="J1881" s="10">
        <f t="shared" si="193"/>
        <v>7.2</v>
      </c>
      <c r="K1881" s="10">
        <f t="shared" si="195"/>
        <v>32.9</v>
      </c>
      <c r="L1881" s="10">
        <f t="shared" si="194"/>
        <v>91.3</v>
      </c>
    </row>
    <row r="1882" spans="1:12" x14ac:dyDescent="0.25">
      <c r="A1882" s="7">
        <v>45429</v>
      </c>
      <c r="B1882" s="2" t="s">
        <v>582</v>
      </c>
      <c r="C1882" s="6">
        <v>8055</v>
      </c>
      <c r="D1882" s="5" t="s">
        <v>581</v>
      </c>
      <c r="E1882" s="1">
        <v>0.43125000000000002</v>
      </c>
      <c r="F1882" s="1">
        <v>0.48541666666666666</v>
      </c>
      <c r="G1882" s="9">
        <f t="shared" si="190"/>
        <v>45425</v>
      </c>
      <c r="H1882" s="11">
        <f t="shared" si="191"/>
        <v>1.3</v>
      </c>
      <c r="I1882" s="10">
        <f t="shared" si="192"/>
        <v>4.0999999999999996</v>
      </c>
      <c r="J1882" s="10">
        <f t="shared" si="193"/>
        <v>7.2</v>
      </c>
      <c r="K1882" s="10">
        <f t="shared" si="195"/>
        <v>34.199999999999996</v>
      </c>
      <c r="L1882" s="10">
        <f t="shared" si="194"/>
        <v>92.6</v>
      </c>
    </row>
    <row r="1883" spans="1:12" x14ac:dyDescent="0.25">
      <c r="A1883" s="7">
        <v>45429</v>
      </c>
      <c r="B1883" t="s">
        <v>6</v>
      </c>
      <c r="C1883" s="6" t="s">
        <v>416</v>
      </c>
      <c r="D1883" s="5" t="s">
        <v>71</v>
      </c>
      <c r="E1883" s="1">
        <v>0.4909722222222222</v>
      </c>
      <c r="F1883" s="1">
        <v>0.58125000000000004</v>
      </c>
      <c r="G1883" s="9">
        <f t="shared" si="190"/>
        <v>45425</v>
      </c>
      <c r="H1883" s="11">
        <f t="shared" si="191"/>
        <v>2.2000000000000002</v>
      </c>
      <c r="I1883" s="10">
        <f t="shared" si="192"/>
        <v>6.3</v>
      </c>
      <c r="J1883" s="10">
        <f t="shared" si="193"/>
        <v>7.2</v>
      </c>
      <c r="K1883" s="10">
        <f t="shared" si="195"/>
        <v>36.400000000000006</v>
      </c>
      <c r="L1883" s="10">
        <f t="shared" si="194"/>
        <v>94.8</v>
      </c>
    </row>
    <row r="1884" spans="1:12" x14ac:dyDescent="0.25">
      <c r="A1884" s="7">
        <v>45432</v>
      </c>
      <c r="B1884" t="s">
        <v>6</v>
      </c>
      <c r="C1884" s="6" t="s">
        <v>416</v>
      </c>
      <c r="D1884" s="5" t="s">
        <v>104</v>
      </c>
      <c r="E1884" s="1">
        <v>0.37361111111111112</v>
      </c>
      <c r="F1884" s="1">
        <v>0.39583333333333331</v>
      </c>
      <c r="G1884" s="9">
        <f t="shared" si="190"/>
        <v>45432</v>
      </c>
      <c r="H1884" s="11">
        <f t="shared" si="191"/>
        <v>0.5</v>
      </c>
      <c r="I1884" s="10">
        <f t="shared" si="192"/>
        <v>0.5</v>
      </c>
      <c r="J1884" s="10">
        <f t="shared" si="193"/>
        <v>7.2</v>
      </c>
      <c r="K1884" s="10">
        <f t="shared" si="195"/>
        <v>0.5</v>
      </c>
      <c r="L1884" s="10">
        <f t="shared" si="194"/>
        <v>95.3</v>
      </c>
    </row>
    <row r="1885" spans="1:12" x14ac:dyDescent="0.25">
      <c r="A1885" s="7">
        <v>45432</v>
      </c>
      <c r="B1885" s="2" t="s">
        <v>551</v>
      </c>
      <c r="C1885" s="6">
        <v>2094</v>
      </c>
      <c r="D1885" s="5" t="s">
        <v>584</v>
      </c>
      <c r="E1885" s="1">
        <v>0.39583333333333331</v>
      </c>
      <c r="F1885" s="1">
        <v>0.48402777777777778</v>
      </c>
      <c r="G1885" s="9">
        <f t="shared" si="190"/>
        <v>45432</v>
      </c>
      <c r="H1885" s="11">
        <f t="shared" si="191"/>
        <v>2.1</v>
      </c>
      <c r="I1885" s="10">
        <f t="shared" si="192"/>
        <v>2.6</v>
      </c>
      <c r="J1885" s="10">
        <f t="shared" si="193"/>
        <v>7.2</v>
      </c>
      <c r="K1885" s="10">
        <f t="shared" si="195"/>
        <v>2.6</v>
      </c>
      <c r="L1885" s="10">
        <f t="shared" si="194"/>
        <v>97.399999999999991</v>
      </c>
    </row>
    <row r="1886" spans="1:12" x14ac:dyDescent="0.25">
      <c r="A1886" s="7">
        <v>45432</v>
      </c>
      <c r="B1886" s="2" t="s">
        <v>551</v>
      </c>
      <c r="C1886" s="6">
        <v>2094</v>
      </c>
      <c r="D1886" s="5" t="s">
        <v>584</v>
      </c>
      <c r="E1886" s="1">
        <v>0.49236111111111114</v>
      </c>
      <c r="F1886" s="1">
        <v>0.58819444444444446</v>
      </c>
      <c r="G1886" s="9">
        <f t="shared" si="190"/>
        <v>45432</v>
      </c>
      <c r="H1886" s="11">
        <f t="shared" si="191"/>
        <v>2.2999999999999998</v>
      </c>
      <c r="I1886" s="10">
        <f t="shared" si="192"/>
        <v>4.9000000000000004</v>
      </c>
      <c r="J1886" s="10">
        <f t="shared" si="193"/>
        <v>7.2</v>
      </c>
      <c r="K1886" s="10">
        <f t="shared" si="195"/>
        <v>4.9000000000000004</v>
      </c>
      <c r="L1886" s="10">
        <f t="shared" si="194"/>
        <v>99.7</v>
      </c>
    </row>
    <row r="1887" spans="1:12" x14ac:dyDescent="0.25">
      <c r="A1887" s="7">
        <v>45432</v>
      </c>
      <c r="B1887" s="2" t="s">
        <v>582</v>
      </c>
      <c r="C1887" s="6">
        <v>8055</v>
      </c>
      <c r="D1887" s="5" t="s">
        <v>581</v>
      </c>
      <c r="E1887" s="1">
        <v>0.58819444444444446</v>
      </c>
      <c r="F1887" s="1">
        <v>0.65972222222222221</v>
      </c>
      <c r="G1887" s="9">
        <f t="shared" si="190"/>
        <v>45432</v>
      </c>
      <c r="H1887" s="11">
        <f t="shared" si="191"/>
        <v>1.7</v>
      </c>
      <c r="I1887" s="10">
        <f t="shared" si="192"/>
        <v>6.6000000000000005</v>
      </c>
      <c r="J1887" s="10">
        <f t="shared" si="193"/>
        <v>7.2</v>
      </c>
      <c r="K1887" s="10">
        <f t="shared" si="195"/>
        <v>6.6000000000000005</v>
      </c>
      <c r="L1887" s="10">
        <f t="shared" si="194"/>
        <v>101.4</v>
      </c>
    </row>
    <row r="1888" spans="1:12" x14ac:dyDescent="0.25">
      <c r="A1888" s="7">
        <v>45433</v>
      </c>
      <c r="B1888" s="2" t="s">
        <v>582</v>
      </c>
      <c r="C1888" s="6">
        <v>8055</v>
      </c>
      <c r="D1888" s="5" t="s">
        <v>581</v>
      </c>
      <c r="E1888" s="1">
        <v>0.31736111111111109</v>
      </c>
      <c r="F1888" s="1">
        <v>0.375</v>
      </c>
      <c r="G1888" s="9">
        <f t="shared" si="190"/>
        <v>45432</v>
      </c>
      <c r="H1888" s="11">
        <f t="shared" si="191"/>
        <v>1.4</v>
      </c>
      <c r="I1888" s="10">
        <f t="shared" si="192"/>
        <v>1.4</v>
      </c>
      <c r="J1888" s="10">
        <f t="shared" si="193"/>
        <v>7.2</v>
      </c>
      <c r="K1888" s="10">
        <f t="shared" si="195"/>
        <v>8</v>
      </c>
      <c r="L1888" s="10">
        <f t="shared" si="194"/>
        <v>102.80000000000001</v>
      </c>
    </row>
    <row r="1889" spans="1:12" x14ac:dyDescent="0.25">
      <c r="A1889" s="7">
        <v>45433</v>
      </c>
      <c r="B1889" t="s">
        <v>6</v>
      </c>
      <c r="C1889" s="6" t="s">
        <v>416</v>
      </c>
      <c r="D1889" s="5" t="s">
        <v>234</v>
      </c>
      <c r="E1889" s="1">
        <v>0.375</v>
      </c>
      <c r="F1889" s="1">
        <v>0.46805555555555556</v>
      </c>
      <c r="G1889" s="9">
        <f t="shared" si="190"/>
        <v>45432</v>
      </c>
      <c r="H1889" s="11">
        <f t="shared" si="191"/>
        <v>2.2000000000000002</v>
      </c>
      <c r="I1889" s="10">
        <f t="shared" si="192"/>
        <v>3.6</v>
      </c>
      <c r="J1889" s="10">
        <f t="shared" si="193"/>
        <v>7.2</v>
      </c>
      <c r="K1889" s="10">
        <f t="shared" si="195"/>
        <v>10.199999999999999</v>
      </c>
      <c r="L1889" s="10">
        <f t="shared" si="194"/>
        <v>105</v>
      </c>
    </row>
    <row r="1890" spans="1:12" x14ac:dyDescent="0.25">
      <c r="A1890" s="7">
        <v>45433</v>
      </c>
      <c r="B1890" s="2" t="s">
        <v>551</v>
      </c>
      <c r="C1890" s="6">
        <v>2094</v>
      </c>
      <c r="D1890" s="5" t="s">
        <v>584</v>
      </c>
      <c r="E1890" s="1">
        <v>0.50138888888888888</v>
      </c>
      <c r="F1890" s="1">
        <v>0.61458333333333337</v>
      </c>
      <c r="G1890" s="9">
        <f t="shared" si="190"/>
        <v>45432</v>
      </c>
      <c r="H1890" s="11">
        <f t="shared" si="191"/>
        <v>2.7</v>
      </c>
      <c r="I1890" s="10">
        <f t="shared" si="192"/>
        <v>6.3000000000000007</v>
      </c>
      <c r="J1890" s="10">
        <f t="shared" si="193"/>
        <v>7.2</v>
      </c>
      <c r="K1890" s="10">
        <f t="shared" si="195"/>
        <v>12.899999999999999</v>
      </c>
      <c r="L1890" s="10">
        <f t="shared" si="194"/>
        <v>107.7</v>
      </c>
    </row>
    <row r="1891" spans="1:12" x14ac:dyDescent="0.25">
      <c r="A1891" s="7">
        <v>45434</v>
      </c>
      <c r="B1891" s="2" t="s">
        <v>551</v>
      </c>
      <c r="C1891" s="6">
        <v>2094</v>
      </c>
      <c r="D1891" s="5" t="s">
        <v>275</v>
      </c>
      <c r="E1891" s="1">
        <v>0.32013888888888886</v>
      </c>
      <c r="F1891" s="1">
        <v>0.33263888888888887</v>
      </c>
      <c r="G1891" s="9">
        <f t="shared" si="190"/>
        <v>45432</v>
      </c>
      <c r="H1891" s="11">
        <f t="shared" si="191"/>
        <v>0.3</v>
      </c>
      <c r="I1891" s="10">
        <f t="shared" si="192"/>
        <v>0.3</v>
      </c>
      <c r="J1891" s="10">
        <f t="shared" si="193"/>
        <v>7.2</v>
      </c>
      <c r="K1891" s="10">
        <f t="shared" si="195"/>
        <v>13.200000000000001</v>
      </c>
      <c r="L1891" s="10">
        <f t="shared" si="194"/>
        <v>108</v>
      </c>
    </row>
    <row r="1892" spans="1:12" x14ac:dyDescent="0.25">
      <c r="A1892" s="7">
        <v>45434</v>
      </c>
      <c r="B1892" s="2" t="s">
        <v>7</v>
      </c>
      <c r="C1892" s="6" t="s">
        <v>22</v>
      </c>
      <c r="D1892" s="5" t="s">
        <v>531</v>
      </c>
      <c r="E1892" s="1">
        <v>0.33333333333333331</v>
      </c>
      <c r="F1892" s="1">
        <v>0.47916666666666669</v>
      </c>
      <c r="G1892" s="9">
        <f t="shared" si="190"/>
        <v>45432</v>
      </c>
      <c r="H1892" s="11">
        <f t="shared" si="191"/>
        <v>3.5</v>
      </c>
      <c r="I1892" s="10">
        <f t="shared" si="192"/>
        <v>3.8</v>
      </c>
      <c r="J1892" s="10">
        <f t="shared" si="193"/>
        <v>7.2</v>
      </c>
      <c r="K1892" s="10">
        <f t="shared" si="195"/>
        <v>16.7</v>
      </c>
      <c r="L1892" s="10">
        <f t="shared" si="194"/>
        <v>111.5</v>
      </c>
    </row>
    <row r="1893" spans="1:12" x14ac:dyDescent="0.25">
      <c r="A1893" s="7">
        <v>45434</v>
      </c>
      <c r="B1893" s="2" t="s">
        <v>551</v>
      </c>
      <c r="C1893" s="6">
        <v>2094</v>
      </c>
      <c r="D1893" s="5" t="s">
        <v>275</v>
      </c>
      <c r="E1893" s="1">
        <v>0.48888888888888887</v>
      </c>
      <c r="F1893" s="1">
        <v>0.5395833333333333</v>
      </c>
      <c r="G1893" s="9">
        <f t="shared" si="190"/>
        <v>45432</v>
      </c>
      <c r="H1893" s="11">
        <f t="shared" si="191"/>
        <v>1.2</v>
      </c>
      <c r="I1893" s="10">
        <f t="shared" si="192"/>
        <v>5</v>
      </c>
      <c r="J1893" s="10">
        <f t="shared" si="193"/>
        <v>7.2</v>
      </c>
      <c r="K1893" s="10">
        <f t="shared" si="195"/>
        <v>17.899999999999999</v>
      </c>
      <c r="L1893" s="10">
        <f t="shared" si="194"/>
        <v>112.7</v>
      </c>
    </row>
    <row r="1894" spans="1:12" x14ac:dyDescent="0.25">
      <c r="A1894" s="7">
        <v>45434</v>
      </c>
      <c r="B1894" t="s">
        <v>6</v>
      </c>
      <c r="C1894" s="6" t="s">
        <v>416</v>
      </c>
      <c r="D1894" s="5" t="s">
        <v>58</v>
      </c>
      <c r="E1894" s="1">
        <v>0.5395833333333333</v>
      </c>
      <c r="F1894" s="1">
        <v>0.58402777777777781</v>
      </c>
      <c r="G1894" s="9">
        <f t="shared" si="190"/>
        <v>45432</v>
      </c>
      <c r="H1894" s="11">
        <f t="shared" si="191"/>
        <v>1.1000000000000001</v>
      </c>
      <c r="I1894" s="10">
        <f t="shared" si="192"/>
        <v>6.1</v>
      </c>
      <c r="J1894" s="10">
        <f t="shared" si="193"/>
        <v>7.2</v>
      </c>
      <c r="K1894" s="10">
        <f t="shared" si="195"/>
        <v>19</v>
      </c>
      <c r="L1894" s="10">
        <f t="shared" si="194"/>
        <v>113.8</v>
      </c>
    </row>
    <row r="1895" spans="1:12" x14ac:dyDescent="0.25">
      <c r="A1895" s="7">
        <v>45434</v>
      </c>
      <c r="B1895" s="2" t="s">
        <v>582</v>
      </c>
      <c r="C1895" s="6">
        <v>8055</v>
      </c>
      <c r="D1895" s="5" t="s">
        <v>581</v>
      </c>
      <c r="E1895" s="1">
        <v>0.58402777777777781</v>
      </c>
      <c r="F1895" s="1">
        <v>0.625</v>
      </c>
      <c r="G1895" s="9">
        <f t="shared" si="190"/>
        <v>45432</v>
      </c>
      <c r="H1895" s="11">
        <f t="shared" si="191"/>
        <v>1</v>
      </c>
      <c r="I1895" s="10">
        <f t="shared" si="192"/>
        <v>7.1</v>
      </c>
      <c r="J1895" s="10">
        <f t="shared" si="193"/>
        <v>7.2</v>
      </c>
      <c r="K1895" s="10">
        <f t="shared" si="195"/>
        <v>20</v>
      </c>
      <c r="L1895" s="10">
        <f t="shared" si="194"/>
        <v>114.8</v>
      </c>
    </row>
    <row r="1896" spans="1:12" x14ac:dyDescent="0.25">
      <c r="A1896" s="7">
        <v>45434</v>
      </c>
      <c r="B1896" t="s">
        <v>598</v>
      </c>
      <c r="C1896" s="6">
        <v>6004</v>
      </c>
      <c r="D1896" s="5" t="s">
        <v>583</v>
      </c>
      <c r="E1896" s="1">
        <v>0.625</v>
      </c>
      <c r="F1896" s="1">
        <v>0.67013888888888884</v>
      </c>
      <c r="G1896" s="9">
        <f t="shared" si="190"/>
        <v>45432</v>
      </c>
      <c r="H1896" s="11">
        <f t="shared" si="191"/>
        <v>1.1000000000000001</v>
      </c>
      <c r="I1896" s="10">
        <f t="shared" si="192"/>
        <v>8.1999999999999993</v>
      </c>
      <c r="J1896" s="10">
        <f t="shared" si="193"/>
        <v>7.2</v>
      </c>
      <c r="K1896" s="10">
        <f t="shared" si="195"/>
        <v>21.1</v>
      </c>
      <c r="L1896" s="10">
        <f t="shared" si="194"/>
        <v>115.89999999999999</v>
      </c>
    </row>
    <row r="1897" spans="1:12" x14ac:dyDescent="0.25">
      <c r="A1897" s="7">
        <v>45435</v>
      </c>
      <c r="B1897" s="2" t="s">
        <v>582</v>
      </c>
      <c r="C1897" s="6">
        <v>8055</v>
      </c>
      <c r="D1897" s="5" t="s">
        <v>581</v>
      </c>
      <c r="E1897" s="1">
        <v>0.31944444444444442</v>
      </c>
      <c r="F1897" s="1">
        <v>0.49791666666666667</v>
      </c>
      <c r="G1897" s="9">
        <f t="shared" si="190"/>
        <v>45432</v>
      </c>
      <c r="H1897" s="11">
        <f t="shared" si="191"/>
        <v>4.3</v>
      </c>
      <c r="I1897" s="10">
        <f t="shared" si="192"/>
        <v>4.3</v>
      </c>
      <c r="J1897" s="10">
        <f t="shared" si="193"/>
        <v>7.2</v>
      </c>
      <c r="K1897" s="10">
        <f t="shared" si="195"/>
        <v>25.400000000000002</v>
      </c>
      <c r="L1897" s="10">
        <f t="shared" si="194"/>
        <v>120.2</v>
      </c>
    </row>
    <row r="1898" spans="1:12" x14ac:dyDescent="0.25">
      <c r="A1898" s="7">
        <v>45435</v>
      </c>
      <c r="B1898" s="2" t="s">
        <v>582</v>
      </c>
      <c r="C1898" s="6">
        <v>8055</v>
      </c>
      <c r="D1898" s="5" t="s">
        <v>581</v>
      </c>
      <c r="E1898" s="1">
        <v>0.5131944444444444</v>
      </c>
      <c r="F1898" s="1">
        <v>0.59166666666666667</v>
      </c>
      <c r="G1898" s="9">
        <f t="shared" si="190"/>
        <v>45432</v>
      </c>
      <c r="H1898" s="11">
        <f t="shared" si="191"/>
        <v>1.9</v>
      </c>
      <c r="I1898" s="10">
        <f t="shared" si="192"/>
        <v>6.1999999999999993</v>
      </c>
      <c r="J1898" s="10">
        <f t="shared" si="193"/>
        <v>7.2</v>
      </c>
      <c r="K1898" s="10">
        <f t="shared" si="195"/>
        <v>27.299999999999997</v>
      </c>
      <c r="L1898" s="10">
        <f t="shared" si="194"/>
        <v>122.10000000000001</v>
      </c>
    </row>
    <row r="1899" spans="1:12" x14ac:dyDescent="0.25">
      <c r="A1899" s="7">
        <v>45435</v>
      </c>
      <c r="B1899" s="2" t="s">
        <v>551</v>
      </c>
      <c r="C1899" s="6">
        <v>2094</v>
      </c>
      <c r="D1899" s="5" t="s">
        <v>275</v>
      </c>
      <c r="E1899" s="1">
        <v>0.59166666666666667</v>
      </c>
      <c r="F1899" s="1">
        <v>0.64930555555555558</v>
      </c>
      <c r="G1899" s="9">
        <f t="shared" si="190"/>
        <v>45432</v>
      </c>
      <c r="H1899" s="11">
        <f t="shared" si="191"/>
        <v>1.4</v>
      </c>
      <c r="I1899" s="10">
        <f t="shared" si="192"/>
        <v>7.6</v>
      </c>
      <c r="J1899" s="10">
        <f t="shared" si="193"/>
        <v>7.2</v>
      </c>
      <c r="K1899" s="10">
        <f t="shared" si="195"/>
        <v>28.7</v>
      </c>
      <c r="L1899" s="10">
        <f t="shared" si="194"/>
        <v>123.5</v>
      </c>
    </row>
    <row r="1900" spans="1:12" x14ac:dyDescent="0.25">
      <c r="A1900" s="7">
        <v>45436</v>
      </c>
      <c r="B1900" s="2" t="s">
        <v>551</v>
      </c>
      <c r="C1900" s="6">
        <v>2094</v>
      </c>
      <c r="D1900" s="5" t="s">
        <v>275</v>
      </c>
      <c r="E1900" s="1">
        <v>0.33124999999999999</v>
      </c>
      <c r="F1900" s="1">
        <v>0.54513888888888884</v>
      </c>
      <c r="G1900" s="9">
        <f t="shared" si="190"/>
        <v>45432</v>
      </c>
      <c r="H1900" s="11">
        <f t="shared" si="191"/>
        <v>5.0999999999999996</v>
      </c>
      <c r="I1900" s="10">
        <f t="shared" si="192"/>
        <v>5.0999999999999996</v>
      </c>
      <c r="J1900" s="10">
        <f t="shared" si="193"/>
        <v>7.2</v>
      </c>
      <c r="K1900" s="10">
        <f t="shared" si="195"/>
        <v>33.799999999999997</v>
      </c>
      <c r="L1900" s="10">
        <f t="shared" si="194"/>
        <v>128.6</v>
      </c>
    </row>
    <row r="1901" spans="1:12" x14ac:dyDescent="0.25">
      <c r="A1901" s="7">
        <v>45436</v>
      </c>
      <c r="B1901" s="2" t="s">
        <v>551</v>
      </c>
      <c r="C1901" s="6">
        <v>2094</v>
      </c>
      <c r="D1901" s="5" t="s">
        <v>275</v>
      </c>
      <c r="E1901" s="1">
        <v>0.55902777777777779</v>
      </c>
      <c r="F1901" s="1">
        <v>0.70138888888888884</v>
      </c>
      <c r="G1901" s="9">
        <f t="shared" ref="G1901:G1964" si="196">IF(E1901&gt;0,INT((A1901-2)/7)*7+2,"")</f>
        <v>45432</v>
      </c>
      <c r="H1901" s="11">
        <f t="shared" ref="H1901:H1964" si="197">IF(E1901&gt;0,ROUND(24*(IF(F1901&gt;0,F1901,NowTime)-E1901),1),"")</f>
        <v>3.4</v>
      </c>
      <c r="I1901" s="10">
        <f t="shared" ref="I1901:I1964" si="198">IF(H1901="",H1901,H1901+IF(A1901=A1900,_xlfn.NUMBERVALUE(I1900),0))</f>
        <v>8.5</v>
      </c>
      <c r="J1901" s="10">
        <f t="shared" ref="J1901:J1964" si="199">IF(H1901="",H1901,7.2)</f>
        <v>7.2</v>
      </c>
      <c r="K1901" s="10">
        <f t="shared" si="195"/>
        <v>37.199999999999996</v>
      </c>
      <c r="L1901" s="10">
        <f t="shared" ref="L1901:L1964" si="200">IF(H1901="",H1901,H1901+IF(MONTH(A1901)=MONTH(A1900),_xlfn.NUMBERVALUE(L1900),0))</f>
        <v>132</v>
      </c>
    </row>
    <row r="1902" spans="1:12" x14ac:dyDescent="0.25">
      <c r="A1902" s="7">
        <v>45439</v>
      </c>
      <c r="B1902" t="s">
        <v>6</v>
      </c>
      <c r="C1902" s="6" t="s">
        <v>416</v>
      </c>
      <c r="D1902" s="5" t="s">
        <v>585</v>
      </c>
      <c r="E1902" s="1">
        <v>0.36041666666666666</v>
      </c>
      <c r="F1902" s="1">
        <v>0.40347222222222223</v>
      </c>
      <c r="G1902" s="9">
        <f t="shared" si="196"/>
        <v>45439</v>
      </c>
      <c r="H1902" s="11">
        <f t="shared" si="197"/>
        <v>1</v>
      </c>
      <c r="I1902" s="10">
        <f t="shared" si="198"/>
        <v>1</v>
      </c>
      <c r="J1902" s="10">
        <f t="shared" si="199"/>
        <v>7.2</v>
      </c>
      <c r="K1902" s="10">
        <f t="shared" si="195"/>
        <v>1</v>
      </c>
      <c r="L1902" s="10">
        <f t="shared" si="200"/>
        <v>133</v>
      </c>
    </row>
    <row r="1903" spans="1:12" x14ac:dyDescent="0.25">
      <c r="A1903" s="7">
        <v>45439</v>
      </c>
      <c r="B1903" s="2" t="s">
        <v>551</v>
      </c>
      <c r="C1903" s="6">
        <v>2094</v>
      </c>
      <c r="D1903" s="5" t="s">
        <v>90</v>
      </c>
      <c r="E1903" s="1">
        <v>0.40347222222222223</v>
      </c>
      <c r="F1903" s="1">
        <v>0.48888888888888887</v>
      </c>
      <c r="G1903" s="9">
        <f t="shared" si="196"/>
        <v>45439</v>
      </c>
      <c r="H1903" s="11">
        <f t="shared" si="197"/>
        <v>2.1</v>
      </c>
      <c r="I1903" s="10">
        <f t="shared" si="198"/>
        <v>3.1</v>
      </c>
      <c r="J1903" s="10">
        <f t="shared" si="199"/>
        <v>7.2</v>
      </c>
      <c r="K1903" s="10">
        <f t="shared" si="195"/>
        <v>3.1</v>
      </c>
      <c r="L1903" s="10">
        <f t="shared" si="200"/>
        <v>135.1</v>
      </c>
    </row>
    <row r="1904" spans="1:12" x14ac:dyDescent="0.25">
      <c r="A1904" s="7">
        <v>45439</v>
      </c>
      <c r="B1904" s="2" t="s">
        <v>551</v>
      </c>
      <c r="C1904" s="6">
        <v>2094</v>
      </c>
      <c r="D1904" s="5" t="s">
        <v>90</v>
      </c>
      <c r="E1904" s="1">
        <v>0.49791666666666667</v>
      </c>
      <c r="F1904" s="1">
        <v>0.64236111111111116</v>
      </c>
      <c r="G1904" s="9">
        <f t="shared" si="196"/>
        <v>45439</v>
      </c>
      <c r="H1904" s="11">
        <f t="shared" si="197"/>
        <v>3.5</v>
      </c>
      <c r="I1904" s="10">
        <f t="shared" si="198"/>
        <v>6.6</v>
      </c>
      <c r="J1904" s="10">
        <f t="shared" si="199"/>
        <v>7.2</v>
      </c>
      <c r="K1904" s="10">
        <f t="shared" si="195"/>
        <v>6.6</v>
      </c>
      <c r="L1904" s="10">
        <f t="shared" si="200"/>
        <v>138.6</v>
      </c>
    </row>
    <row r="1905" spans="1:12" x14ac:dyDescent="0.25">
      <c r="A1905" s="7">
        <v>45440</v>
      </c>
      <c r="B1905" s="2" t="s">
        <v>551</v>
      </c>
      <c r="C1905" s="6">
        <v>2094</v>
      </c>
      <c r="D1905" s="5" t="s">
        <v>90</v>
      </c>
      <c r="E1905" s="1">
        <v>0.30763888888888891</v>
      </c>
      <c r="F1905" s="1">
        <v>0.62638888888888888</v>
      </c>
      <c r="G1905" s="9">
        <f t="shared" si="196"/>
        <v>45439</v>
      </c>
      <c r="H1905" s="11">
        <f t="shared" si="197"/>
        <v>7.7</v>
      </c>
      <c r="I1905" s="10">
        <f t="shared" si="198"/>
        <v>7.7</v>
      </c>
      <c r="J1905" s="10">
        <f t="shared" si="199"/>
        <v>7.2</v>
      </c>
      <c r="K1905" s="10">
        <f t="shared" si="195"/>
        <v>14.3</v>
      </c>
      <c r="L1905" s="10">
        <f t="shared" si="200"/>
        <v>146.29999999999998</v>
      </c>
    </row>
    <row r="1906" spans="1:12" x14ac:dyDescent="0.25">
      <c r="A1906" s="7">
        <v>45441</v>
      </c>
      <c r="B1906" t="s">
        <v>598</v>
      </c>
      <c r="C1906" s="6">
        <v>6004</v>
      </c>
      <c r="D1906" s="1" t="s">
        <v>586</v>
      </c>
      <c r="E1906" s="1">
        <v>0.33333333333333331</v>
      </c>
      <c r="F1906" s="1">
        <v>0.4548611111111111</v>
      </c>
      <c r="G1906" s="9">
        <f t="shared" si="196"/>
        <v>45439</v>
      </c>
      <c r="H1906" s="11">
        <f t="shared" si="197"/>
        <v>2.9</v>
      </c>
      <c r="I1906" s="10">
        <f t="shared" si="198"/>
        <v>2.9</v>
      </c>
      <c r="J1906" s="10">
        <f t="shared" si="199"/>
        <v>7.2</v>
      </c>
      <c r="K1906" s="10">
        <f t="shared" si="195"/>
        <v>17.2</v>
      </c>
      <c r="L1906" s="10">
        <f t="shared" si="200"/>
        <v>149.20000000000002</v>
      </c>
    </row>
    <row r="1907" spans="1:12" x14ac:dyDescent="0.25">
      <c r="A1907" s="7">
        <v>45441</v>
      </c>
      <c r="B1907" t="s">
        <v>598</v>
      </c>
      <c r="C1907" s="6">
        <v>6004</v>
      </c>
      <c r="D1907" s="1" t="s">
        <v>586</v>
      </c>
      <c r="E1907" s="1">
        <v>0.51111111111111107</v>
      </c>
      <c r="F1907" s="1">
        <v>0.65</v>
      </c>
      <c r="G1907" s="9">
        <f t="shared" si="196"/>
        <v>45439</v>
      </c>
      <c r="H1907" s="11">
        <f t="shared" si="197"/>
        <v>3.3</v>
      </c>
      <c r="I1907" s="10">
        <f t="shared" si="198"/>
        <v>6.1999999999999993</v>
      </c>
      <c r="J1907" s="10">
        <f t="shared" si="199"/>
        <v>7.2</v>
      </c>
      <c r="K1907" s="10">
        <f t="shared" si="195"/>
        <v>20.5</v>
      </c>
      <c r="L1907" s="10">
        <f t="shared" si="200"/>
        <v>152.5</v>
      </c>
    </row>
    <row r="1908" spans="1:12" x14ac:dyDescent="0.25">
      <c r="A1908" s="7">
        <v>45442</v>
      </c>
      <c r="B1908" t="s">
        <v>598</v>
      </c>
      <c r="C1908" s="6">
        <v>6004</v>
      </c>
      <c r="D1908" s="1" t="s">
        <v>586</v>
      </c>
      <c r="E1908" s="1">
        <v>0.34375</v>
      </c>
      <c r="F1908" s="1">
        <v>0.49166666666666664</v>
      </c>
      <c r="G1908" s="9">
        <f t="shared" si="196"/>
        <v>45439</v>
      </c>
      <c r="H1908" s="11">
        <f t="shared" si="197"/>
        <v>3.6</v>
      </c>
      <c r="I1908" s="10">
        <f t="shared" si="198"/>
        <v>3.6</v>
      </c>
      <c r="J1908" s="10">
        <f t="shared" si="199"/>
        <v>7.2</v>
      </c>
      <c r="K1908" s="10">
        <f t="shared" si="195"/>
        <v>24.1</v>
      </c>
      <c r="L1908" s="10">
        <f t="shared" si="200"/>
        <v>156.1</v>
      </c>
    </row>
    <row r="1909" spans="1:12" x14ac:dyDescent="0.25">
      <c r="A1909" s="7">
        <v>45442</v>
      </c>
      <c r="B1909" s="2" t="s">
        <v>551</v>
      </c>
      <c r="C1909" s="6">
        <v>2094</v>
      </c>
      <c r="D1909" s="5" t="s">
        <v>587</v>
      </c>
      <c r="E1909" s="1">
        <v>0.50486111111111109</v>
      </c>
      <c r="F1909" s="1">
        <v>0.54027777777777775</v>
      </c>
      <c r="G1909" s="9">
        <f t="shared" si="196"/>
        <v>45439</v>
      </c>
      <c r="H1909" s="11">
        <f t="shared" si="197"/>
        <v>0.9</v>
      </c>
      <c r="I1909" s="10">
        <f t="shared" si="198"/>
        <v>4.5</v>
      </c>
      <c r="J1909" s="10">
        <f t="shared" si="199"/>
        <v>7.2</v>
      </c>
      <c r="K1909" s="10">
        <f t="shared" si="195"/>
        <v>25</v>
      </c>
      <c r="L1909" s="10">
        <f t="shared" si="200"/>
        <v>157</v>
      </c>
    </row>
    <row r="1910" spans="1:12" x14ac:dyDescent="0.25">
      <c r="A1910" s="7">
        <v>45442</v>
      </c>
      <c r="B1910" s="2" t="s">
        <v>588</v>
      </c>
      <c r="C1910" s="6">
        <v>2473</v>
      </c>
      <c r="D1910" s="5" t="s">
        <v>589</v>
      </c>
      <c r="E1910" s="1">
        <v>0.54027777777777775</v>
      </c>
      <c r="F1910" s="1">
        <v>0.59513888888888888</v>
      </c>
      <c r="G1910" s="9">
        <f t="shared" si="196"/>
        <v>45439</v>
      </c>
      <c r="H1910" s="11">
        <f t="shared" si="197"/>
        <v>1.3</v>
      </c>
      <c r="I1910" s="10">
        <f t="shared" si="198"/>
        <v>5.8</v>
      </c>
      <c r="J1910" s="10">
        <f t="shared" si="199"/>
        <v>7.2</v>
      </c>
      <c r="K1910" s="10">
        <f t="shared" si="195"/>
        <v>26.3</v>
      </c>
      <c r="L1910" s="10">
        <f t="shared" si="200"/>
        <v>158.30000000000001</v>
      </c>
    </row>
    <row r="1911" spans="1:12" x14ac:dyDescent="0.25">
      <c r="A1911" s="7">
        <v>45442</v>
      </c>
      <c r="B1911" t="s">
        <v>6</v>
      </c>
      <c r="C1911" s="6" t="s">
        <v>416</v>
      </c>
      <c r="D1911" s="5" t="s">
        <v>590</v>
      </c>
      <c r="E1911" s="1">
        <v>0.59583333333333333</v>
      </c>
      <c r="F1911" s="1">
        <v>0.6069444444444444</v>
      </c>
      <c r="G1911" s="9">
        <f t="shared" si="196"/>
        <v>45439</v>
      </c>
      <c r="H1911" s="11">
        <f t="shared" si="197"/>
        <v>0.3</v>
      </c>
      <c r="I1911" s="10">
        <f t="shared" si="198"/>
        <v>6.1</v>
      </c>
      <c r="J1911" s="10">
        <f t="shared" si="199"/>
        <v>7.2</v>
      </c>
      <c r="K1911" s="10">
        <f t="shared" si="195"/>
        <v>26.6</v>
      </c>
      <c r="L1911" s="10">
        <f t="shared" si="200"/>
        <v>158.60000000000002</v>
      </c>
    </row>
    <row r="1912" spans="1:12" x14ac:dyDescent="0.25">
      <c r="A1912" s="7">
        <v>45442</v>
      </c>
      <c r="B1912" s="2" t="s">
        <v>588</v>
      </c>
      <c r="C1912" s="6">
        <v>2473</v>
      </c>
      <c r="D1912" s="5" t="s">
        <v>589</v>
      </c>
      <c r="E1912" s="1">
        <v>0.6069444444444444</v>
      </c>
      <c r="F1912" s="1">
        <v>0.625</v>
      </c>
      <c r="G1912" s="9">
        <f t="shared" si="196"/>
        <v>45439</v>
      </c>
      <c r="H1912" s="11">
        <f t="shared" si="197"/>
        <v>0.4</v>
      </c>
      <c r="I1912" s="10">
        <f t="shared" si="198"/>
        <v>6.5</v>
      </c>
      <c r="J1912" s="10">
        <f t="shared" si="199"/>
        <v>7.2</v>
      </c>
      <c r="K1912" s="10">
        <f t="shared" si="195"/>
        <v>27</v>
      </c>
      <c r="L1912" s="10">
        <f t="shared" si="200"/>
        <v>159</v>
      </c>
    </row>
    <row r="1913" spans="1:12" x14ac:dyDescent="0.25">
      <c r="A1913" s="7">
        <v>45443</v>
      </c>
      <c r="B1913" s="2" t="s">
        <v>551</v>
      </c>
      <c r="C1913" s="6">
        <v>2094</v>
      </c>
      <c r="D1913" s="5" t="s">
        <v>587</v>
      </c>
      <c r="E1913" s="1">
        <v>0.34305555555555556</v>
      </c>
      <c r="F1913" s="1">
        <v>0.53611111111111109</v>
      </c>
      <c r="G1913" s="9">
        <f t="shared" si="196"/>
        <v>45439</v>
      </c>
      <c r="H1913" s="11">
        <f t="shared" si="197"/>
        <v>4.5999999999999996</v>
      </c>
      <c r="I1913" s="10">
        <f t="shared" si="198"/>
        <v>4.5999999999999996</v>
      </c>
      <c r="J1913" s="10">
        <f t="shared" si="199"/>
        <v>7.2</v>
      </c>
      <c r="K1913" s="10">
        <f t="shared" si="195"/>
        <v>31.6</v>
      </c>
      <c r="L1913" s="10">
        <f t="shared" si="200"/>
        <v>163.6</v>
      </c>
    </row>
    <row r="1914" spans="1:12" x14ac:dyDescent="0.25">
      <c r="A1914" s="7">
        <v>45443</v>
      </c>
      <c r="B1914" s="2" t="s">
        <v>588</v>
      </c>
      <c r="C1914" s="6">
        <v>2473</v>
      </c>
      <c r="D1914" s="5" t="s">
        <v>589</v>
      </c>
      <c r="E1914" s="1">
        <v>0.53611111111111109</v>
      </c>
      <c r="F1914" s="1">
        <v>0.62916666666666665</v>
      </c>
      <c r="G1914" s="9">
        <f t="shared" si="196"/>
        <v>45439</v>
      </c>
      <c r="H1914" s="11">
        <f t="shared" si="197"/>
        <v>2.2000000000000002</v>
      </c>
      <c r="I1914" s="10">
        <f t="shared" si="198"/>
        <v>6.8</v>
      </c>
      <c r="J1914" s="10">
        <f t="shared" si="199"/>
        <v>7.2</v>
      </c>
      <c r="K1914" s="10">
        <f t="shared" si="195"/>
        <v>33.800000000000004</v>
      </c>
      <c r="L1914" s="10">
        <f t="shared" si="200"/>
        <v>165.79999999999998</v>
      </c>
    </row>
    <row r="1915" spans="1:12" x14ac:dyDescent="0.25">
      <c r="A1915" s="7">
        <v>45446</v>
      </c>
      <c r="B1915" t="s">
        <v>7</v>
      </c>
      <c r="C1915" s="6" t="s">
        <v>22</v>
      </c>
      <c r="D1915" s="2" t="s">
        <v>591</v>
      </c>
      <c r="E1915" s="1">
        <v>0.40972222222222227</v>
      </c>
      <c r="F1915" s="1">
        <v>0.70833333333333337</v>
      </c>
      <c r="G1915" s="9">
        <f t="shared" si="196"/>
        <v>45446</v>
      </c>
      <c r="H1915" s="11">
        <f t="shared" si="197"/>
        <v>7.2</v>
      </c>
      <c r="I1915" s="10">
        <f t="shared" si="198"/>
        <v>7.2</v>
      </c>
      <c r="J1915" s="10">
        <f t="shared" si="199"/>
        <v>7.2</v>
      </c>
      <c r="K1915" s="10">
        <f t="shared" si="195"/>
        <v>7.2</v>
      </c>
      <c r="L1915" s="10">
        <f t="shared" si="200"/>
        <v>7.2</v>
      </c>
    </row>
    <row r="1916" spans="1:12" x14ac:dyDescent="0.25">
      <c r="A1916" s="7">
        <v>45447</v>
      </c>
      <c r="B1916" s="2" t="s">
        <v>588</v>
      </c>
      <c r="C1916" s="6">
        <v>2473</v>
      </c>
      <c r="D1916" s="5" t="s">
        <v>589</v>
      </c>
      <c r="E1916" s="1">
        <v>0.36666666666666664</v>
      </c>
      <c r="F1916" s="1">
        <v>0.54166666666666663</v>
      </c>
      <c r="G1916" s="9">
        <f t="shared" si="196"/>
        <v>45446</v>
      </c>
      <c r="H1916" s="11">
        <f t="shared" si="197"/>
        <v>4.2</v>
      </c>
      <c r="I1916" s="10">
        <f t="shared" si="198"/>
        <v>4.2</v>
      </c>
      <c r="J1916" s="10">
        <f t="shared" si="199"/>
        <v>7.2</v>
      </c>
      <c r="K1916" s="10">
        <f t="shared" si="195"/>
        <v>11.4</v>
      </c>
      <c r="L1916" s="10">
        <f t="shared" si="200"/>
        <v>11.4</v>
      </c>
    </row>
    <row r="1917" spans="1:12" x14ac:dyDescent="0.25">
      <c r="A1917" s="7">
        <v>45447</v>
      </c>
      <c r="B1917" t="s">
        <v>6</v>
      </c>
      <c r="C1917" s="6" t="s">
        <v>416</v>
      </c>
      <c r="D1917" s="5" t="s">
        <v>58</v>
      </c>
      <c r="E1917" s="1">
        <v>0.54166666666666663</v>
      </c>
      <c r="F1917" s="1">
        <v>0.5854166666666667</v>
      </c>
      <c r="G1917" s="9">
        <f t="shared" si="196"/>
        <v>45446</v>
      </c>
      <c r="H1917" s="11">
        <f t="shared" si="197"/>
        <v>1.1000000000000001</v>
      </c>
      <c r="I1917" s="10">
        <f t="shared" si="198"/>
        <v>5.3000000000000007</v>
      </c>
      <c r="J1917" s="10">
        <f t="shared" si="199"/>
        <v>7.2</v>
      </c>
      <c r="K1917" s="10">
        <f t="shared" si="195"/>
        <v>12.5</v>
      </c>
      <c r="L1917" s="10">
        <f t="shared" si="200"/>
        <v>12.5</v>
      </c>
    </row>
    <row r="1918" spans="1:12" x14ac:dyDescent="0.25">
      <c r="A1918" s="7">
        <v>45447</v>
      </c>
      <c r="B1918" s="2" t="s">
        <v>588</v>
      </c>
      <c r="C1918" s="6">
        <v>2473</v>
      </c>
      <c r="D1918" s="5" t="s">
        <v>589</v>
      </c>
      <c r="E1918" s="1">
        <v>0.5854166666666667</v>
      </c>
      <c r="F1918" s="1">
        <v>0.625</v>
      </c>
      <c r="G1918" s="9">
        <f t="shared" si="196"/>
        <v>45446</v>
      </c>
      <c r="H1918" s="11">
        <f t="shared" si="197"/>
        <v>0.9</v>
      </c>
      <c r="I1918" s="10">
        <f t="shared" si="198"/>
        <v>6.2</v>
      </c>
      <c r="J1918" s="10">
        <f t="shared" si="199"/>
        <v>7.2</v>
      </c>
      <c r="K1918" s="10">
        <f t="shared" si="195"/>
        <v>13.4</v>
      </c>
      <c r="L1918" s="10">
        <f t="shared" si="200"/>
        <v>13.4</v>
      </c>
    </row>
    <row r="1919" spans="1:12" x14ac:dyDescent="0.25">
      <c r="A1919" s="7">
        <v>45447</v>
      </c>
      <c r="B1919" s="2" t="s">
        <v>551</v>
      </c>
      <c r="C1919" s="6">
        <v>6184</v>
      </c>
      <c r="D1919" s="5" t="s">
        <v>592</v>
      </c>
      <c r="E1919" s="1">
        <v>0.625</v>
      </c>
      <c r="F1919" s="1">
        <v>0.71458333333333335</v>
      </c>
      <c r="G1919" s="9">
        <f t="shared" si="196"/>
        <v>45446</v>
      </c>
      <c r="H1919" s="11">
        <f t="shared" si="197"/>
        <v>2.2000000000000002</v>
      </c>
      <c r="I1919" s="10">
        <f t="shared" si="198"/>
        <v>8.4</v>
      </c>
      <c r="J1919" s="10">
        <f t="shared" si="199"/>
        <v>7.2</v>
      </c>
      <c r="K1919" s="10">
        <f t="shared" si="195"/>
        <v>15.600000000000001</v>
      </c>
      <c r="L1919" s="10">
        <f t="shared" si="200"/>
        <v>15.600000000000001</v>
      </c>
    </row>
    <row r="1920" spans="1:12" x14ac:dyDescent="0.25">
      <c r="A1920" s="7">
        <v>45448</v>
      </c>
      <c r="B1920" s="2" t="s">
        <v>588</v>
      </c>
      <c r="C1920" s="6">
        <v>2473</v>
      </c>
      <c r="D1920" s="5" t="s">
        <v>594</v>
      </c>
      <c r="E1920" s="1">
        <v>0.33541666666666664</v>
      </c>
      <c r="F1920" s="1">
        <v>0.39583333333333331</v>
      </c>
      <c r="G1920" s="9">
        <f t="shared" si="196"/>
        <v>45446</v>
      </c>
      <c r="H1920" s="11">
        <f t="shared" si="197"/>
        <v>1.5</v>
      </c>
      <c r="I1920" s="10">
        <f t="shared" si="198"/>
        <v>1.5</v>
      </c>
      <c r="J1920" s="10">
        <f t="shared" si="199"/>
        <v>7.2</v>
      </c>
      <c r="K1920" s="10">
        <f t="shared" si="195"/>
        <v>17.100000000000001</v>
      </c>
      <c r="L1920" s="10">
        <f t="shared" si="200"/>
        <v>17.100000000000001</v>
      </c>
    </row>
    <row r="1921" spans="1:12" x14ac:dyDescent="0.25">
      <c r="A1921" s="7">
        <v>45448</v>
      </c>
      <c r="B1921" t="s">
        <v>6</v>
      </c>
      <c r="C1921" s="6" t="s">
        <v>416</v>
      </c>
      <c r="D1921" s="5" t="s">
        <v>593</v>
      </c>
      <c r="E1921" s="1">
        <v>0.39583333333333331</v>
      </c>
      <c r="F1921" s="1">
        <v>0.44444444444444442</v>
      </c>
      <c r="G1921" s="9">
        <f t="shared" si="196"/>
        <v>45446</v>
      </c>
      <c r="H1921" s="11">
        <f t="shared" si="197"/>
        <v>1.2</v>
      </c>
      <c r="I1921" s="10">
        <f t="shared" si="198"/>
        <v>2.7</v>
      </c>
      <c r="J1921" s="10">
        <f t="shared" si="199"/>
        <v>7.2</v>
      </c>
      <c r="K1921" s="10">
        <f t="shared" si="195"/>
        <v>18.3</v>
      </c>
      <c r="L1921" s="10">
        <f t="shared" si="200"/>
        <v>18.3</v>
      </c>
    </row>
    <row r="1922" spans="1:12" x14ac:dyDescent="0.25">
      <c r="A1922" s="7">
        <v>45448</v>
      </c>
      <c r="B1922" s="2" t="s">
        <v>551</v>
      </c>
      <c r="C1922" s="6">
        <v>6184</v>
      </c>
      <c r="D1922" s="5" t="s">
        <v>595</v>
      </c>
      <c r="E1922" s="1">
        <v>0.44444444444444442</v>
      </c>
      <c r="F1922" s="1">
        <v>0.47916666666666669</v>
      </c>
      <c r="G1922" s="9">
        <f t="shared" si="196"/>
        <v>45446</v>
      </c>
      <c r="H1922" s="11">
        <f t="shared" si="197"/>
        <v>0.8</v>
      </c>
      <c r="I1922" s="10">
        <f t="shared" si="198"/>
        <v>3.5</v>
      </c>
      <c r="J1922" s="10">
        <f t="shared" si="199"/>
        <v>7.2</v>
      </c>
      <c r="K1922" s="10">
        <f t="shared" si="195"/>
        <v>19.100000000000001</v>
      </c>
      <c r="L1922" s="10">
        <f t="shared" si="200"/>
        <v>19.100000000000001</v>
      </c>
    </row>
    <row r="1923" spans="1:12" x14ac:dyDescent="0.25">
      <c r="A1923" s="7">
        <v>45448</v>
      </c>
      <c r="B1923" t="s">
        <v>6</v>
      </c>
      <c r="C1923" s="6" t="s">
        <v>416</v>
      </c>
      <c r="D1923" s="5" t="s">
        <v>593</v>
      </c>
      <c r="E1923" s="1">
        <v>0.47916666666666669</v>
      </c>
      <c r="F1923" s="1">
        <v>0.66180555555555554</v>
      </c>
      <c r="G1923" s="9">
        <f t="shared" si="196"/>
        <v>45446</v>
      </c>
      <c r="H1923" s="11">
        <f t="shared" si="197"/>
        <v>4.4000000000000004</v>
      </c>
      <c r="I1923" s="10">
        <f t="shared" si="198"/>
        <v>7.9</v>
      </c>
      <c r="J1923" s="10">
        <f t="shared" si="199"/>
        <v>7.2</v>
      </c>
      <c r="K1923" s="10">
        <f t="shared" ref="K1923:K1986" si="201">IF(H1923="",H1923,H1923+IF(G1923=G1922,_xlfn.NUMBERVALUE(K1922),0))</f>
        <v>23.5</v>
      </c>
      <c r="L1923" s="10">
        <f t="shared" si="200"/>
        <v>23.5</v>
      </c>
    </row>
    <row r="1924" spans="1:12" x14ac:dyDescent="0.25">
      <c r="A1924" s="7">
        <v>45449</v>
      </c>
      <c r="B1924" s="2" t="s">
        <v>551</v>
      </c>
      <c r="C1924" s="6">
        <v>6184</v>
      </c>
      <c r="D1924" s="5" t="s">
        <v>595</v>
      </c>
      <c r="E1924" s="1">
        <v>0.32013888888888886</v>
      </c>
      <c r="F1924" s="1">
        <v>0.39583333333333331</v>
      </c>
      <c r="G1924" s="9">
        <f t="shared" si="196"/>
        <v>45446</v>
      </c>
      <c r="H1924" s="11">
        <f t="shared" si="197"/>
        <v>1.8</v>
      </c>
      <c r="I1924" s="10">
        <f t="shared" si="198"/>
        <v>1.8</v>
      </c>
      <c r="J1924" s="10">
        <f t="shared" si="199"/>
        <v>7.2</v>
      </c>
      <c r="K1924" s="10">
        <f t="shared" si="201"/>
        <v>25.3</v>
      </c>
      <c r="L1924" s="10">
        <f t="shared" si="200"/>
        <v>25.3</v>
      </c>
    </row>
    <row r="1925" spans="1:12" x14ac:dyDescent="0.25">
      <c r="A1925" s="7">
        <v>45449</v>
      </c>
      <c r="B1925" t="s">
        <v>6</v>
      </c>
      <c r="C1925" s="6" t="s">
        <v>416</v>
      </c>
      <c r="D1925" s="5" t="s">
        <v>593</v>
      </c>
      <c r="E1925" s="1">
        <v>0.39583333333333331</v>
      </c>
      <c r="F1925" s="1">
        <v>0.56111111111111112</v>
      </c>
      <c r="G1925" s="9">
        <f t="shared" si="196"/>
        <v>45446</v>
      </c>
      <c r="H1925" s="11">
        <f t="shared" si="197"/>
        <v>4</v>
      </c>
      <c r="I1925" s="10">
        <f t="shared" si="198"/>
        <v>5.8</v>
      </c>
      <c r="J1925" s="10">
        <f t="shared" si="199"/>
        <v>7.2</v>
      </c>
      <c r="K1925" s="10">
        <f t="shared" si="201"/>
        <v>29.3</v>
      </c>
      <c r="L1925" s="10">
        <f t="shared" si="200"/>
        <v>29.3</v>
      </c>
    </row>
    <row r="1926" spans="1:12" x14ac:dyDescent="0.25">
      <c r="A1926" s="7">
        <v>45449</v>
      </c>
      <c r="B1926" s="2" t="s">
        <v>551</v>
      </c>
      <c r="C1926" s="6">
        <v>6184</v>
      </c>
      <c r="D1926" s="5" t="s">
        <v>595</v>
      </c>
      <c r="E1926" s="1">
        <v>0.56111111111111112</v>
      </c>
      <c r="F1926" s="1">
        <v>0.58263888888888893</v>
      </c>
      <c r="G1926" s="9">
        <f t="shared" si="196"/>
        <v>45446</v>
      </c>
      <c r="H1926" s="11">
        <f t="shared" si="197"/>
        <v>0.5</v>
      </c>
      <c r="I1926" s="10">
        <f t="shared" si="198"/>
        <v>6.3</v>
      </c>
      <c r="J1926" s="10">
        <f t="shared" si="199"/>
        <v>7.2</v>
      </c>
      <c r="K1926" s="10">
        <f t="shared" si="201"/>
        <v>29.8</v>
      </c>
      <c r="L1926" s="10">
        <f t="shared" si="200"/>
        <v>29.8</v>
      </c>
    </row>
    <row r="1927" spans="1:12" x14ac:dyDescent="0.25">
      <c r="A1927" s="7">
        <v>45450</v>
      </c>
      <c r="B1927" s="2" t="s">
        <v>551</v>
      </c>
      <c r="C1927" s="6">
        <v>6184</v>
      </c>
      <c r="D1927" s="5" t="s">
        <v>595</v>
      </c>
      <c r="E1927" s="1">
        <v>0.32500000000000001</v>
      </c>
      <c r="F1927" s="1">
        <v>0.47916666666666669</v>
      </c>
      <c r="G1927" s="9">
        <f t="shared" si="196"/>
        <v>45446</v>
      </c>
      <c r="H1927" s="11">
        <f t="shared" si="197"/>
        <v>3.7</v>
      </c>
      <c r="I1927" s="10">
        <f t="shared" si="198"/>
        <v>3.7</v>
      </c>
      <c r="J1927" s="10">
        <f t="shared" si="199"/>
        <v>7.2</v>
      </c>
      <c r="K1927" s="10">
        <f t="shared" si="201"/>
        <v>33.5</v>
      </c>
      <c r="L1927" s="10">
        <f t="shared" si="200"/>
        <v>33.5</v>
      </c>
    </row>
    <row r="1928" spans="1:12" x14ac:dyDescent="0.25">
      <c r="A1928" s="7">
        <v>45450</v>
      </c>
      <c r="B1928" t="s">
        <v>598</v>
      </c>
      <c r="C1928" s="6">
        <v>6004</v>
      </c>
      <c r="D1928" s="5" t="s">
        <v>596</v>
      </c>
      <c r="E1928" s="1">
        <v>0.47916666666666669</v>
      </c>
      <c r="F1928" s="1">
        <v>0.64930555555555558</v>
      </c>
      <c r="G1928" s="9">
        <f t="shared" si="196"/>
        <v>45446</v>
      </c>
      <c r="H1928" s="11">
        <f t="shared" si="197"/>
        <v>4.0999999999999996</v>
      </c>
      <c r="I1928" s="10">
        <f t="shared" si="198"/>
        <v>7.8</v>
      </c>
      <c r="J1928" s="10">
        <f t="shared" si="199"/>
        <v>7.2</v>
      </c>
      <c r="K1928" s="10">
        <f t="shared" si="201"/>
        <v>37.6</v>
      </c>
      <c r="L1928" s="10">
        <f t="shared" si="200"/>
        <v>37.6</v>
      </c>
    </row>
    <row r="1929" spans="1:12" x14ac:dyDescent="0.25">
      <c r="A1929" s="7">
        <v>45453</v>
      </c>
      <c r="B1929" t="s">
        <v>6</v>
      </c>
      <c r="C1929" s="6" t="s">
        <v>416</v>
      </c>
      <c r="D1929" s="5" t="s">
        <v>104</v>
      </c>
      <c r="E1929" s="1">
        <v>0.36736111111111114</v>
      </c>
      <c r="F1929" s="1">
        <v>0.41249999999999998</v>
      </c>
      <c r="G1929" s="9">
        <f t="shared" si="196"/>
        <v>45453</v>
      </c>
      <c r="H1929" s="11">
        <f t="shared" si="197"/>
        <v>1.1000000000000001</v>
      </c>
      <c r="I1929" s="10">
        <f t="shared" si="198"/>
        <v>1.1000000000000001</v>
      </c>
      <c r="J1929" s="10">
        <f t="shared" si="199"/>
        <v>7.2</v>
      </c>
      <c r="K1929" s="10">
        <f t="shared" si="201"/>
        <v>1.1000000000000001</v>
      </c>
      <c r="L1929" s="10">
        <f t="shared" si="200"/>
        <v>38.700000000000003</v>
      </c>
    </row>
    <row r="1930" spans="1:12" x14ac:dyDescent="0.25">
      <c r="A1930" s="7">
        <v>45453</v>
      </c>
      <c r="B1930" t="s">
        <v>598</v>
      </c>
      <c r="C1930" s="6">
        <v>6004</v>
      </c>
      <c r="D1930" s="5" t="s">
        <v>485</v>
      </c>
      <c r="E1930" s="1">
        <v>0.41249999999999998</v>
      </c>
      <c r="F1930" s="1">
        <v>0.47499999999999998</v>
      </c>
      <c r="G1930" s="9">
        <f t="shared" si="196"/>
        <v>45453</v>
      </c>
      <c r="H1930" s="11">
        <f t="shared" si="197"/>
        <v>1.5</v>
      </c>
      <c r="I1930" s="10">
        <f t="shared" si="198"/>
        <v>2.6</v>
      </c>
      <c r="J1930" s="10">
        <f t="shared" si="199"/>
        <v>7.2</v>
      </c>
      <c r="K1930" s="10">
        <f t="shared" si="201"/>
        <v>2.6</v>
      </c>
      <c r="L1930" s="10">
        <f t="shared" si="200"/>
        <v>40.200000000000003</v>
      </c>
    </row>
    <row r="1931" spans="1:12" x14ac:dyDescent="0.25">
      <c r="A1931" s="7">
        <v>45453</v>
      </c>
      <c r="B1931" s="2" t="s">
        <v>551</v>
      </c>
      <c r="C1931" s="6">
        <v>6184</v>
      </c>
      <c r="D1931" s="5" t="s">
        <v>597</v>
      </c>
      <c r="E1931" s="1">
        <v>0.48819444444444443</v>
      </c>
      <c r="F1931" s="1">
        <v>0.6166666666666667</v>
      </c>
      <c r="G1931" s="9">
        <f t="shared" si="196"/>
        <v>45453</v>
      </c>
      <c r="H1931" s="11">
        <f t="shared" si="197"/>
        <v>3.1</v>
      </c>
      <c r="I1931" s="10">
        <f t="shared" si="198"/>
        <v>5.7</v>
      </c>
      <c r="J1931" s="10">
        <f t="shared" si="199"/>
        <v>7.2</v>
      </c>
      <c r="K1931" s="10">
        <f t="shared" si="201"/>
        <v>5.7</v>
      </c>
      <c r="L1931" s="10">
        <f t="shared" si="200"/>
        <v>43.300000000000004</v>
      </c>
    </row>
    <row r="1932" spans="1:12" x14ac:dyDescent="0.25">
      <c r="A1932" s="7">
        <v>45454</v>
      </c>
      <c r="B1932" s="2" t="s">
        <v>551</v>
      </c>
      <c r="C1932" s="6">
        <v>6184</v>
      </c>
      <c r="D1932" s="5" t="s">
        <v>597</v>
      </c>
      <c r="E1932" s="1">
        <v>0.32222222222222224</v>
      </c>
      <c r="F1932" s="1">
        <v>0.5</v>
      </c>
      <c r="G1932" s="9">
        <f t="shared" si="196"/>
        <v>45453</v>
      </c>
      <c r="H1932" s="11">
        <f t="shared" si="197"/>
        <v>4.3</v>
      </c>
      <c r="I1932" s="10">
        <f t="shared" si="198"/>
        <v>4.3</v>
      </c>
      <c r="J1932" s="10">
        <f t="shared" si="199"/>
        <v>7.2</v>
      </c>
      <c r="K1932" s="10">
        <f t="shared" si="201"/>
        <v>10</v>
      </c>
      <c r="L1932" s="10">
        <f t="shared" si="200"/>
        <v>47.599999999999994</v>
      </c>
    </row>
    <row r="1933" spans="1:12" x14ac:dyDescent="0.25">
      <c r="A1933" s="7">
        <v>45454</v>
      </c>
      <c r="B1933" t="s">
        <v>598</v>
      </c>
      <c r="C1933" s="6">
        <v>6004</v>
      </c>
      <c r="D1933" s="5" t="s">
        <v>599</v>
      </c>
      <c r="E1933" s="1">
        <v>0.5</v>
      </c>
      <c r="F1933" s="1">
        <v>0.58333333333333337</v>
      </c>
      <c r="G1933" s="9">
        <f t="shared" si="196"/>
        <v>45453</v>
      </c>
      <c r="H1933" s="11">
        <f t="shared" si="197"/>
        <v>2</v>
      </c>
      <c r="I1933" s="10">
        <f t="shared" si="198"/>
        <v>6.3</v>
      </c>
      <c r="J1933" s="10">
        <f t="shared" si="199"/>
        <v>7.2</v>
      </c>
      <c r="K1933" s="10">
        <f t="shared" si="201"/>
        <v>12</v>
      </c>
      <c r="L1933" s="10">
        <f t="shared" si="200"/>
        <v>49.6</v>
      </c>
    </row>
    <row r="1934" spans="1:12" x14ac:dyDescent="0.25">
      <c r="A1934" s="7">
        <v>45454</v>
      </c>
      <c r="B1934" s="2" t="s">
        <v>464</v>
      </c>
      <c r="C1934" s="6">
        <v>2431</v>
      </c>
      <c r="D1934" s="5" t="s">
        <v>600</v>
      </c>
      <c r="E1934" s="1">
        <v>0.58333333333333337</v>
      </c>
      <c r="F1934" s="1">
        <v>0.61875000000000002</v>
      </c>
      <c r="G1934" s="9">
        <f t="shared" si="196"/>
        <v>45453</v>
      </c>
      <c r="H1934" s="11">
        <f t="shared" si="197"/>
        <v>0.9</v>
      </c>
      <c r="I1934" s="10">
        <f t="shared" si="198"/>
        <v>7.2</v>
      </c>
      <c r="J1934" s="10">
        <f t="shared" si="199"/>
        <v>7.2</v>
      </c>
      <c r="K1934" s="10">
        <f t="shared" si="201"/>
        <v>12.9</v>
      </c>
      <c r="L1934" s="10">
        <f t="shared" si="200"/>
        <v>50.5</v>
      </c>
    </row>
    <row r="1935" spans="1:12" x14ac:dyDescent="0.25">
      <c r="A1935" s="7">
        <v>45454</v>
      </c>
      <c r="B1935" s="2" t="s">
        <v>551</v>
      </c>
      <c r="C1935" s="6">
        <v>6184</v>
      </c>
      <c r="D1935" s="5" t="s">
        <v>601</v>
      </c>
      <c r="E1935" s="1">
        <v>0.61944444444444446</v>
      </c>
      <c r="F1935" s="1">
        <v>0.68402777777777779</v>
      </c>
      <c r="G1935" s="9">
        <f t="shared" si="196"/>
        <v>45453</v>
      </c>
      <c r="H1935" s="11">
        <f t="shared" si="197"/>
        <v>1.6</v>
      </c>
      <c r="I1935" s="10">
        <f t="shared" si="198"/>
        <v>8.8000000000000007</v>
      </c>
      <c r="J1935" s="10">
        <f t="shared" si="199"/>
        <v>7.2</v>
      </c>
      <c r="K1935" s="10">
        <f t="shared" si="201"/>
        <v>14.5</v>
      </c>
      <c r="L1935" s="10">
        <f t="shared" si="200"/>
        <v>52.1</v>
      </c>
    </row>
    <row r="1936" spans="1:12" x14ac:dyDescent="0.25">
      <c r="A1936" s="7">
        <v>45455</v>
      </c>
      <c r="B1936" t="s">
        <v>598</v>
      </c>
      <c r="C1936" s="6">
        <v>6004</v>
      </c>
      <c r="D1936" s="5" t="s">
        <v>599</v>
      </c>
      <c r="E1936" s="1">
        <v>0.31041666666666667</v>
      </c>
      <c r="F1936" s="1">
        <v>0.60555555555555551</v>
      </c>
      <c r="G1936" s="9">
        <f t="shared" si="196"/>
        <v>45453</v>
      </c>
      <c r="H1936" s="11">
        <f t="shared" si="197"/>
        <v>7.1</v>
      </c>
      <c r="I1936" s="10">
        <f t="shared" si="198"/>
        <v>7.1</v>
      </c>
      <c r="J1936" s="10">
        <f t="shared" si="199"/>
        <v>7.2</v>
      </c>
      <c r="K1936" s="10">
        <f t="shared" si="201"/>
        <v>21.6</v>
      </c>
      <c r="L1936" s="10">
        <f t="shared" si="200"/>
        <v>59.2</v>
      </c>
    </row>
    <row r="1937" spans="1:12" x14ac:dyDescent="0.25">
      <c r="A1937" s="7">
        <v>45456</v>
      </c>
      <c r="B1937" t="s">
        <v>598</v>
      </c>
      <c r="C1937" s="6">
        <v>6004</v>
      </c>
      <c r="D1937" s="5" t="s">
        <v>602</v>
      </c>
      <c r="E1937" s="1">
        <v>0.34097222222222223</v>
      </c>
      <c r="F1937" s="1">
        <v>0.51597222222222228</v>
      </c>
      <c r="G1937" s="9">
        <f t="shared" si="196"/>
        <v>45453</v>
      </c>
      <c r="H1937" s="11">
        <f t="shared" si="197"/>
        <v>4.2</v>
      </c>
      <c r="I1937" s="10">
        <f t="shared" si="198"/>
        <v>4.2</v>
      </c>
      <c r="J1937" s="10">
        <f t="shared" si="199"/>
        <v>7.2</v>
      </c>
      <c r="K1937" s="10">
        <f t="shared" si="201"/>
        <v>25.8</v>
      </c>
      <c r="L1937" s="10">
        <f t="shared" si="200"/>
        <v>63.400000000000006</v>
      </c>
    </row>
    <row r="1938" spans="1:12" x14ac:dyDescent="0.25">
      <c r="A1938" s="7">
        <v>45456</v>
      </c>
      <c r="B1938" s="2" t="s">
        <v>464</v>
      </c>
      <c r="C1938" s="6">
        <v>2431</v>
      </c>
      <c r="D1938" s="5" t="s">
        <v>603</v>
      </c>
      <c r="E1938" s="1">
        <v>0.51597222222222228</v>
      </c>
      <c r="F1938" s="1">
        <v>0.58333333333333337</v>
      </c>
      <c r="G1938" s="9">
        <f t="shared" si="196"/>
        <v>45453</v>
      </c>
      <c r="H1938" s="11">
        <f t="shared" si="197"/>
        <v>1.6</v>
      </c>
      <c r="I1938" s="10">
        <f t="shared" si="198"/>
        <v>5.8000000000000007</v>
      </c>
      <c r="J1938" s="10">
        <f t="shared" si="199"/>
        <v>7.2</v>
      </c>
      <c r="K1938" s="10">
        <f t="shared" si="201"/>
        <v>27.400000000000002</v>
      </c>
      <c r="L1938" s="10">
        <f t="shared" si="200"/>
        <v>65</v>
      </c>
    </row>
    <row r="1939" spans="1:12" x14ac:dyDescent="0.25">
      <c r="A1939" s="7">
        <v>45456</v>
      </c>
      <c r="B1939" s="2" t="s">
        <v>311</v>
      </c>
      <c r="C1939" s="6">
        <v>2008</v>
      </c>
      <c r="D1939" s="1" t="s">
        <v>604</v>
      </c>
      <c r="E1939" s="1">
        <v>0.58333333333333337</v>
      </c>
      <c r="F1939" s="1">
        <v>0.625</v>
      </c>
      <c r="G1939" s="9">
        <f t="shared" si="196"/>
        <v>45453</v>
      </c>
      <c r="H1939" s="11">
        <f t="shared" si="197"/>
        <v>1</v>
      </c>
      <c r="I1939" s="10">
        <f t="shared" si="198"/>
        <v>6.8</v>
      </c>
      <c r="J1939" s="10">
        <f t="shared" si="199"/>
        <v>7.2</v>
      </c>
      <c r="K1939" s="10">
        <f t="shared" si="201"/>
        <v>28.4</v>
      </c>
      <c r="L1939" s="10">
        <f t="shared" si="200"/>
        <v>66</v>
      </c>
    </row>
    <row r="1940" spans="1:12" x14ac:dyDescent="0.25">
      <c r="A1940" s="7">
        <v>45456</v>
      </c>
      <c r="B1940" s="2" t="s">
        <v>464</v>
      </c>
      <c r="C1940" s="6">
        <v>2431</v>
      </c>
      <c r="D1940" s="5" t="s">
        <v>603</v>
      </c>
      <c r="E1940" s="1">
        <v>0.625</v>
      </c>
      <c r="F1940" s="1">
        <v>0.67291666666666672</v>
      </c>
      <c r="G1940" s="9">
        <f t="shared" si="196"/>
        <v>45453</v>
      </c>
      <c r="H1940" s="11">
        <f t="shared" si="197"/>
        <v>1.2</v>
      </c>
      <c r="I1940" s="10">
        <f t="shared" si="198"/>
        <v>8</v>
      </c>
      <c r="J1940" s="10">
        <f t="shared" si="199"/>
        <v>7.2</v>
      </c>
      <c r="K1940" s="10">
        <f t="shared" si="201"/>
        <v>29.599999999999998</v>
      </c>
      <c r="L1940" s="10">
        <f t="shared" si="200"/>
        <v>67.2</v>
      </c>
    </row>
    <row r="1941" spans="1:12" x14ac:dyDescent="0.25">
      <c r="A1941" s="7">
        <v>45457</v>
      </c>
      <c r="B1941" t="s">
        <v>598</v>
      </c>
      <c r="C1941" s="6">
        <v>6004</v>
      </c>
      <c r="D1941" s="5" t="s">
        <v>602</v>
      </c>
      <c r="E1941" s="1">
        <v>0.37638888888888888</v>
      </c>
      <c r="F1941" s="1">
        <v>0.47916666666666669</v>
      </c>
      <c r="G1941" s="9">
        <f t="shared" si="196"/>
        <v>45453</v>
      </c>
      <c r="H1941" s="11">
        <f t="shared" si="197"/>
        <v>2.5</v>
      </c>
      <c r="I1941" s="10">
        <f t="shared" si="198"/>
        <v>2.5</v>
      </c>
      <c r="J1941" s="10">
        <f t="shared" si="199"/>
        <v>7.2</v>
      </c>
      <c r="K1941" s="10">
        <f t="shared" si="201"/>
        <v>32.1</v>
      </c>
      <c r="L1941" s="10">
        <f t="shared" si="200"/>
        <v>69.7</v>
      </c>
    </row>
    <row r="1942" spans="1:12" x14ac:dyDescent="0.25">
      <c r="A1942" s="7">
        <v>45457</v>
      </c>
      <c r="B1942" t="s">
        <v>598</v>
      </c>
      <c r="C1942" s="6">
        <v>6004</v>
      </c>
      <c r="D1942" s="5" t="s">
        <v>44</v>
      </c>
      <c r="E1942" s="1">
        <v>0.47916666666666669</v>
      </c>
      <c r="F1942" s="1">
        <v>0.53611111111111109</v>
      </c>
      <c r="G1942" s="9">
        <f t="shared" si="196"/>
        <v>45453</v>
      </c>
      <c r="H1942" s="11">
        <f t="shared" si="197"/>
        <v>1.4</v>
      </c>
      <c r="I1942" s="10">
        <f t="shared" si="198"/>
        <v>3.9</v>
      </c>
      <c r="J1942" s="10">
        <f t="shared" si="199"/>
        <v>7.2</v>
      </c>
      <c r="K1942" s="10">
        <f t="shared" si="201"/>
        <v>33.5</v>
      </c>
      <c r="L1942" s="10">
        <f t="shared" si="200"/>
        <v>71.100000000000009</v>
      </c>
    </row>
    <row r="1943" spans="1:12" x14ac:dyDescent="0.25">
      <c r="A1943" s="7">
        <v>45457</v>
      </c>
      <c r="B1943" t="s">
        <v>598</v>
      </c>
      <c r="C1943" s="6">
        <v>6004</v>
      </c>
      <c r="D1943" s="5" t="s">
        <v>602</v>
      </c>
      <c r="E1943" s="1">
        <v>0.56111111111111112</v>
      </c>
      <c r="F1943" s="1">
        <v>0.625</v>
      </c>
      <c r="G1943" s="9">
        <f t="shared" si="196"/>
        <v>45453</v>
      </c>
      <c r="H1943" s="11">
        <f t="shared" si="197"/>
        <v>1.5</v>
      </c>
      <c r="I1943" s="10">
        <f t="shared" si="198"/>
        <v>5.4</v>
      </c>
      <c r="J1943" s="10">
        <f t="shared" si="199"/>
        <v>7.2</v>
      </c>
      <c r="K1943" s="10">
        <f t="shared" si="201"/>
        <v>35</v>
      </c>
      <c r="L1943" s="10">
        <f t="shared" si="200"/>
        <v>72.599999999999994</v>
      </c>
    </row>
    <row r="1944" spans="1:12" x14ac:dyDescent="0.25">
      <c r="A1944" s="7">
        <v>45457</v>
      </c>
      <c r="B1944" s="2" t="s">
        <v>579</v>
      </c>
      <c r="C1944" s="6">
        <v>2682</v>
      </c>
      <c r="D1944" s="5" t="s">
        <v>544</v>
      </c>
      <c r="E1944" s="1">
        <v>0.625</v>
      </c>
      <c r="F1944" s="1">
        <v>0.67500000000000004</v>
      </c>
      <c r="G1944" s="9">
        <f t="shared" si="196"/>
        <v>45453</v>
      </c>
      <c r="H1944" s="11">
        <f t="shared" si="197"/>
        <v>1.2</v>
      </c>
      <c r="I1944" s="10">
        <f t="shared" si="198"/>
        <v>6.6000000000000005</v>
      </c>
      <c r="J1944" s="10">
        <f t="shared" si="199"/>
        <v>7.2</v>
      </c>
      <c r="K1944" s="10">
        <f t="shared" si="201"/>
        <v>36.200000000000003</v>
      </c>
      <c r="L1944" s="10">
        <f t="shared" si="200"/>
        <v>73.8</v>
      </c>
    </row>
    <row r="1945" spans="1:12" x14ac:dyDescent="0.25">
      <c r="A1945" s="7">
        <v>45460</v>
      </c>
      <c r="B1945" t="s">
        <v>6</v>
      </c>
      <c r="C1945" s="6" t="s">
        <v>416</v>
      </c>
      <c r="D1945" s="5" t="s">
        <v>104</v>
      </c>
      <c r="E1945" s="1">
        <v>0.34166666666666667</v>
      </c>
      <c r="F1945" s="1">
        <v>0.39027777777777778</v>
      </c>
      <c r="G1945" s="9">
        <f t="shared" si="196"/>
        <v>45460</v>
      </c>
      <c r="H1945" s="11">
        <f t="shared" si="197"/>
        <v>1.2</v>
      </c>
      <c r="I1945" s="10">
        <f t="shared" si="198"/>
        <v>1.2</v>
      </c>
      <c r="J1945" s="10">
        <f t="shared" si="199"/>
        <v>7.2</v>
      </c>
      <c r="K1945" s="10">
        <f t="shared" si="201"/>
        <v>1.2</v>
      </c>
      <c r="L1945" s="10">
        <f t="shared" si="200"/>
        <v>75</v>
      </c>
    </row>
    <row r="1946" spans="1:12" x14ac:dyDescent="0.25">
      <c r="A1946" s="7">
        <v>45460</v>
      </c>
      <c r="B1946" t="s">
        <v>598</v>
      </c>
      <c r="C1946" s="6">
        <v>6004</v>
      </c>
      <c r="D1946" s="5" t="s">
        <v>602</v>
      </c>
      <c r="E1946" s="1">
        <v>0.39027777777777778</v>
      </c>
      <c r="F1946" s="1">
        <v>0.51041666666666663</v>
      </c>
      <c r="G1946" s="9">
        <f t="shared" si="196"/>
        <v>45460</v>
      </c>
      <c r="H1946" s="11">
        <f t="shared" si="197"/>
        <v>2.9</v>
      </c>
      <c r="I1946" s="10">
        <f t="shared" si="198"/>
        <v>4.0999999999999996</v>
      </c>
      <c r="J1946" s="10">
        <f t="shared" si="199"/>
        <v>7.2</v>
      </c>
      <c r="K1946" s="10">
        <f t="shared" si="201"/>
        <v>4.0999999999999996</v>
      </c>
      <c r="L1946" s="10">
        <f t="shared" si="200"/>
        <v>77.900000000000006</v>
      </c>
    </row>
    <row r="1947" spans="1:12" x14ac:dyDescent="0.25">
      <c r="A1947" s="7">
        <v>45460</v>
      </c>
      <c r="B1947" t="s">
        <v>6</v>
      </c>
      <c r="C1947" s="6" t="s">
        <v>416</v>
      </c>
      <c r="D1947" s="5" t="s">
        <v>605</v>
      </c>
      <c r="E1947" s="1">
        <v>0.51041666666666663</v>
      </c>
      <c r="F1947" s="1">
        <v>0.63749999999999996</v>
      </c>
      <c r="G1947" s="9">
        <f t="shared" si="196"/>
        <v>45460</v>
      </c>
      <c r="H1947" s="11">
        <f t="shared" si="197"/>
        <v>3.1</v>
      </c>
      <c r="I1947" s="10">
        <f t="shared" si="198"/>
        <v>7.1999999999999993</v>
      </c>
      <c r="J1947" s="10">
        <f t="shared" si="199"/>
        <v>7.2</v>
      </c>
      <c r="K1947" s="10">
        <f t="shared" si="201"/>
        <v>7.1999999999999993</v>
      </c>
      <c r="L1947" s="10">
        <f t="shared" si="200"/>
        <v>81</v>
      </c>
    </row>
    <row r="1948" spans="1:12" x14ac:dyDescent="0.25">
      <c r="A1948" s="7">
        <v>45461</v>
      </c>
      <c r="B1948" s="2" t="s">
        <v>579</v>
      </c>
      <c r="C1948" s="6">
        <v>2682</v>
      </c>
      <c r="D1948" s="5" t="s">
        <v>606</v>
      </c>
      <c r="E1948" s="1">
        <v>0.34027777777777779</v>
      </c>
      <c r="F1948" s="1">
        <v>0.51666666666666672</v>
      </c>
      <c r="G1948" s="9">
        <f t="shared" si="196"/>
        <v>45460</v>
      </c>
      <c r="H1948" s="11">
        <f t="shared" si="197"/>
        <v>4.2</v>
      </c>
      <c r="I1948" s="10">
        <f t="shared" si="198"/>
        <v>4.2</v>
      </c>
      <c r="J1948" s="10">
        <f t="shared" si="199"/>
        <v>7.2</v>
      </c>
      <c r="K1948" s="10">
        <f t="shared" si="201"/>
        <v>11.4</v>
      </c>
      <c r="L1948" s="10">
        <f t="shared" si="200"/>
        <v>85.2</v>
      </c>
    </row>
    <row r="1949" spans="1:12" x14ac:dyDescent="0.25">
      <c r="A1949" s="7">
        <v>45461</v>
      </c>
      <c r="B1949" s="2" t="s">
        <v>579</v>
      </c>
      <c r="C1949" s="6">
        <v>2682</v>
      </c>
      <c r="D1949" s="5" t="s">
        <v>607</v>
      </c>
      <c r="E1949" s="1">
        <v>0.53680555555555554</v>
      </c>
      <c r="F1949" s="1">
        <v>0.59583333333333333</v>
      </c>
      <c r="G1949" s="9">
        <f t="shared" si="196"/>
        <v>45460</v>
      </c>
      <c r="H1949" s="11">
        <f t="shared" si="197"/>
        <v>1.4</v>
      </c>
      <c r="I1949" s="10">
        <f t="shared" si="198"/>
        <v>5.6</v>
      </c>
      <c r="J1949" s="10">
        <f t="shared" si="199"/>
        <v>7.2</v>
      </c>
      <c r="K1949" s="10">
        <f t="shared" si="201"/>
        <v>12.8</v>
      </c>
      <c r="L1949" s="10">
        <f t="shared" si="200"/>
        <v>86.600000000000009</v>
      </c>
    </row>
    <row r="1950" spans="1:12" x14ac:dyDescent="0.25">
      <c r="A1950" s="7">
        <v>45461</v>
      </c>
      <c r="B1950" s="2" t="s">
        <v>579</v>
      </c>
      <c r="C1950" s="6">
        <v>2682</v>
      </c>
      <c r="D1950" s="5" t="s">
        <v>606</v>
      </c>
      <c r="E1950" s="1">
        <v>0.59583333333333333</v>
      </c>
      <c r="F1950" s="1">
        <v>0.65763888888888888</v>
      </c>
      <c r="G1950" s="9">
        <f t="shared" si="196"/>
        <v>45460</v>
      </c>
      <c r="H1950" s="11">
        <f t="shared" si="197"/>
        <v>1.5</v>
      </c>
      <c r="I1950" s="10">
        <f t="shared" si="198"/>
        <v>7.1</v>
      </c>
      <c r="J1950" s="10">
        <f t="shared" si="199"/>
        <v>7.2</v>
      </c>
      <c r="K1950" s="10">
        <f t="shared" si="201"/>
        <v>14.3</v>
      </c>
      <c r="L1950" s="10">
        <f t="shared" si="200"/>
        <v>88.1</v>
      </c>
    </row>
    <row r="1951" spans="1:12" x14ac:dyDescent="0.25">
      <c r="A1951" s="7">
        <v>45462</v>
      </c>
      <c r="B1951" s="2" t="s">
        <v>551</v>
      </c>
      <c r="C1951" s="6">
        <v>6184</v>
      </c>
      <c r="D1951" s="5" t="s">
        <v>608</v>
      </c>
      <c r="E1951" s="1">
        <v>0.35138888888888886</v>
      </c>
      <c r="F1951" s="1">
        <v>0.51458333333333328</v>
      </c>
      <c r="G1951" s="9">
        <f t="shared" si="196"/>
        <v>45460</v>
      </c>
      <c r="H1951" s="11">
        <f t="shared" si="197"/>
        <v>3.9</v>
      </c>
      <c r="I1951" s="10">
        <f t="shared" si="198"/>
        <v>3.9</v>
      </c>
      <c r="J1951" s="10">
        <f t="shared" si="199"/>
        <v>7.2</v>
      </c>
      <c r="K1951" s="10">
        <f t="shared" si="201"/>
        <v>18.2</v>
      </c>
      <c r="L1951" s="10">
        <f t="shared" si="200"/>
        <v>92</v>
      </c>
    </row>
    <row r="1952" spans="1:12" x14ac:dyDescent="0.25">
      <c r="A1952" s="7">
        <v>45462</v>
      </c>
      <c r="B1952" s="2" t="s">
        <v>551</v>
      </c>
      <c r="C1952" s="6">
        <v>6184</v>
      </c>
      <c r="D1952" s="5" t="s">
        <v>608</v>
      </c>
      <c r="E1952" s="1">
        <v>0.53680555555555554</v>
      </c>
      <c r="F1952" s="1">
        <v>0.60833333333333328</v>
      </c>
      <c r="G1952" s="9">
        <f t="shared" si="196"/>
        <v>45460</v>
      </c>
      <c r="H1952" s="11">
        <f t="shared" si="197"/>
        <v>1.7</v>
      </c>
      <c r="I1952" s="10">
        <f t="shared" si="198"/>
        <v>5.6</v>
      </c>
      <c r="J1952" s="10">
        <f t="shared" si="199"/>
        <v>7.2</v>
      </c>
      <c r="K1952" s="10">
        <f t="shared" si="201"/>
        <v>19.899999999999999</v>
      </c>
      <c r="L1952" s="10">
        <f t="shared" si="200"/>
        <v>93.7</v>
      </c>
    </row>
    <row r="1953" spans="1:12" x14ac:dyDescent="0.25">
      <c r="A1953" s="7">
        <v>45463</v>
      </c>
      <c r="B1953" s="2" t="s">
        <v>551</v>
      </c>
      <c r="C1953" s="6">
        <v>6184</v>
      </c>
      <c r="D1953" s="5" t="s">
        <v>608</v>
      </c>
      <c r="E1953" s="1">
        <v>0.3347222222222222</v>
      </c>
      <c r="F1953" s="1">
        <v>0.48958333333333331</v>
      </c>
      <c r="G1953" s="9">
        <f t="shared" si="196"/>
        <v>45460</v>
      </c>
      <c r="H1953" s="11">
        <f t="shared" si="197"/>
        <v>3.7</v>
      </c>
      <c r="I1953" s="10">
        <f t="shared" si="198"/>
        <v>3.7</v>
      </c>
      <c r="J1953" s="10">
        <f t="shared" si="199"/>
        <v>7.2</v>
      </c>
      <c r="K1953" s="10">
        <f t="shared" si="201"/>
        <v>23.599999999999998</v>
      </c>
      <c r="L1953" s="10">
        <f t="shared" si="200"/>
        <v>97.4</v>
      </c>
    </row>
    <row r="1954" spans="1:12" x14ac:dyDescent="0.25">
      <c r="A1954" s="7">
        <v>45463</v>
      </c>
      <c r="B1954" t="s">
        <v>598</v>
      </c>
      <c r="C1954" s="6">
        <v>6004</v>
      </c>
      <c r="D1954" s="5" t="s">
        <v>602</v>
      </c>
      <c r="E1954" s="1">
        <v>0.51458333333333328</v>
      </c>
      <c r="F1954" s="1">
        <v>0.64583333333333337</v>
      </c>
      <c r="G1954" s="9">
        <f t="shared" si="196"/>
        <v>45460</v>
      </c>
      <c r="H1954" s="11">
        <f t="shared" si="197"/>
        <v>3.2</v>
      </c>
      <c r="I1954" s="10">
        <f t="shared" si="198"/>
        <v>6.9</v>
      </c>
      <c r="J1954" s="10">
        <f t="shared" si="199"/>
        <v>7.2</v>
      </c>
      <c r="K1954" s="10">
        <f t="shared" si="201"/>
        <v>26.8</v>
      </c>
      <c r="L1954" s="10">
        <f t="shared" si="200"/>
        <v>100.60000000000001</v>
      </c>
    </row>
    <row r="1955" spans="1:12" x14ac:dyDescent="0.25">
      <c r="A1955" s="7">
        <v>45464</v>
      </c>
      <c r="B1955" t="s">
        <v>598</v>
      </c>
      <c r="C1955" s="6">
        <v>6004</v>
      </c>
      <c r="D1955" s="5" t="s">
        <v>602</v>
      </c>
      <c r="E1955" s="1">
        <v>0.34791666666666665</v>
      </c>
      <c r="F1955" s="1">
        <v>0.39583333333333331</v>
      </c>
      <c r="G1955" s="9">
        <f t="shared" si="196"/>
        <v>45460</v>
      </c>
      <c r="H1955" s="11">
        <f t="shared" si="197"/>
        <v>1.2</v>
      </c>
      <c r="I1955" s="10">
        <f t="shared" si="198"/>
        <v>1.2</v>
      </c>
      <c r="J1955" s="10">
        <f t="shared" si="199"/>
        <v>7.2</v>
      </c>
      <c r="K1955" s="10">
        <f t="shared" si="201"/>
        <v>28</v>
      </c>
      <c r="L1955" s="10">
        <f t="shared" si="200"/>
        <v>101.8</v>
      </c>
    </row>
    <row r="1956" spans="1:12" x14ac:dyDescent="0.25">
      <c r="A1956" s="7">
        <v>45464</v>
      </c>
      <c r="B1956" t="s">
        <v>6</v>
      </c>
      <c r="C1956" s="6" t="s">
        <v>416</v>
      </c>
      <c r="D1956" s="5" t="s">
        <v>542</v>
      </c>
      <c r="E1956" s="1">
        <v>0.39583333333333331</v>
      </c>
      <c r="F1956" s="1">
        <v>0.46041666666666664</v>
      </c>
      <c r="G1956" s="9">
        <f t="shared" si="196"/>
        <v>45460</v>
      </c>
      <c r="H1956" s="11">
        <f t="shared" si="197"/>
        <v>1.6</v>
      </c>
      <c r="I1956" s="10">
        <f t="shared" si="198"/>
        <v>2.8</v>
      </c>
      <c r="J1956" s="10">
        <f t="shared" si="199"/>
        <v>7.2</v>
      </c>
      <c r="K1956" s="10">
        <f t="shared" si="201"/>
        <v>29.6</v>
      </c>
      <c r="L1956" s="10">
        <f t="shared" si="200"/>
        <v>103.39999999999999</v>
      </c>
    </row>
    <row r="1957" spans="1:12" x14ac:dyDescent="0.25">
      <c r="A1957" s="7">
        <v>45464</v>
      </c>
      <c r="B1957" t="s">
        <v>598</v>
      </c>
      <c r="C1957" s="6">
        <v>6004</v>
      </c>
      <c r="D1957" s="5" t="s">
        <v>602</v>
      </c>
      <c r="E1957" s="1">
        <v>0.46041666666666664</v>
      </c>
      <c r="F1957" s="1">
        <v>0.5395833333333333</v>
      </c>
      <c r="G1957" s="9">
        <f t="shared" si="196"/>
        <v>45460</v>
      </c>
      <c r="H1957" s="11">
        <f t="shared" si="197"/>
        <v>1.9</v>
      </c>
      <c r="I1957" s="10">
        <f t="shared" si="198"/>
        <v>4.6999999999999993</v>
      </c>
      <c r="J1957" s="10">
        <f t="shared" si="199"/>
        <v>7.2</v>
      </c>
      <c r="K1957" s="10">
        <f t="shared" si="201"/>
        <v>31.5</v>
      </c>
      <c r="L1957" s="10">
        <f t="shared" si="200"/>
        <v>105.30000000000001</v>
      </c>
    </row>
    <row r="1958" spans="1:12" x14ac:dyDescent="0.25">
      <c r="A1958" s="7">
        <v>45464</v>
      </c>
      <c r="B1958" t="s">
        <v>6</v>
      </c>
      <c r="C1958" s="6" t="s">
        <v>416</v>
      </c>
      <c r="D1958" s="5" t="s">
        <v>374</v>
      </c>
      <c r="E1958" s="1">
        <v>0.5395833333333333</v>
      </c>
      <c r="F1958" s="1">
        <v>0.57638888888888884</v>
      </c>
      <c r="G1958" s="9">
        <f t="shared" si="196"/>
        <v>45460</v>
      </c>
      <c r="H1958" s="11">
        <f t="shared" si="197"/>
        <v>0.9</v>
      </c>
      <c r="I1958" s="10">
        <f t="shared" si="198"/>
        <v>5.6000000000000005</v>
      </c>
      <c r="J1958" s="10">
        <f t="shared" si="199"/>
        <v>7.2</v>
      </c>
      <c r="K1958" s="10">
        <f t="shared" si="201"/>
        <v>32.4</v>
      </c>
      <c r="L1958" s="10">
        <f t="shared" si="200"/>
        <v>106.2</v>
      </c>
    </row>
    <row r="1959" spans="1:12" x14ac:dyDescent="0.25">
      <c r="A1959" s="7">
        <v>45464</v>
      </c>
      <c r="B1959" t="s">
        <v>598</v>
      </c>
      <c r="C1959" s="6">
        <v>6004</v>
      </c>
      <c r="D1959" s="5" t="s">
        <v>602</v>
      </c>
      <c r="E1959" s="1">
        <v>0.57638888888888884</v>
      </c>
      <c r="F1959" s="1">
        <v>0.60416666666666663</v>
      </c>
      <c r="G1959" s="9">
        <f t="shared" si="196"/>
        <v>45460</v>
      </c>
      <c r="H1959" s="11">
        <f t="shared" si="197"/>
        <v>0.7</v>
      </c>
      <c r="I1959" s="10">
        <f t="shared" si="198"/>
        <v>6.3</v>
      </c>
      <c r="J1959" s="10">
        <f t="shared" si="199"/>
        <v>7.2</v>
      </c>
      <c r="K1959" s="10">
        <f t="shared" si="201"/>
        <v>33.1</v>
      </c>
      <c r="L1959" s="10">
        <f t="shared" si="200"/>
        <v>106.9</v>
      </c>
    </row>
    <row r="1960" spans="1:12" x14ac:dyDescent="0.25">
      <c r="A1960" s="7">
        <v>45464</v>
      </c>
      <c r="B1960" t="s">
        <v>598</v>
      </c>
      <c r="C1960" s="6">
        <v>6004</v>
      </c>
      <c r="D1960" s="5" t="s">
        <v>44</v>
      </c>
      <c r="E1960" s="1">
        <v>0.60416666666666663</v>
      </c>
      <c r="F1960" s="1">
        <v>0.6166666666666667</v>
      </c>
      <c r="G1960" s="9">
        <f t="shared" si="196"/>
        <v>45460</v>
      </c>
      <c r="H1960" s="11">
        <f t="shared" si="197"/>
        <v>0.3</v>
      </c>
      <c r="I1960" s="10">
        <f t="shared" si="198"/>
        <v>6.6</v>
      </c>
      <c r="J1960" s="10">
        <f t="shared" si="199"/>
        <v>7.2</v>
      </c>
      <c r="K1960" s="10">
        <f t="shared" si="201"/>
        <v>33.4</v>
      </c>
      <c r="L1960" s="10">
        <f t="shared" si="200"/>
        <v>107.2</v>
      </c>
    </row>
    <row r="1961" spans="1:12" x14ac:dyDescent="0.25">
      <c r="A1961" s="7">
        <v>45464</v>
      </c>
      <c r="B1961" t="s">
        <v>598</v>
      </c>
      <c r="C1961" s="6">
        <v>6004</v>
      </c>
      <c r="D1961" s="5" t="s">
        <v>602</v>
      </c>
      <c r="E1961" s="1">
        <v>0.6166666666666667</v>
      </c>
      <c r="F1961" s="1">
        <v>0.65833333333333333</v>
      </c>
      <c r="G1961" s="9">
        <f t="shared" si="196"/>
        <v>45460</v>
      </c>
      <c r="H1961" s="11">
        <f t="shared" si="197"/>
        <v>1</v>
      </c>
      <c r="I1961" s="10">
        <f t="shared" si="198"/>
        <v>7.6</v>
      </c>
      <c r="J1961" s="10">
        <f t="shared" si="199"/>
        <v>7.2</v>
      </c>
      <c r="K1961" s="10">
        <f t="shared" si="201"/>
        <v>34.4</v>
      </c>
      <c r="L1961" s="10">
        <f t="shared" si="200"/>
        <v>108.2</v>
      </c>
    </row>
    <row r="1962" spans="1:12" x14ac:dyDescent="0.25">
      <c r="A1962" s="7">
        <v>45467</v>
      </c>
      <c r="B1962" t="s">
        <v>6</v>
      </c>
      <c r="C1962" s="6" t="s">
        <v>416</v>
      </c>
      <c r="D1962" s="5" t="s">
        <v>104</v>
      </c>
      <c r="E1962" s="1">
        <v>0.38194444444444442</v>
      </c>
      <c r="F1962" s="1">
        <v>0.41666666666666669</v>
      </c>
      <c r="G1962" s="9">
        <f t="shared" si="196"/>
        <v>45467</v>
      </c>
      <c r="H1962" s="11">
        <f t="shared" si="197"/>
        <v>0.8</v>
      </c>
      <c r="I1962" s="10">
        <f t="shared" si="198"/>
        <v>0.8</v>
      </c>
      <c r="J1962" s="10">
        <f t="shared" si="199"/>
        <v>7.2</v>
      </c>
      <c r="K1962" s="10">
        <f t="shared" si="201"/>
        <v>0.8</v>
      </c>
      <c r="L1962" s="10">
        <f t="shared" si="200"/>
        <v>109</v>
      </c>
    </row>
    <row r="1963" spans="1:12" x14ac:dyDescent="0.25">
      <c r="A1963" s="7">
        <v>45467</v>
      </c>
      <c r="B1963" t="s">
        <v>411</v>
      </c>
      <c r="C1963" s="6">
        <v>6181</v>
      </c>
      <c r="D1963" s="5" t="s">
        <v>609</v>
      </c>
      <c r="E1963" s="1">
        <v>0.41666666666666669</v>
      </c>
      <c r="F1963" s="1">
        <v>0.5229166666666667</v>
      </c>
      <c r="G1963" s="9">
        <f t="shared" si="196"/>
        <v>45467</v>
      </c>
      <c r="H1963" s="11">
        <f t="shared" si="197"/>
        <v>2.6</v>
      </c>
      <c r="I1963" s="10">
        <f t="shared" si="198"/>
        <v>3.4000000000000004</v>
      </c>
      <c r="J1963" s="10">
        <f t="shared" si="199"/>
        <v>7.2</v>
      </c>
      <c r="K1963" s="10">
        <f t="shared" si="201"/>
        <v>3.4000000000000004</v>
      </c>
      <c r="L1963" s="10">
        <f t="shared" si="200"/>
        <v>111.6</v>
      </c>
    </row>
    <row r="1964" spans="1:12" x14ac:dyDescent="0.25">
      <c r="A1964" s="7">
        <v>45467</v>
      </c>
      <c r="B1964" t="s">
        <v>6</v>
      </c>
      <c r="C1964" s="6" t="s">
        <v>416</v>
      </c>
      <c r="D1964" s="5" t="s">
        <v>610</v>
      </c>
      <c r="E1964" s="1">
        <v>0.5229166666666667</v>
      </c>
      <c r="F1964" s="1">
        <v>0.56388888888888888</v>
      </c>
      <c r="G1964" s="9">
        <f t="shared" si="196"/>
        <v>45467</v>
      </c>
      <c r="H1964" s="11">
        <f t="shared" si="197"/>
        <v>1</v>
      </c>
      <c r="I1964" s="10">
        <f t="shared" si="198"/>
        <v>4.4000000000000004</v>
      </c>
      <c r="J1964" s="10">
        <f t="shared" si="199"/>
        <v>7.2</v>
      </c>
      <c r="K1964" s="10">
        <f t="shared" si="201"/>
        <v>4.4000000000000004</v>
      </c>
      <c r="L1964" s="10">
        <f t="shared" si="200"/>
        <v>112.6</v>
      </c>
    </row>
    <row r="1965" spans="1:12" x14ac:dyDescent="0.25">
      <c r="A1965" s="7">
        <v>45467</v>
      </c>
      <c r="B1965" t="s">
        <v>598</v>
      </c>
      <c r="C1965" s="6">
        <v>6004</v>
      </c>
      <c r="D1965" s="5" t="s">
        <v>602</v>
      </c>
      <c r="E1965" s="1">
        <v>0.56388888888888888</v>
      </c>
      <c r="F1965" s="1">
        <v>0.64444444444444449</v>
      </c>
      <c r="G1965" s="9">
        <f t="shared" ref="G1965:G2028" si="202">IF(E1965&gt;0,INT((A1965-2)/7)*7+2,"")</f>
        <v>45467</v>
      </c>
      <c r="H1965" s="11">
        <f t="shared" ref="H1965:H2028" si="203">IF(E1965&gt;0,ROUND(24*(IF(F1965&gt;0,F1965,NowTime)-E1965),1),"")</f>
        <v>1.9</v>
      </c>
      <c r="I1965" s="10">
        <f t="shared" ref="I1965:I2028" si="204">IF(H1965="",H1965,H1965+IF(A1965=A1964,_xlfn.NUMBERVALUE(I1964),0))</f>
        <v>6.3000000000000007</v>
      </c>
      <c r="J1965" s="10">
        <f t="shared" ref="J1965:J2028" si="205">IF(H1965="",H1965,7.2)</f>
        <v>7.2</v>
      </c>
      <c r="K1965" s="10">
        <f t="shared" si="201"/>
        <v>6.3000000000000007</v>
      </c>
      <c r="L1965" s="10">
        <f t="shared" ref="L1965:L2028" si="206">IF(H1965="",H1965,H1965+IF(MONTH(A1965)=MONTH(A1964),_xlfn.NUMBERVALUE(L1964),0))</f>
        <v>114.5</v>
      </c>
    </row>
    <row r="1966" spans="1:12" x14ac:dyDescent="0.25">
      <c r="A1966" s="7">
        <v>45468</v>
      </c>
      <c r="B1966" t="s">
        <v>598</v>
      </c>
      <c r="C1966" s="6">
        <v>6004</v>
      </c>
      <c r="D1966" s="5" t="s">
        <v>602</v>
      </c>
      <c r="E1966" s="1">
        <v>0.33333333333333331</v>
      </c>
      <c r="F1966" s="1">
        <v>0.4375</v>
      </c>
      <c r="G1966" s="9">
        <f t="shared" si="202"/>
        <v>45467</v>
      </c>
      <c r="H1966" s="11">
        <f t="shared" si="203"/>
        <v>2.5</v>
      </c>
      <c r="I1966" s="10">
        <f t="shared" si="204"/>
        <v>2.5</v>
      </c>
      <c r="J1966" s="10">
        <f t="shared" si="205"/>
        <v>7.2</v>
      </c>
      <c r="K1966" s="10">
        <f t="shared" si="201"/>
        <v>8.8000000000000007</v>
      </c>
      <c r="L1966" s="10">
        <f t="shared" si="206"/>
        <v>117</v>
      </c>
    </row>
    <row r="1967" spans="1:12" x14ac:dyDescent="0.25">
      <c r="A1967" s="7">
        <v>45468</v>
      </c>
      <c r="B1967" t="s">
        <v>6</v>
      </c>
      <c r="C1967" s="6" t="s">
        <v>416</v>
      </c>
      <c r="D1967" s="5" t="s">
        <v>611</v>
      </c>
      <c r="E1967" s="1">
        <v>0.4375</v>
      </c>
      <c r="F1967" s="1">
        <v>0.47916666666666669</v>
      </c>
      <c r="G1967" s="9">
        <f t="shared" si="202"/>
        <v>45467</v>
      </c>
      <c r="H1967" s="11">
        <f t="shared" si="203"/>
        <v>1</v>
      </c>
      <c r="I1967" s="10">
        <f t="shared" si="204"/>
        <v>3.5</v>
      </c>
      <c r="J1967" s="10">
        <f t="shared" si="205"/>
        <v>7.2</v>
      </c>
      <c r="K1967" s="10">
        <f t="shared" si="201"/>
        <v>9.8000000000000007</v>
      </c>
      <c r="L1967" s="10">
        <f t="shared" si="206"/>
        <v>118</v>
      </c>
    </row>
    <row r="1968" spans="1:12" x14ac:dyDescent="0.25">
      <c r="A1968" s="7">
        <v>45468</v>
      </c>
      <c r="B1968" t="s">
        <v>6</v>
      </c>
      <c r="C1968" s="6" t="s">
        <v>416</v>
      </c>
      <c r="D1968" s="5" t="s">
        <v>612</v>
      </c>
      <c r="E1968" s="1">
        <v>0.47916666666666669</v>
      </c>
      <c r="F1968" s="1">
        <v>0.52083333333333337</v>
      </c>
      <c r="G1968" s="9">
        <f t="shared" si="202"/>
        <v>45467</v>
      </c>
      <c r="H1968" s="11">
        <f t="shared" si="203"/>
        <v>1</v>
      </c>
      <c r="I1968" s="10">
        <f t="shared" si="204"/>
        <v>4.5</v>
      </c>
      <c r="J1968" s="10">
        <f t="shared" si="205"/>
        <v>7.2</v>
      </c>
      <c r="K1968" s="10">
        <f t="shared" si="201"/>
        <v>10.8</v>
      </c>
      <c r="L1968" s="10">
        <f t="shared" si="206"/>
        <v>119</v>
      </c>
    </row>
    <row r="1969" spans="1:12" x14ac:dyDescent="0.25">
      <c r="A1969" s="7">
        <v>45468</v>
      </c>
      <c r="B1969" t="s">
        <v>598</v>
      </c>
      <c r="C1969" s="6">
        <v>6004</v>
      </c>
      <c r="D1969" s="5" t="s">
        <v>602</v>
      </c>
      <c r="E1969" s="1">
        <v>0.5395833333333333</v>
      </c>
      <c r="F1969" s="1">
        <v>0.62152777777777779</v>
      </c>
      <c r="G1969" s="9">
        <f t="shared" si="202"/>
        <v>45467</v>
      </c>
      <c r="H1969" s="11">
        <f t="shared" si="203"/>
        <v>2</v>
      </c>
      <c r="I1969" s="10">
        <f t="shared" si="204"/>
        <v>6.5</v>
      </c>
      <c r="J1969" s="10">
        <f t="shared" si="205"/>
        <v>7.2</v>
      </c>
      <c r="K1969" s="10">
        <f t="shared" si="201"/>
        <v>12.8</v>
      </c>
      <c r="L1969" s="10">
        <f t="shared" si="206"/>
        <v>121</v>
      </c>
    </row>
    <row r="1970" spans="1:12" x14ac:dyDescent="0.25">
      <c r="A1970" s="7">
        <v>45469</v>
      </c>
      <c r="B1970" t="s">
        <v>598</v>
      </c>
      <c r="C1970" s="6">
        <v>6004</v>
      </c>
      <c r="D1970" s="5" t="s">
        <v>602</v>
      </c>
      <c r="E1970" s="1">
        <v>0.35347222222222224</v>
      </c>
      <c r="F1970" s="1">
        <v>0.55208333333333337</v>
      </c>
      <c r="G1970" s="9">
        <f t="shared" si="202"/>
        <v>45467</v>
      </c>
      <c r="H1970" s="11">
        <f t="shared" si="203"/>
        <v>4.8</v>
      </c>
      <c r="I1970" s="10">
        <f t="shared" si="204"/>
        <v>4.8</v>
      </c>
      <c r="J1970" s="10">
        <f t="shared" si="205"/>
        <v>7.2</v>
      </c>
      <c r="K1970" s="10">
        <f t="shared" si="201"/>
        <v>17.600000000000001</v>
      </c>
      <c r="L1970" s="10">
        <f t="shared" si="206"/>
        <v>125.8</v>
      </c>
    </row>
    <row r="1971" spans="1:12" x14ac:dyDescent="0.25">
      <c r="A1971" s="7">
        <v>45469</v>
      </c>
      <c r="B1971" s="2" t="s">
        <v>311</v>
      </c>
      <c r="C1971" s="6">
        <v>2008</v>
      </c>
      <c r="D1971" s="5" t="s">
        <v>613</v>
      </c>
      <c r="E1971" s="1">
        <v>0.55208333333333337</v>
      </c>
      <c r="F1971" s="1">
        <v>0.58333333333333337</v>
      </c>
      <c r="G1971" s="9">
        <f t="shared" si="202"/>
        <v>45467</v>
      </c>
      <c r="H1971" s="11">
        <f t="shared" si="203"/>
        <v>0.8</v>
      </c>
      <c r="I1971" s="10">
        <f t="shared" si="204"/>
        <v>5.6</v>
      </c>
      <c r="J1971" s="10">
        <f t="shared" si="205"/>
        <v>7.2</v>
      </c>
      <c r="K1971" s="10">
        <f t="shared" si="201"/>
        <v>18.400000000000002</v>
      </c>
      <c r="L1971" s="10">
        <f t="shared" si="206"/>
        <v>126.6</v>
      </c>
    </row>
    <row r="1972" spans="1:12" x14ac:dyDescent="0.25">
      <c r="A1972" s="7">
        <v>45469</v>
      </c>
      <c r="B1972" t="s">
        <v>598</v>
      </c>
      <c r="C1972" s="6">
        <v>6004</v>
      </c>
      <c r="D1972" s="5" t="s">
        <v>602</v>
      </c>
      <c r="E1972" s="1">
        <v>0.58333333333333337</v>
      </c>
      <c r="F1972" s="1">
        <v>0.60277777777777775</v>
      </c>
      <c r="G1972" s="9">
        <f t="shared" si="202"/>
        <v>45467</v>
      </c>
      <c r="H1972" s="11">
        <f t="shared" si="203"/>
        <v>0.5</v>
      </c>
      <c r="I1972" s="10">
        <f t="shared" si="204"/>
        <v>6.1</v>
      </c>
      <c r="J1972" s="10">
        <f t="shared" si="205"/>
        <v>7.2</v>
      </c>
      <c r="K1972" s="10">
        <f t="shared" si="201"/>
        <v>18.899999999999999</v>
      </c>
      <c r="L1972" s="10">
        <f t="shared" si="206"/>
        <v>127.1</v>
      </c>
    </row>
    <row r="1973" spans="1:12" x14ac:dyDescent="0.25">
      <c r="A1973" s="7">
        <v>45469</v>
      </c>
      <c r="B1973" s="2" t="s">
        <v>579</v>
      </c>
      <c r="C1973" s="6">
        <v>2682</v>
      </c>
      <c r="D1973" s="5" t="s">
        <v>606</v>
      </c>
      <c r="E1973" s="1">
        <v>0.60277777777777775</v>
      </c>
      <c r="F1973" s="1">
        <v>0.66249999999999998</v>
      </c>
      <c r="G1973" s="9">
        <f t="shared" si="202"/>
        <v>45467</v>
      </c>
      <c r="H1973" s="11">
        <f t="shared" si="203"/>
        <v>1.4</v>
      </c>
      <c r="I1973" s="10">
        <f t="shared" si="204"/>
        <v>7.5</v>
      </c>
      <c r="J1973" s="10">
        <f t="shared" si="205"/>
        <v>7.2</v>
      </c>
      <c r="K1973" s="10">
        <f t="shared" si="201"/>
        <v>20.299999999999997</v>
      </c>
      <c r="L1973" s="10">
        <f t="shared" si="206"/>
        <v>128.5</v>
      </c>
    </row>
    <row r="1974" spans="1:12" x14ac:dyDescent="0.25">
      <c r="A1974" s="7">
        <v>45470</v>
      </c>
      <c r="B1974" t="s">
        <v>598</v>
      </c>
      <c r="C1974" s="6">
        <v>6004</v>
      </c>
      <c r="D1974" s="5" t="s">
        <v>602</v>
      </c>
      <c r="E1974" s="1">
        <v>0.34513888888888888</v>
      </c>
      <c r="F1974" s="1">
        <v>0.39166666666666666</v>
      </c>
      <c r="G1974" s="9">
        <f t="shared" si="202"/>
        <v>45467</v>
      </c>
      <c r="H1974" s="11">
        <f t="shared" si="203"/>
        <v>1.1000000000000001</v>
      </c>
      <c r="I1974" s="10">
        <f t="shared" si="204"/>
        <v>1.1000000000000001</v>
      </c>
      <c r="J1974" s="10">
        <f t="shared" si="205"/>
        <v>7.2</v>
      </c>
      <c r="K1974" s="10">
        <f t="shared" si="201"/>
        <v>21.400000000000002</v>
      </c>
      <c r="L1974" s="10">
        <f t="shared" si="206"/>
        <v>129.6</v>
      </c>
    </row>
    <row r="1975" spans="1:12" x14ac:dyDescent="0.25">
      <c r="A1975" s="7">
        <v>45470</v>
      </c>
      <c r="B1975" s="2" t="s">
        <v>579</v>
      </c>
      <c r="C1975" s="6">
        <v>2682</v>
      </c>
      <c r="D1975" s="5" t="s">
        <v>606</v>
      </c>
      <c r="E1975" s="1">
        <v>0.39166666666666666</v>
      </c>
      <c r="F1975" s="1">
        <v>0.51041666666666663</v>
      </c>
      <c r="G1975" s="9">
        <f t="shared" si="202"/>
        <v>45467</v>
      </c>
      <c r="H1975" s="11">
        <f t="shared" si="203"/>
        <v>2.9</v>
      </c>
      <c r="I1975" s="10">
        <f t="shared" si="204"/>
        <v>4</v>
      </c>
      <c r="J1975" s="10">
        <f t="shared" si="205"/>
        <v>7.2</v>
      </c>
      <c r="K1975" s="10">
        <f t="shared" si="201"/>
        <v>24.299999999999997</v>
      </c>
      <c r="L1975" s="10">
        <f t="shared" si="206"/>
        <v>132.5</v>
      </c>
    </row>
    <row r="1976" spans="1:12" x14ac:dyDescent="0.25">
      <c r="A1976" s="7">
        <v>45470</v>
      </c>
      <c r="B1976" t="s">
        <v>598</v>
      </c>
      <c r="C1976" s="6">
        <v>6004</v>
      </c>
      <c r="D1976" s="5" t="s">
        <v>602</v>
      </c>
      <c r="E1976" s="1">
        <v>0.53055555555555556</v>
      </c>
      <c r="F1976" s="1">
        <v>0.62083333333333335</v>
      </c>
      <c r="G1976" s="9">
        <f t="shared" si="202"/>
        <v>45467</v>
      </c>
      <c r="H1976" s="11">
        <f t="shared" si="203"/>
        <v>2.2000000000000002</v>
      </c>
      <c r="I1976" s="10">
        <f t="shared" si="204"/>
        <v>6.2</v>
      </c>
      <c r="J1976" s="10">
        <f t="shared" si="205"/>
        <v>7.2</v>
      </c>
      <c r="K1976" s="10">
        <f t="shared" si="201"/>
        <v>26.5</v>
      </c>
      <c r="L1976" s="10">
        <f t="shared" si="206"/>
        <v>134.69999999999999</v>
      </c>
    </row>
    <row r="1977" spans="1:12" x14ac:dyDescent="0.25">
      <c r="A1977" s="7">
        <v>45470</v>
      </c>
      <c r="B1977" s="2" t="s">
        <v>579</v>
      </c>
      <c r="C1977" s="6">
        <v>2682</v>
      </c>
      <c r="D1977" s="5" t="s">
        <v>606</v>
      </c>
      <c r="E1977" s="1">
        <v>0.62083333333333335</v>
      </c>
      <c r="F1977" s="1">
        <v>0.68541666666666667</v>
      </c>
      <c r="G1977" s="9">
        <f t="shared" si="202"/>
        <v>45467</v>
      </c>
      <c r="H1977" s="11">
        <f t="shared" si="203"/>
        <v>1.6</v>
      </c>
      <c r="I1977" s="10">
        <f t="shared" si="204"/>
        <v>7.8000000000000007</v>
      </c>
      <c r="J1977" s="10">
        <f t="shared" si="205"/>
        <v>7.2</v>
      </c>
      <c r="K1977" s="10">
        <f t="shared" si="201"/>
        <v>28.1</v>
      </c>
      <c r="L1977" s="10">
        <f t="shared" si="206"/>
        <v>136.29999999999998</v>
      </c>
    </row>
    <row r="1978" spans="1:12" x14ac:dyDescent="0.25">
      <c r="A1978" s="7">
        <v>45471</v>
      </c>
      <c r="B1978" t="s">
        <v>7</v>
      </c>
      <c r="C1978" s="6" t="s">
        <v>22</v>
      </c>
      <c r="D1978" s="2" t="s">
        <v>150</v>
      </c>
      <c r="E1978" s="1">
        <v>0.40972222222222227</v>
      </c>
      <c r="F1978" s="1">
        <v>0.70833333333333337</v>
      </c>
      <c r="G1978" s="9">
        <f t="shared" si="202"/>
        <v>45467</v>
      </c>
      <c r="H1978" s="11">
        <f t="shared" si="203"/>
        <v>7.2</v>
      </c>
      <c r="I1978" s="10">
        <f t="shared" si="204"/>
        <v>7.2</v>
      </c>
      <c r="J1978" s="10">
        <f t="shared" si="205"/>
        <v>7.2</v>
      </c>
      <c r="K1978" s="10">
        <f t="shared" si="201"/>
        <v>35.300000000000004</v>
      </c>
      <c r="L1978" s="10">
        <f t="shared" si="206"/>
        <v>143.5</v>
      </c>
    </row>
    <row r="1979" spans="1:12" x14ac:dyDescent="0.25">
      <c r="A1979" s="7">
        <v>45474</v>
      </c>
      <c r="B1979" t="s">
        <v>6</v>
      </c>
      <c r="C1979" s="6" t="s">
        <v>416</v>
      </c>
      <c r="D1979" s="5" t="s">
        <v>104</v>
      </c>
      <c r="E1979" s="1">
        <v>0.31805555555555554</v>
      </c>
      <c r="F1979" s="1">
        <v>0.375</v>
      </c>
      <c r="G1979" s="9">
        <f t="shared" si="202"/>
        <v>45474</v>
      </c>
      <c r="H1979" s="11">
        <f t="shared" si="203"/>
        <v>1.4</v>
      </c>
      <c r="I1979" s="10">
        <f t="shared" si="204"/>
        <v>1.4</v>
      </c>
      <c r="J1979" s="10">
        <f t="shared" si="205"/>
        <v>7.2</v>
      </c>
      <c r="K1979" s="10">
        <f t="shared" si="201"/>
        <v>1.4</v>
      </c>
      <c r="L1979" s="10">
        <f t="shared" si="206"/>
        <v>1.4</v>
      </c>
    </row>
    <row r="1980" spans="1:12" x14ac:dyDescent="0.25">
      <c r="A1980" s="7">
        <v>45474</v>
      </c>
      <c r="B1980" s="2" t="s">
        <v>551</v>
      </c>
      <c r="C1980" s="6">
        <v>6184</v>
      </c>
      <c r="D1980" s="5" t="s">
        <v>608</v>
      </c>
      <c r="E1980" s="1">
        <v>0.375</v>
      </c>
      <c r="F1980" s="1">
        <v>0.45833333333333331</v>
      </c>
      <c r="G1980" s="9">
        <f t="shared" si="202"/>
        <v>45474</v>
      </c>
      <c r="H1980" s="11">
        <f t="shared" si="203"/>
        <v>2</v>
      </c>
      <c r="I1980" s="10">
        <f t="shared" si="204"/>
        <v>3.4</v>
      </c>
      <c r="J1980" s="10">
        <f t="shared" si="205"/>
        <v>7.2</v>
      </c>
      <c r="K1980" s="10">
        <f t="shared" si="201"/>
        <v>3.4</v>
      </c>
      <c r="L1980" s="10">
        <f t="shared" si="206"/>
        <v>3.4</v>
      </c>
    </row>
    <row r="1981" spans="1:12" x14ac:dyDescent="0.25">
      <c r="A1981" s="7">
        <v>45474</v>
      </c>
      <c r="B1981" s="2" t="s">
        <v>838</v>
      </c>
      <c r="C1981" s="6">
        <v>6185</v>
      </c>
      <c r="D1981" s="5" t="s">
        <v>614</v>
      </c>
      <c r="E1981" s="1">
        <v>0.45833333333333331</v>
      </c>
      <c r="F1981" s="1">
        <v>0.49861111111111112</v>
      </c>
      <c r="G1981" s="9">
        <f t="shared" si="202"/>
        <v>45474</v>
      </c>
      <c r="H1981" s="11">
        <f t="shared" si="203"/>
        <v>1</v>
      </c>
      <c r="I1981" s="10">
        <f t="shared" si="204"/>
        <v>4.4000000000000004</v>
      </c>
      <c r="J1981" s="10">
        <f t="shared" si="205"/>
        <v>7.2</v>
      </c>
      <c r="K1981" s="10">
        <f t="shared" si="201"/>
        <v>4.4000000000000004</v>
      </c>
      <c r="L1981" s="10">
        <f t="shared" si="206"/>
        <v>4.4000000000000004</v>
      </c>
    </row>
    <row r="1982" spans="1:12" x14ac:dyDescent="0.25">
      <c r="A1982" s="7">
        <v>45474</v>
      </c>
      <c r="B1982" s="2" t="s">
        <v>579</v>
      </c>
      <c r="C1982" s="6">
        <v>2682</v>
      </c>
      <c r="D1982" s="5" t="s">
        <v>606</v>
      </c>
      <c r="E1982" s="1">
        <v>0.51527777777777772</v>
      </c>
      <c r="F1982" s="1">
        <v>0.63124999999999998</v>
      </c>
      <c r="G1982" s="9">
        <f t="shared" si="202"/>
        <v>45474</v>
      </c>
      <c r="H1982" s="11">
        <f t="shared" si="203"/>
        <v>2.8</v>
      </c>
      <c r="I1982" s="10">
        <f t="shared" si="204"/>
        <v>7.2</v>
      </c>
      <c r="J1982" s="10">
        <f t="shared" si="205"/>
        <v>7.2</v>
      </c>
      <c r="K1982" s="10">
        <f t="shared" si="201"/>
        <v>7.2</v>
      </c>
      <c r="L1982" s="10">
        <f t="shared" si="206"/>
        <v>7.2</v>
      </c>
    </row>
    <row r="1983" spans="1:12" x14ac:dyDescent="0.25">
      <c r="A1983" s="7">
        <v>45475</v>
      </c>
      <c r="B1983" s="2" t="s">
        <v>579</v>
      </c>
      <c r="C1983" s="6">
        <v>2682</v>
      </c>
      <c r="D1983" s="5" t="s">
        <v>606</v>
      </c>
      <c r="E1983" s="1">
        <v>0.33888888888888891</v>
      </c>
      <c r="F1983" s="1">
        <v>0.375</v>
      </c>
      <c r="G1983" s="9">
        <f t="shared" si="202"/>
        <v>45474</v>
      </c>
      <c r="H1983" s="11">
        <f t="shared" si="203"/>
        <v>0.9</v>
      </c>
      <c r="I1983" s="10">
        <f t="shared" si="204"/>
        <v>0.9</v>
      </c>
      <c r="J1983" s="10">
        <f t="shared" si="205"/>
        <v>7.2</v>
      </c>
      <c r="K1983" s="10">
        <f t="shared" si="201"/>
        <v>8.1</v>
      </c>
      <c r="L1983" s="10">
        <f t="shared" si="206"/>
        <v>8.1</v>
      </c>
    </row>
    <row r="1984" spans="1:12" x14ac:dyDescent="0.25">
      <c r="A1984" s="7">
        <v>45475</v>
      </c>
      <c r="B1984" s="2" t="s">
        <v>838</v>
      </c>
      <c r="C1984" s="6">
        <v>6185</v>
      </c>
      <c r="D1984" s="5" t="s">
        <v>615</v>
      </c>
      <c r="E1984" s="1">
        <v>0.375</v>
      </c>
      <c r="F1984" s="1">
        <v>0.40902777777777777</v>
      </c>
      <c r="G1984" s="9">
        <f t="shared" si="202"/>
        <v>45474</v>
      </c>
      <c r="H1984" s="11">
        <f t="shared" si="203"/>
        <v>0.8</v>
      </c>
      <c r="I1984" s="10">
        <f t="shared" si="204"/>
        <v>1.7000000000000002</v>
      </c>
      <c r="J1984" s="10">
        <f t="shared" si="205"/>
        <v>7.2</v>
      </c>
      <c r="K1984" s="10">
        <f t="shared" si="201"/>
        <v>8.9</v>
      </c>
      <c r="L1984" s="10">
        <f t="shared" si="206"/>
        <v>8.9</v>
      </c>
    </row>
    <row r="1985" spans="1:12" x14ac:dyDescent="0.25">
      <c r="A1985" s="7">
        <v>45475</v>
      </c>
      <c r="B1985" s="2" t="s">
        <v>579</v>
      </c>
      <c r="C1985" s="6">
        <v>2682</v>
      </c>
      <c r="D1985" s="5" t="s">
        <v>606</v>
      </c>
      <c r="E1985" s="1">
        <v>0.40902777777777777</v>
      </c>
      <c r="F1985" s="1">
        <v>0.54166666666666663</v>
      </c>
      <c r="G1985" s="9">
        <f t="shared" si="202"/>
        <v>45474</v>
      </c>
      <c r="H1985" s="11">
        <f t="shared" si="203"/>
        <v>3.2</v>
      </c>
      <c r="I1985" s="10">
        <f t="shared" si="204"/>
        <v>4.9000000000000004</v>
      </c>
      <c r="J1985" s="10">
        <f t="shared" si="205"/>
        <v>7.2</v>
      </c>
      <c r="K1985" s="10">
        <f t="shared" si="201"/>
        <v>12.100000000000001</v>
      </c>
      <c r="L1985" s="10">
        <f t="shared" si="206"/>
        <v>12.100000000000001</v>
      </c>
    </row>
    <row r="1986" spans="1:12" x14ac:dyDescent="0.25">
      <c r="A1986" s="7">
        <v>45475</v>
      </c>
      <c r="B1986" t="s">
        <v>6</v>
      </c>
      <c r="C1986" s="6" t="s">
        <v>416</v>
      </c>
      <c r="D1986" s="5" t="s">
        <v>58</v>
      </c>
      <c r="E1986" s="1">
        <v>0.54166666666666663</v>
      </c>
      <c r="F1986" s="1">
        <v>0.58333333333333337</v>
      </c>
      <c r="G1986" s="9">
        <f t="shared" si="202"/>
        <v>45474</v>
      </c>
      <c r="H1986" s="11">
        <f t="shared" si="203"/>
        <v>1</v>
      </c>
      <c r="I1986" s="10">
        <f t="shared" si="204"/>
        <v>5.9</v>
      </c>
      <c r="J1986" s="10">
        <f t="shared" si="205"/>
        <v>7.2</v>
      </c>
      <c r="K1986" s="10">
        <f t="shared" si="201"/>
        <v>13.1</v>
      </c>
      <c r="L1986" s="10">
        <f t="shared" si="206"/>
        <v>13.1</v>
      </c>
    </row>
    <row r="1987" spans="1:12" x14ac:dyDescent="0.25">
      <c r="A1987" s="7">
        <v>45475</v>
      </c>
      <c r="B1987" s="2" t="s">
        <v>464</v>
      </c>
      <c r="C1987" s="6">
        <v>2431</v>
      </c>
      <c r="D1987" s="5" t="s">
        <v>600</v>
      </c>
      <c r="E1987" s="1">
        <v>0.58333333333333337</v>
      </c>
      <c r="F1987" s="1">
        <v>0.60416666666666663</v>
      </c>
      <c r="G1987" s="9">
        <f t="shared" si="202"/>
        <v>45474</v>
      </c>
      <c r="H1987" s="11">
        <f t="shared" si="203"/>
        <v>0.5</v>
      </c>
      <c r="I1987" s="10">
        <f t="shared" si="204"/>
        <v>6.4</v>
      </c>
      <c r="J1987" s="10">
        <f t="shared" si="205"/>
        <v>7.2</v>
      </c>
      <c r="K1987" s="10">
        <f t="shared" ref="K1987:K2050" si="207">IF(H1987="",H1987,H1987+IF(G1987=G1986,_xlfn.NUMBERVALUE(K1986),0))</f>
        <v>13.6</v>
      </c>
      <c r="L1987" s="10">
        <f t="shared" si="206"/>
        <v>13.6</v>
      </c>
    </row>
    <row r="1988" spans="1:12" x14ac:dyDescent="0.25">
      <c r="A1988" s="7">
        <v>45476</v>
      </c>
      <c r="B1988" t="s">
        <v>7</v>
      </c>
      <c r="C1988" s="6" t="s">
        <v>22</v>
      </c>
      <c r="D1988" s="2" t="s">
        <v>616</v>
      </c>
      <c r="E1988" s="1">
        <v>0.40972222222222227</v>
      </c>
      <c r="F1988" s="1">
        <v>0.70833333333333337</v>
      </c>
      <c r="G1988" s="9">
        <f t="shared" si="202"/>
        <v>45474</v>
      </c>
      <c r="H1988" s="11">
        <f t="shared" si="203"/>
        <v>7.2</v>
      </c>
      <c r="I1988" s="10">
        <f t="shared" si="204"/>
        <v>7.2</v>
      </c>
      <c r="J1988" s="10">
        <f t="shared" si="205"/>
        <v>7.2</v>
      </c>
      <c r="K1988" s="10">
        <f t="shared" si="207"/>
        <v>20.8</v>
      </c>
      <c r="L1988" s="10">
        <f t="shared" si="206"/>
        <v>20.8</v>
      </c>
    </row>
    <row r="1989" spans="1:12" x14ac:dyDescent="0.25">
      <c r="A1989" s="7">
        <v>45477</v>
      </c>
      <c r="B1989" t="s">
        <v>6</v>
      </c>
      <c r="C1989" s="6" t="s">
        <v>416</v>
      </c>
      <c r="D1989" s="5" t="s">
        <v>138</v>
      </c>
      <c r="E1989" s="1">
        <v>0.35694444444444445</v>
      </c>
      <c r="F1989" s="1">
        <v>0.4909722222222222</v>
      </c>
      <c r="G1989" s="9">
        <f t="shared" si="202"/>
        <v>45474</v>
      </c>
      <c r="H1989" s="11">
        <f t="shared" si="203"/>
        <v>3.2</v>
      </c>
      <c r="I1989" s="10">
        <f t="shared" si="204"/>
        <v>3.2</v>
      </c>
      <c r="J1989" s="10">
        <f t="shared" si="205"/>
        <v>7.2</v>
      </c>
      <c r="K1989" s="10">
        <f t="shared" si="207"/>
        <v>24</v>
      </c>
      <c r="L1989" s="10">
        <f t="shared" si="206"/>
        <v>24</v>
      </c>
    </row>
    <row r="1990" spans="1:12" x14ac:dyDescent="0.25">
      <c r="A1990" s="7">
        <v>45477</v>
      </c>
      <c r="B1990" s="2" t="s">
        <v>551</v>
      </c>
      <c r="C1990" s="6">
        <v>6184</v>
      </c>
      <c r="D1990" s="5" t="s">
        <v>617</v>
      </c>
      <c r="E1990" s="1">
        <v>0.51666666666666672</v>
      </c>
      <c r="F1990" s="1">
        <v>0.625</v>
      </c>
      <c r="G1990" s="9">
        <f t="shared" si="202"/>
        <v>45474</v>
      </c>
      <c r="H1990" s="11">
        <f t="shared" si="203"/>
        <v>2.6</v>
      </c>
      <c r="I1990" s="10">
        <f t="shared" si="204"/>
        <v>5.8000000000000007</v>
      </c>
      <c r="J1990" s="10">
        <f t="shared" si="205"/>
        <v>7.2</v>
      </c>
      <c r="K1990" s="10">
        <f t="shared" si="207"/>
        <v>26.6</v>
      </c>
      <c r="L1990" s="10">
        <f t="shared" si="206"/>
        <v>26.6</v>
      </c>
    </row>
    <row r="1991" spans="1:12" x14ac:dyDescent="0.25">
      <c r="A1991" s="7">
        <v>45477</v>
      </c>
      <c r="B1991" t="s">
        <v>6</v>
      </c>
      <c r="C1991" s="6" t="s">
        <v>416</v>
      </c>
      <c r="D1991" s="5" t="s">
        <v>71</v>
      </c>
      <c r="E1991" s="1">
        <v>0.625</v>
      </c>
      <c r="F1991" s="1">
        <v>0.67847222222222225</v>
      </c>
      <c r="G1991" s="9">
        <f t="shared" si="202"/>
        <v>45474</v>
      </c>
      <c r="H1991" s="11">
        <f t="shared" si="203"/>
        <v>1.3</v>
      </c>
      <c r="I1991" s="10">
        <f t="shared" si="204"/>
        <v>7.1</v>
      </c>
      <c r="J1991" s="10">
        <f t="shared" si="205"/>
        <v>7.2</v>
      </c>
      <c r="K1991" s="10">
        <f t="shared" si="207"/>
        <v>27.900000000000002</v>
      </c>
      <c r="L1991" s="10">
        <f t="shared" si="206"/>
        <v>27.900000000000002</v>
      </c>
    </row>
    <row r="1992" spans="1:12" x14ac:dyDescent="0.25">
      <c r="A1992" s="7">
        <v>45478</v>
      </c>
      <c r="B1992" t="s">
        <v>6</v>
      </c>
      <c r="C1992" s="6" t="s">
        <v>416</v>
      </c>
      <c r="D1992" s="5" t="s">
        <v>138</v>
      </c>
      <c r="E1992" s="1">
        <v>0.39374999999999999</v>
      </c>
      <c r="F1992" s="1">
        <v>0.42708333333333331</v>
      </c>
      <c r="G1992" s="9">
        <f t="shared" si="202"/>
        <v>45474</v>
      </c>
      <c r="H1992" s="11">
        <f t="shared" si="203"/>
        <v>0.8</v>
      </c>
      <c r="I1992" s="10">
        <f t="shared" si="204"/>
        <v>0.8</v>
      </c>
      <c r="J1992" s="10">
        <f t="shared" si="205"/>
        <v>7.2</v>
      </c>
      <c r="K1992" s="10">
        <f t="shared" si="207"/>
        <v>28.7</v>
      </c>
      <c r="L1992" s="10">
        <f t="shared" si="206"/>
        <v>28.7</v>
      </c>
    </row>
    <row r="1993" spans="1:12" x14ac:dyDescent="0.25">
      <c r="A1993" s="7">
        <v>45478</v>
      </c>
      <c r="B1993" s="2" t="s">
        <v>551</v>
      </c>
      <c r="C1993" s="6">
        <v>6184</v>
      </c>
      <c r="D1993" s="5" t="s">
        <v>617</v>
      </c>
      <c r="E1993" s="1">
        <v>0.42708333333333331</v>
      </c>
      <c r="F1993" s="1">
        <v>0.45833333333333331</v>
      </c>
      <c r="G1993" s="9">
        <f t="shared" si="202"/>
        <v>45474</v>
      </c>
      <c r="H1993" s="11">
        <f t="shared" si="203"/>
        <v>0.8</v>
      </c>
      <c r="I1993" s="10">
        <f t="shared" si="204"/>
        <v>1.6</v>
      </c>
      <c r="J1993" s="10">
        <f t="shared" si="205"/>
        <v>7.2</v>
      </c>
      <c r="K1993" s="10">
        <f t="shared" si="207"/>
        <v>29.5</v>
      </c>
      <c r="L1993" s="10">
        <f t="shared" si="206"/>
        <v>29.5</v>
      </c>
    </row>
    <row r="1994" spans="1:12" x14ac:dyDescent="0.25">
      <c r="A1994" s="7">
        <v>45478</v>
      </c>
      <c r="B1994" s="2" t="s">
        <v>618</v>
      </c>
      <c r="C1994" s="6">
        <v>2683</v>
      </c>
      <c r="D1994" s="5" t="s">
        <v>44</v>
      </c>
      <c r="E1994" s="1">
        <v>0.45833333333333331</v>
      </c>
      <c r="F1994" s="1">
        <v>0.50277777777777777</v>
      </c>
      <c r="G1994" s="9">
        <f t="shared" si="202"/>
        <v>45474</v>
      </c>
      <c r="H1994" s="11">
        <f t="shared" si="203"/>
        <v>1.1000000000000001</v>
      </c>
      <c r="I1994" s="10">
        <f t="shared" si="204"/>
        <v>2.7</v>
      </c>
      <c r="J1994" s="10">
        <f t="shared" si="205"/>
        <v>7.2</v>
      </c>
      <c r="K1994" s="10">
        <f t="shared" si="207"/>
        <v>30.6</v>
      </c>
      <c r="L1994" s="10">
        <f t="shared" si="206"/>
        <v>30.6</v>
      </c>
    </row>
    <row r="1995" spans="1:12" x14ac:dyDescent="0.25">
      <c r="A1995" s="7">
        <v>45478</v>
      </c>
      <c r="B1995" t="s">
        <v>6</v>
      </c>
      <c r="C1995" s="6" t="s">
        <v>416</v>
      </c>
      <c r="D1995" s="5" t="s">
        <v>374</v>
      </c>
      <c r="E1995" s="1">
        <v>0.5229166666666667</v>
      </c>
      <c r="F1995" s="1">
        <v>0.5854166666666667</v>
      </c>
      <c r="G1995" s="9">
        <f t="shared" si="202"/>
        <v>45474</v>
      </c>
      <c r="H1995" s="11">
        <f t="shared" si="203"/>
        <v>1.5</v>
      </c>
      <c r="I1995" s="10">
        <f t="shared" si="204"/>
        <v>4.2</v>
      </c>
      <c r="J1995" s="10">
        <f t="shared" si="205"/>
        <v>7.2</v>
      </c>
      <c r="K1995" s="10">
        <f t="shared" si="207"/>
        <v>32.1</v>
      </c>
      <c r="L1995" s="10">
        <f t="shared" si="206"/>
        <v>32.1</v>
      </c>
    </row>
    <row r="1996" spans="1:12" x14ac:dyDescent="0.25">
      <c r="A1996" s="7">
        <v>45478</v>
      </c>
      <c r="B1996" t="s">
        <v>598</v>
      </c>
      <c r="C1996" s="6">
        <v>6004</v>
      </c>
      <c r="D1996" s="5" t="s">
        <v>44</v>
      </c>
      <c r="E1996" s="1">
        <v>0.5854166666666667</v>
      </c>
      <c r="F1996" s="1">
        <v>0.63541666666666663</v>
      </c>
      <c r="G1996" s="9">
        <f t="shared" si="202"/>
        <v>45474</v>
      </c>
      <c r="H1996" s="11">
        <f t="shared" si="203"/>
        <v>1.2</v>
      </c>
      <c r="I1996" s="10">
        <f t="shared" si="204"/>
        <v>5.4</v>
      </c>
      <c r="J1996" s="10">
        <f t="shared" si="205"/>
        <v>7.2</v>
      </c>
      <c r="K1996" s="10">
        <f t="shared" si="207"/>
        <v>33.300000000000004</v>
      </c>
      <c r="L1996" s="10">
        <f t="shared" si="206"/>
        <v>33.300000000000004</v>
      </c>
    </row>
    <row r="1997" spans="1:12" x14ac:dyDescent="0.25">
      <c r="A1997" s="7">
        <v>45478</v>
      </c>
      <c r="B1997" s="2" t="s">
        <v>464</v>
      </c>
      <c r="C1997" s="6">
        <v>2431</v>
      </c>
      <c r="D1997" s="5" t="s">
        <v>621</v>
      </c>
      <c r="E1997" s="1">
        <v>0.63541666666666663</v>
      </c>
      <c r="F1997" s="1">
        <v>0.65625</v>
      </c>
      <c r="G1997" s="9">
        <f t="shared" si="202"/>
        <v>45474</v>
      </c>
      <c r="H1997" s="11">
        <f t="shared" si="203"/>
        <v>0.5</v>
      </c>
      <c r="I1997" s="10">
        <f t="shared" si="204"/>
        <v>5.9</v>
      </c>
      <c r="J1997" s="10">
        <f t="shared" si="205"/>
        <v>7.2</v>
      </c>
      <c r="K1997" s="10">
        <f t="shared" si="207"/>
        <v>33.799999999999997</v>
      </c>
      <c r="L1997" s="10">
        <f t="shared" si="206"/>
        <v>33.799999999999997</v>
      </c>
    </row>
    <row r="1998" spans="1:12" x14ac:dyDescent="0.25">
      <c r="A1998" s="7">
        <v>45481</v>
      </c>
      <c r="B1998" t="s">
        <v>598</v>
      </c>
      <c r="C1998" s="6">
        <v>6004</v>
      </c>
      <c r="D1998" s="5" t="s">
        <v>574</v>
      </c>
      <c r="E1998" s="1">
        <v>0.31527777777777777</v>
      </c>
      <c r="F1998" s="1">
        <v>0.36388888888888887</v>
      </c>
      <c r="G1998" s="9">
        <f t="shared" si="202"/>
        <v>45481</v>
      </c>
      <c r="H1998" s="11">
        <f t="shared" si="203"/>
        <v>1.2</v>
      </c>
      <c r="I1998" s="10">
        <f t="shared" si="204"/>
        <v>1.2</v>
      </c>
      <c r="J1998" s="10">
        <f t="shared" si="205"/>
        <v>7.2</v>
      </c>
      <c r="K1998" s="10">
        <f t="shared" si="207"/>
        <v>1.2</v>
      </c>
      <c r="L1998" s="10">
        <f t="shared" si="206"/>
        <v>35</v>
      </c>
    </row>
    <row r="1999" spans="1:12" x14ac:dyDescent="0.25">
      <c r="A1999" s="7">
        <v>45481</v>
      </c>
      <c r="B1999" t="s">
        <v>598</v>
      </c>
      <c r="C1999" s="6">
        <v>6004</v>
      </c>
      <c r="D1999" s="5" t="s">
        <v>574</v>
      </c>
      <c r="E1999" s="1">
        <v>0.38333333333333336</v>
      </c>
      <c r="F1999" s="1">
        <v>0.61736111111111114</v>
      </c>
      <c r="G1999" s="9">
        <f t="shared" si="202"/>
        <v>45481</v>
      </c>
      <c r="H1999" s="11">
        <f t="shared" si="203"/>
        <v>5.6</v>
      </c>
      <c r="I1999" s="10">
        <f t="shared" si="204"/>
        <v>6.8</v>
      </c>
      <c r="J1999" s="10">
        <f t="shared" si="205"/>
        <v>7.2</v>
      </c>
      <c r="K1999" s="10">
        <f t="shared" si="207"/>
        <v>6.8</v>
      </c>
      <c r="L1999" s="10">
        <f t="shared" si="206"/>
        <v>40.6</v>
      </c>
    </row>
    <row r="2000" spans="1:12" x14ac:dyDescent="0.25">
      <c r="A2000" s="7">
        <v>45482</v>
      </c>
      <c r="B2000" t="s">
        <v>598</v>
      </c>
      <c r="C2000" s="6">
        <v>6004</v>
      </c>
      <c r="D2000" s="5" t="s">
        <v>574</v>
      </c>
      <c r="E2000" s="1">
        <v>0.35972222222222222</v>
      </c>
      <c r="F2000" s="1">
        <v>0.47916666666666669</v>
      </c>
      <c r="G2000" s="9">
        <f t="shared" si="202"/>
        <v>45481</v>
      </c>
      <c r="H2000" s="11">
        <f t="shared" si="203"/>
        <v>2.9</v>
      </c>
      <c r="I2000" s="10">
        <f t="shared" si="204"/>
        <v>2.9</v>
      </c>
      <c r="J2000" s="10">
        <f t="shared" si="205"/>
        <v>7.2</v>
      </c>
      <c r="K2000" s="10">
        <f t="shared" si="207"/>
        <v>9.6999999999999993</v>
      </c>
      <c r="L2000" s="10">
        <f t="shared" si="206"/>
        <v>43.5</v>
      </c>
    </row>
    <row r="2001" spans="1:12" x14ac:dyDescent="0.25">
      <c r="A2001" s="7">
        <v>45482</v>
      </c>
      <c r="B2001" t="s">
        <v>6</v>
      </c>
      <c r="C2001" s="6" t="s">
        <v>416</v>
      </c>
      <c r="D2001" s="5" t="s">
        <v>335</v>
      </c>
      <c r="E2001" s="1">
        <v>0.47916666666666669</v>
      </c>
      <c r="F2001" s="1">
        <v>0.5131944444444444</v>
      </c>
      <c r="G2001" s="9">
        <f t="shared" si="202"/>
        <v>45481</v>
      </c>
      <c r="H2001" s="11">
        <f t="shared" si="203"/>
        <v>0.8</v>
      </c>
      <c r="I2001" s="10">
        <f t="shared" si="204"/>
        <v>3.7</v>
      </c>
      <c r="J2001" s="10">
        <f t="shared" si="205"/>
        <v>7.2</v>
      </c>
      <c r="K2001" s="10">
        <f t="shared" si="207"/>
        <v>10.5</v>
      </c>
      <c r="L2001" s="10">
        <f t="shared" si="206"/>
        <v>44.3</v>
      </c>
    </row>
    <row r="2002" spans="1:12" x14ac:dyDescent="0.25">
      <c r="A2002" s="7">
        <v>45482</v>
      </c>
      <c r="B2002" t="s">
        <v>6</v>
      </c>
      <c r="C2002" s="6" t="s">
        <v>416</v>
      </c>
      <c r="D2002" s="5" t="s">
        <v>335</v>
      </c>
      <c r="E2002" s="1">
        <v>0.52500000000000002</v>
      </c>
      <c r="F2002" s="1">
        <v>0.65</v>
      </c>
      <c r="G2002" s="9">
        <f t="shared" si="202"/>
        <v>45481</v>
      </c>
      <c r="H2002" s="11">
        <f t="shared" si="203"/>
        <v>3</v>
      </c>
      <c r="I2002" s="10">
        <f t="shared" si="204"/>
        <v>6.7</v>
      </c>
      <c r="J2002" s="10">
        <f t="shared" si="205"/>
        <v>7.2</v>
      </c>
      <c r="K2002" s="10">
        <f t="shared" si="207"/>
        <v>13.5</v>
      </c>
      <c r="L2002" s="10">
        <f t="shared" si="206"/>
        <v>47.3</v>
      </c>
    </row>
    <row r="2003" spans="1:12" x14ac:dyDescent="0.25">
      <c r="A2003" s="7">
        <v>45483</v>
      </c>
      <c r="B2003" t="s">
        <v>598</v>
      </c>
      <c r="C2003" s="6">
        <v>6004</v>
      </c>
      <c r="D2003" s="5" t="s">
        <v>622</v>
      </c>
      <c r="E2003" s="1">
        <v>0.35069444444444442</v>
      </c>
      <c r="F2003" s="1">
        <v>0.47569444444444442</v>
      </c>
      <c r="G2003" s="9">
        <f t="shared" si="202"/>
        <v>45481</v>
      </c>
      <c r="H2003" s="11">
        <f t="shared" si="203"/>
        <v>3</v>
      </c>
      <c r="I2003" s="10">
        <f t="shared" si="204"/>
        <v>3</v>
      </c>
      <c r="J2003" s="10">
        <f t="shared" si="205"/>
        <v>7.2</v>
      </c>
      <c r="K2003" s="10">
        <f t="shared" si="207"/>
        <v>16.5</v>
      </c>
      <c r="L2003" s="10">
        <f t="shared" si="206"/>
        <v>50.3</v>
      </c>
    </row>
    <row r="2004" spans="1:12" x14ac:dyDescent="0.25">
      <c r="A2004" s="7">
        <v>45483</v>
      </c>
      <c r="B2004" s="2" t="s">
        <v>551</v>
      </c>
      <c r="C2004" s="6">
        <v>6184</v>
      </c>
      <c r="D2004" s="5" t="s">
        <v>617</v>
      </c>
      <c r="E2004" s="1">
        <v>0.49305555555555558</v>
      </c>
      <c r="F2004" s="1">
        <v>0.64166666666666672</v>
      </c>
      <c r="G2004" s="9">
        <f t="shared" si="202"/>
        <v>45481</v>
      </c>
      <c r="H2004" s="11">
        <f t="shared" si="203"/>
        <v>3.6</v>
      </c>
      <c r="I2004" s="10">
        <f t="shared" si="204"/>
        <v>6.6</v>
      </c>
      <c r="J2004" s="10">
        <f t="shared" si="205"/>
        <v>7.2</v>
      </c>
      <c r="K2004" s="10">
        <f t="shared" si="207"/>
        <v>20.100000000000001</v>
      </c>
      <c r="L2004" s="10">
        <f t="shared" si="206"/>
        <v>53.9</v>
      </c>
    </row>
    <row r="2005" spans="1:12" x14ac:dyDescent="0.25">
      <c r="A2005" s="7">
        <v>45484</v>
      </c>
      <c r="B2005" s="2" t="s">
        <v>551</v>
      </c>
      <c r="C2005" s="6">
        <v>6184</v>
      </c>
      <c r="D2005" s="5" t="s">
        <v>617</v>
      </c>
      <c r="E2005" s="1">
        <v>0.32569444444444445</v>
      </c>
      <c r="F2005" s="1">
        <v>0.36041666666666666</v>
      </c>
      <c r="G2005" s="9">
        <f t="shared" si="202"/>
        <v>45481</v>
      </c>
      <c r="H2005" s="11">
        <f t="shared" si="203"/>
        <v>0.8</v>
      </c>
      <c r="I2005" s="10">
        <f t="shared" si="204"/>
        <v>0.8</v>
      </c>
      <c r="J2005" s="10">
        <f t="shared" si="205"/>
        <v>7.2</v>
      </c>
      <c r="K2005" s="10">
        <f t="shared" si="207"/>
        <v>20.900000000000002</v>
      </c>
      <c r="L2005" s="10">
        <f t="shared" si="206"/>
        <v>54.699999999999996</v>
      </c>
    </row>
    <row r="2006" spans="1:12" x14ac:dyDescent="0.25">
      <c r="A2006" s="7">
        <v>45484</v>
      </c>
      <c r="B2006" s="2" t="s">
        <v>551</v>
      </c>
      <c r="C2006" s="6">
        <v>6184</v>
      </c>
      <c r="D2006" s="5" t="s">
        <v>617</v>
      </c>
      <c r="E2006" s="1">
        <v>0.38194444444444442</v>
      </c>
      <c r="F2006" s="1">
        <v>0.45833333333333331</v>
      </c>
      <c r="G2006" s="9">
        <f t="shared" si="202"/>
        <v>45481</v>
      </c>
      <c r="H2006" s="11">
        <f t="shared" si="203"/>
        <v>1.8</v>
      </c>
      <c r="I2006" s="10">
        <f t="shared" si="204"/>
        <v>2.6</v>
      </c>
      <c r="J2006" s="10">
        <f t="shared" si="205"/>
        <v>7.2</v>
      </c>
      <c r="K2006" s="10">
        <f t="shared" si="207"/>
        <v>22.7</v>
      </c>
      <c r="L2006" s="10">
        <f t="shared" si="206"/>
        <v>56.5</v>
      </c>
    </row>
    <row r="2007" spans="1:12" x14ac:dyDescent="0.25">
      <c r="A2007" s="7">
        <v>45484</v>
      </c>
      <c r="B2007" s="2" t="s">
        <v>551</v>
      </c>
      <c r="C2007" s="6">
        <v>6184</v>
      </c>
      <c r="D2007" s="5" t="s">
        <v>44</v>
      </c>
      <c r="E2007" s="1">
        <v>0.45833333333333331</v>
      </c>
      <c r="F2007" s="1">
        <v>0.50416666666666665</v>
      </c>
      <c r="G2007" s="9">
        <f t="shared" si="202"/>
        <v>45481</v>
      </c>
      <c r="H2007" s="11">
        <f t="shared" si="203"/>
        <v>1.1000000000000001</v>
      </c>
      <c r="I2007" s="10">
        <f t="shared" si="204"/>
        <v>3.7</v>
      </c>
      <c r="J2007" s="10">
        <f t="shared" si="205"/>
        <v>7.2</v>
      </c>
      <c r="K2007" s="10">
        <f t="shared" si="207"/>
        <v>23.8</v>
      </c>
      <c r="L2007" s="10">
        <f t="shared" si="206"/>
        <v>57.6</v>
      </c>
    </row>
    <row r="2008" spans="1:12" x14ac:dyDescent="0.25">
      <c r="A2008" s="7">
        <v>45484</v>
      </c>
      <c r="B2008" s="2" t="s">
        <v>838</v>
      </c>
      <c r="C2008" s="6">
        <v>6185</v>
      </c>
      <c r="D2008" s="5" t="s">
        <v>50</v>
      </c>
      <c r="E2008" s="1">
        <v>0.51944444444444449</v>
      </c>
      <c r="F2008" s="1">
        <v>0.64652777777777781</v>
      </c>
      <c r="G2008" s="9">
        <f t="shared" si="202"/>
        <v>45481</v>
      </c>
      <c r="H2008" s="11">
        <f t="shared" si="203"/>
        <v>3.1</v>
      </c>
      <c r="I2008" s="10">
        <f t="shared" si="204"/>
        <v>6.8000000000000007</v>
      </c>
      <c r="J2008" s="10">
        <f t="shared" si="205"/>
        <v>7.2</v>
      </c>
      <c r="K2008" s="10">
        <f t="shared" si="207"/>
        <v>26.900000000000002</v>
      </c>
      <c r="L2008" s="10">
        <f t="shared" si="206"/>
        <v>60.7</v>
      </c>
    </row>
    <row r="2009" spans="1:12" x14ac:dyDescent="0.25">
      <c r="A2009" s="7">
        <v>45485</v>
      </c>
      <c r="B2009" s="2" t="s">
        <v>838</v>
      </c>
      <c r="C2009" s="6">
        <v>6185</v>
      </c>
      <c r="D2009" s="5" t="s">
        <v>646</v>
      </c>
      <c r="E2009" s="1">
        <v>0.34305555555555556</v>
      </c>
      <c r="F2009" s="1">
        <v>0.44722222222222224</v>
      </c>
      <c r="G2009" s="9">
        <f t="shared" si="202"/>
        <v>45481</v>
      </c>
      <c r="H2009" s="11">
        <f t="shared" si="203"/>
        <v>2.5</v>
      </c>
      <c r="I2009" s="10">
        <f t="shared" si="204"/>
        <v>2.5</v>
      </c>
      <c r="J2009" s="10">
        <f t="shared" si="205"/>
        <v>7.2</v>
      </c>
      <c r="K2009" s="10">
        <f t="shared" si="207"/>
        <v>29.4</v>
      </c>
      <c r="L2009" s="10">
        <f t="shared" si="206"/>
        <v>63.2</v>
      </c>
    </row>
    <row r="2010" spans="1:12" x14ac:dyDescent="0.25">
      <c r="A2010" s="7">
        <v>45485</v>
      </c>
      <c r="B2010" s="2" t="s">
        <v>838</v>
      </c>
      <c r="C2010" s="6">
        <v>6185</v>
      </c>
      <c r="D2010" s="5" t="s">
        <v>646</v>
      </c>
      <c r="E2010" s="1">
        <v>0.47916666666666669</v>
      </c>
      <c r="F2010" s="1">
        <v>0.52500000000000002</v>
      </c>
      <c r="G2010" s="9">
        <f t="shared" si="202"/>
        <v>45481</v>
      </c>
      <c r="H2010" s="11">
        <f t="shared" si="203"/>
        <v>1.1000000000000001</v>
      </c>
      <c r="I2010" s="10">
        <f t="shared" si="204"/>
        <v>3.6</v>
      </c>
      <c r="J2010" s="10">
        <f t="shared" si="205"/>
        <v>7.2</v>
      </c>
      <c r="K2010" s="10">
        <f t="shared" si="207"/>
        <v>30.5</v>
      </c>
      <c r="L2010" s="10">
        <f t="shared" si="206"/>
        <v>64.3</v>
      </c>
    </row>
    <row r="2011" spans="1:12" x14ac:dyDescent="0.25">
      <c r="A2011" s="7">
        <v>45485</v>
      </c>
      <c r="B2011" t="s">
        <v>598</v>
      </c>
      <c r="C2011" s="6">
        <v>6004</v>
      </c>
      <c r="D2011" s="5" t="s">
        <v>219</v>
      </c>
      <c r="E2011" s="1">
        <v>0.54166666666666663</v>
      </c>
      <c r="F2011" s="1">
        <v>0.6743055555555556</v>
      </c>
      <c r="G2011" s="9">
        <f t="shared" si="202"/>
        <v>45481</v>
      </c>
      <c r="H2011" s="11">
        <f t="shared" si="203"/>
        <v>3.2</v>
      </c>
      <c r="I2011" s="10">
        <f t="shared" si="204"/>
        <v>6.8000000000000007</v>
      </c>
      <c r="J2011" s="10">
        <f t="shared" si="205"/>
        <v>7.2</v>
      </c>
      <c r="K2011" s="10">
        <f t="shared" si="207"/>
        <v>33.700000000000003</v>
      </c>
      <c r="L2011" s="10">
        <f t="shared" si="206"/>
        <v>67.5</v>
      </c>
    </row>
    <row r="2012" spans="1:12" x14ac:dyDescent="0.25">
      <c r="A2012" s="7">
        <v>45488</v>
      </c>
      <c r="B2012" t="s">
        <v>598</v>
      </c>
      <c r="C2012" s="6">
        <v>6004</v>
      </c>
      <c r="D2012" s="5" t="s">
        <v>647</v>
      </c>
      <c r="E2012" s="1">
        <v>0.3298611111111111</v>
      </c>
      <c r="F2012" s="1">
        <v>0.50694444444444442</v>
      </c>
      <c r="G2012" s="9">
        <f t="shared" si="202"/>
        <v>45488</v>
      </c>
      <c r="H2012" s="11">
        <f t="shared" si="203"/>
        <v>4.3</v>
      </c>
      <c r="I2012" s="10">
        <f t="shared" si="204"/>
        <v>4.3</v>
      </c>
      <c r="J2012" s="10">
        <f t="shared" si="205"/>
        <v>7.2</v>
      </c>
      <c r="K2012" s="10">
        <f t="shared" si="207"/>
        <v>4.3</v>
      </c>
      <c r="L2012" s="10">
        <f t="shared" si="206"/>
        <v>71.8</v>
      </c>
    </row>
    <row r="2013" spans="1:12" x14ac:dyDescent="0.25">
      <c r="A2013" s="7">
        <v>45488</v>
      </c>
      <c r="B2013" t="s">
        <v>598</v>
      </c>
      <c r="C2013" s="6">
        <v>6004</v>
      </c>
      <c r="D2013" s="5" t="s">
        <v>647</v>
      </c>
      <c r="E2013" s="1">
        <v>0.52569444444444446</v>
      </c>
      <c r="F2013" s="1">
        <v>0.64444444444444449</v>
      </c>
      <c r="G2013" s="9">
        <f t="shared" si="202"/>
        <v>45488</v>
      </c>
      <c r="H2013" s="11">
        <f t="shared" si="203"/>
        <v>2.9</v>
      </c>
      <c r="I2013" s="10">
        <f t="shared" si="204"/>
        <v>7.1999999999999993</v>
      </c>
      <c r="J2013" s="10">
        <f t="shared" si="205"/>
        <v>7.2</v>
      </c>
      <c r="K2013" s="10">
        <f t="shared" si="207"/>
        <v>7.1999999999999993</v>
      </c>
      <c r="L2013" s="10">
        <f t="shared" si="206"/>
        <v>74.7</v>
      </c>
    </row>
    <row r="2014" spans="1:12" x14ac:dyDescent="0.25">
      <c r="A2014" s="7">
        <v>45489</v>
      </c>
      <c r="B2014" t="s">
        <v>598</v>
      </c>
      <c r="C2014" s="6">
        <v>6004</v>
      </c>
      <c r="D2014" s="5" t="s">
        <v>647</v>
      </c>
      <c r="E2014" s="1">
        <v>0.33541666666666664</v>
      </c>
      <c r="F2014" s="1">
        <v>0.47916666666666669</v>
      </c>
      <c r="G2014" s="9">
        <f t="shared" si="202"/>
        <v>45488</v>
      </c>
      <c r="H2014" s="11">
        <f t="shared" si="203"/>
        <v>3.5</v>
      </c>
      <c r="I2014" s="10">
        <f t="shared" si="204"/>
        <v>3.5</v>
      </c>
      <c r="J2014" s="10">
        <f t="shared" si="205"/>
        <v>7.2</v>
      </c>
      <c r="K2014" s="10">
        <f t="shared" si="207"/>
        <v>10.7</v>
      </c>
      <c r="L2014" s="10">
        <f t="shared" si="206"/>
        <v>78.2</v>
      </c>
    </row>
    <row r="2015" spans="1:12" x14ac:dyDescent="0.25">
      <c r="A2015" s="7">
        <v>45489</v>
      </c>
      <c r="B2015" t="s">
        <v>598</v>
      </c>
      <c r="C2015" s="6">
        <v>6004</v>
      </c>
      <c r="D2015" s="5" t="s">
        <v>647</v>
      </c>
      <c r="E2015" s="1">
        <v>0.49027777777777776</v>
      </c>
      <c r="F2015" s="1">
        <v>0.54166666666666663</v>
      </c>
      <c r="G2015" s="9">
        <f t="shared" si="202"/>
        <v>45488</v>
      </c>
      <c r="H2015" s="11">
        <f t="shared" si="203"/>
        <v>1.2</v>
      </c>
      <c r="I2015" s="10">
        <f t="shared" si="204"/>
        <v>4.7</v>
      </c>
      <c r="J2015" s="10">
        <f t="shared" si="205"/>
        <v>7.2</v>
      </c>
      <c r="K2015" s="10">
        <f t="shared" si="207"/>
        <v>11.899999999999999</v>
      </c>
      <c r="L2015" s="10">
        <f t="shared" si="206"/>
        <v>79.400000000000006</v>
      </c>
    </row>
    <row r="2016" spans="1:12" x14ac:dyDescent="0.25">
      <c r="A2016" s="7">
        <v>45489</v>
      </c>
      <c r="B2016" s="2" t="s">
        <v>579</v>
      </c>
      <c r="C2016" s="6">
        <v>2682</v>
      </c>
      <c r="D2016" s="5" t="s">
        <v>544</v>
      </c>
      <c r="E2016" s="1">
        <v>0.54166666666666663</v>
      </c>
      <c r="F2016" s="1">
        <v>0.60416666666666663</v>
      </c>
      <c r="G2016" s="9">
        <f t="shared" si="202"/>
        <v>45488</v>
      </c>
      <c r="H2016" s="11">
        <f t="shared" si="203"/>
        <v>1.5</v>
      </c>
      <c r="I2016" s="10">
        <f t="shared" si="204"/>
        <v>6.2</v>
      </c>
      <c r="J2016" s="10">
        <f t="shared" si="205"/>
        <v>7.2</v>
      </c>
      <c r="K2016" s="10">
        <f t="shared" si="207"/>
        <v>13.4</v>
      </c>
      <c r="L2016" s="10">
        <f t="shared" si="206"/>
        <v>80.900000000000006</v>
      </c>
    </row>
    <row r="2017" spans="1:12" x14ac:dyDescent="0.25">
      <c r="A2017" s="7">
        <v>45489</v>
      </c>
      <c r="B2017" t="s">
        <v>598</v>
      </c>
      <c r="C2017" s="6">
        <v>6004</v>
      </c>
      <c r="D2017" s="5" t="s">
        <v>647</v>
      </c>
      <c r="E2017" s="1">
        <v>0.60416666666666663</v>
      </c>
      <c r="F2017" s="1">
        <v>0.63055555555555554</v>
      </c>
      <c r="G2017" s="9">
        <f t="shared" si="202"/>
        <v>45488</v>
      </c>
      <c r="H2017" s="11">
        <f t="shared" si="203"/>
        <v>0.6</v>
      </c>
      <c r="I2017" s="10">
        <f t="shared" si="204"/>
        <v>6.8</v>
      </c>
      <c r="J2017" s="10">
        <f t="shared" si="205"/>
        <v>7.2</v>
      </c>
      <c r="K2017" s="10">
        <f t="shared" si="207"/>
        <v>14</v>
      </c>
      <c r="L2017" s="10">
        <f t="shared" si="206"/>
        <v>81.5</v>
      </c>
    </row>
    <row r="2018" spans="1:12" x14ac:dyDescent="0.25">
      <c r="A2018" s="7">
        <v>45489</v>
      </c>
      <c r="B2018" t="s">
        <v>598</v>
      </c>
      <c r="C2018" s="6">
        <v>6004</v>
      </c>
      <c r="D2018" s="5" t="s">
        <v>275</v>
      </c>
      <c r="E2018" s="1">
        <v>0.63055555555555554</v>
      </c>
      <c r="F2018" s="1">
        <v>0.65902777777777777</v>
      </c>
      <c r="G2018" s="9">
        <f t="shared" si="202"/>
        <v>45488</v>
      </c>
      <c r="H2018" s="11">
        <f t="shared" si="203"/>
        <v>0.7</v>
      </c>
      <c r="I2018" s="10">
        <f t="shared" si="204"/>
        <v>7.5</v>
      </c>
      <c r="J2018" s="10">
        <f t="shared" si="205"/>
        <v>7.2</v>
      </c>
      <c r="K2018" s="10">
        <f t="shared" si="207"/>
        <v>14.7</v>
      </c>
      <c r="L2018" s="10">
        <f t="shared" si="206"/>
        <v>82.2</v>
      </c>
    </row>
    <row r="2019" spans="1:12" x14ac:dyDescent="0.25">
      <c r="A2019" s="7">
        <v>45490</v>
      </c>
      <c r="B2019" t="s">
        <v>598</v>
      </c>
      <c r="C2019" s="6">
        <v>6004</v>
      </c>
      <c r="D2019" s="5" t="s">
        <v>275</v>
      </c>
      <c r="E2019" s="1">
        <v>0.34166666666666667</v>
      </c>
      <c r="F2019" s="1">
        <v>0.49375000000000002</v>
      </c>
      <c r="G2019" s="9">
        <f t="shared" si="202"/>
        <v>45488</v>
      </c>
      <c r="H2019" s="11">
        <f t="shared" si="203"/>
        <v>3.7</v>
      </c>
      <c r="I2019" s="10">
        <f t="shared" si="204"/>
        <v>3.7</v>
      </c>
      <c r="J2019" s="10">
        <f t="shared" si="205"/>
        <v>7.2</v>
      </c>
      <c r="K2019" s="10">
        <f t="shared" si="207"/>
        <v>18.399999999999999</v>
      </c>
      <c r="L2019" s="10">
        <f t="shared" si="206"/>
        <v>85.9</v>
      </c>
    </row>
    <row r="2020" spans="1:12" x14ac:dyDescent="0.25">
      <c r="A2020" s="7">
        <v>45490</v>
      </c>
      <c r="B2020" t="s">
        <v>6</v>
      </c>
      <c r="C2020" s="6" t="s">
        <v>416</v>
      </c>
      <c r="D2020" s="5" t="s">
        <v>650</v>
      </c>
      <c r="E2020" s="1">
        <v>0.51041666666666663</v>
      </c>
      <c r="F2020" s="1">
        <v>0.66736111111111107</v>
      </c>
      <c r="G2020" s="9">
        <f t="shared" si="202"/>
        <v>45488</v>
      </c>
      <c r="H2020" s="11">
        <f t="shared" si="203"/>
        <v>3.8</v>
      </c>
      <c r="I2020" s="10">
        <f t="shared" si="204"/>
        <v>7.5</v>
      </c>
      <c r="J2020" s="10">
        <f t="shared" si="205"/>
        <v>7.2</v>
      </c>
      <c r="K2020" s="10">
        <f t="shared" si="207"/>
        <v>22.2</v>
      </c>
      <c r="L2020" s="10">
        <f t="shared" si="206"/>
        <v>89.7</v>
      </c>
    </row>
    <row r="2021" spans="1:12" x14ac:dyDescent="0.25">
      <c r="A2021" s="7">
        <v>45491</v>
      </c>
      <c r="B2021" t="s">
        <v>598</v>
      </c>
      <c r="C2021" s="6">
        <v>6004</v>
      </c>
      <c r="D2021" s="5" t="s">
        <v>651</v>
      </c>
      <c r="E2021" s="1">
        <v>0.32222222222222224</v>
      </c>
      <c r="F2021" s="1">
        <v>0.3659722222222222</v>
      </c>
      <c r="G2021" s="9">
        <f t="shared" si="202"/>
        <v>45488</v>
      </c>
      <c r="H2021" s="11">
        <f t="shared" si="203"/>
        <v>1.1000000000000001</v>
      </c>
      <c r="I2021" s="10">
        <f t="shared" si="204"/>
        <v>1.1000000000000001</v>
      </c>
      <c r="J2021" s="10">
        <f t="shared" si="205"/>
        <v>7.2</v>
      </c>
      <c r="K2021" s="10">
        <f t="shared" si="207"/>
        <v>23.3</v>
      </c>
      <c r="L2021" s="10">
        <f t="shared" si="206"/>
        <v>90.8</v>
      </c>
    </row>
    <row r="2022" spans="1:12" x14ac:dyDescent="0.25">
      <c r="A2022" s="7">
        <v>45491</v>
      </c>
      <c r="B2022" s="2" t="s">
        <v>838</v>
      </c>
      <c r="C2022" s="6">
        <v>6185</v>
      </c>
      <c r="D2022" s="5" t="s">
        <v>652</v>
      </c>
      <c r="E2022" s="1">
        <v>0.3659722222222222</v>
      </c>
      <c r="F2022" s="1">
        <v>0.45833333333333331</v>
      </c>
      <c r="G2022" s="9">
        <f t="shared" si="202"/>
        <v>45488</v>
      </c>
      <c r="H2022" s="11">
        <f t="shared" si="203"/>
        <v>2.2000000000000002</v>
      </c>
      <c r="I2022" s="10">
        <f t="shared" si="204"/>
        <v>3.3000000000000003</v>
      </c>
      <c r="J2022" s="10">
        <f t="shared" si="205"/>
        <v>7.2</v>
      </c>
      <c r="K2022" s="10">
        <f t="shared" si="207"/>
        <v>25.5</v>
      </c>
      <c r="L2022" s="10">
        <f t="shared" si="206"/>
        <v>93</v>
      </c>
    </row>
    <row r="2023" spans="1:12" x14ac:dyDescent="0.25">
      <c r="A2023" s="7">
        <v>45491</v>
      </c>
      <c r="B2023" t="s">
        <v>6</v>
      </c>
      <c r="C2023" s="6" t="s">
        <v>416</v>
      </c>
      <c r="D2023" s="5" t="s">
        <v>58</v>
      </c>
      <c r="E2023" s="1">
        <v>0.45833333333333331</v>
      </c>
      <c r="F2023" s="1">
        <v>0.5</v>
      </c>
      <c r="G2023" s="9">
        <f t="shared" si="202"/>
        <v>45488</v>
      </c>
      <c r="H2023" s="11">
        <f t="shared" si="203"/>
        <v>1</v>
      </c>
      <c r="I2023" s="10">
        <f t="shared" si="204"/>
        <v>4.3</v>
      </c>
      <c r="J2023" s="10">
        <f t="shared" si="205"/>
        <v>7.2</v>
      </c>
      <c r="K2023" s="10">
        <f t="shared" si="207"/>
        <v>26.5</v>
      </c>
      <c r="L2023" s="10">
        <f t="shared" si="206"/>
        <v>94</v>
      </c>
    </row>
    <row r="2024" spans="1:12" x14ac:dyDescent="0.25">
      <c r="A2024" s="7">
        <v>45491</v>
      </c>
      <c r="B2024" s="2" t="s">
        <v>838</v>
      </c>
      <c r="C2024" s="6">
        <v>6185</v>
      </c>
      <c r="D2024" s="5" t="s">
        <v>652</v>
      </c>
      <c r="E2024" s="1">
        <v>0.5</v>
      </c>
      <c r="F2024" s="1">
        <v>0.65</v>
      </c>
      <c r="G2024" s="9">
        <f t="shared" si="202"/>
        <v>45488</v>
      </c>
      <c r="H2024" s="11">
        <f t="shared" si="203"/>
        <v>3.6</v>
      </c>
      <c r="I2024" s="10">
        <f t="shared" si="204"/>
        <v>7.9</v>
      </c>
      <c r="J2024" s="10">
        <f t="shared" si="205"/>
        <v>7.2</v>
      </c>
      <c r="K2024" s="10">
        <f t="shared" si="207"/>
        <v>30.1</v>
      </c>
      <c r="L2024" s="10">
        <f t="shared" si="206"/>
        <v>97.6</v>
      </c>
    </row>
    <row r="2025" spans="1:12" x14ac:dyDescent="0.25">
      <c r="A2025" s="7">
        <v>45492</v>
      </c>
      <c r="B2025" s="2" t="s">
        <v>838</v>
      </c>
      <c r="C2025" s="6">
        <v>6185</v>
      </c>
      <c r="D2025" s="5" t="s">
        <v>653</v>
      </c>
      <c r="E2025" s="1">
        <v>0.34513888888888888</v>
      </c>
      <c r="F2025" s="1">
        <v>0.48749999999999999</v>
      </c>
      <c r="G2025" s="9">
        <f t="shared" si="202"/>
        <v>45488</v>
      </c>
      <c r="H2025" s="11">
        <f t="shared" si="203"/>
        <v>3.4</v>
      </c>
      <c r="I2025" s="10">
        <f t="shared" si="204"/>
        <v>3.4</v>
      </c>
      <c r="J2025" s="10">
        <f t="shared" si="205"/>
        <v>7.2</v>
      </c>
      <c r="K2025" s="10">
        <f t="shared" si="207"/>
        <v>33.5</v>
      </c>
      <c r="L2025" s="10">
        <f t="shared" si="206"/>
        <v>101</v>
      </c>
    </row>
    <row r="2026" spans="1:12" x14ac:dyDescent="0.25">
      <c r="A2026" s="7">
        <v>45492</v>
      </c>
      <c r="B2026" s="2" t="s">
        <v>838</v>
      </c>
      <c r="C2026" s="6">
        <v>6185</v>
      </c>
      <c r="D2026" s="5" t="s">
        <v>653</v>
      </c>
      <c r="E2026" s="1">
        <v>0.50138888888888888</v>
      </c>
      <c r="F2026" s="1">
        <v>0.54166666666666663</v>
      </c>
      <c r="G2026" s="9">
        <f t="shared" si="202"/>
        <v>45488</v>
      </c>
      <c r="H2026" s="11">
        <f t="shared" si="203"/>
        <v>1</v>
      </c>
      <c r="I2026" s="10">
        <f t="shared" si="204"/>
        <v>4.4000000000000004</v>
      </c>
      <c r="J2026" s="10">
        <f t="shared" si="205"/>
        <v>7.2</v>
      </c>
      <c r="K2026" s="10">
        <f t="shared" si="207"/>
        <v>34.5</v>
      </c>
      <c r="L2026" s="10">
        <f t="shared" si="206"/>
        <v>102</v>
      </c>
    </row>
    <row r="2027" spans="1:12" x14ac:dyDescent="0.25">
      <c r="A2027" s="7">
        <v>45492</v>
      </c>
      <c r="B2027" t="s">
        <v>6</v>
      </c>
      <c r="C2027" s="6" t="s">
        <v>416</v>
      </c>
      <c r="D2027" s="5" t="s">
        <v>505</v>
      </c>
      <c r="E2027" s="1">
        <v>0.54166666666666663</v>
      </c>
      <c r="F2027" s="1">
        <v>0.56180555555555556</v>
      </c>
      <c r="G2027" s="9">
        <f t="shared" si="202"/>
        <v>45488</v>
      </c>
      <c r="H2027" s="11">
        <f t="shared" si="203"/>
        <v>0.5</v>
      </c>
      <c r="I2027" s="10">
        <f t="shared" si="204"/>
        <v>4.9000000000000004</v>
      </c>
      <c r="J2027" s="10">
        <f t="shared" si="205"/>
        <v>7.2</v>
      </c>
      <c r="K2027" s="10">
        <f t="shared" si="207"/>
        <v>35</v>
      </c>
      <c r="L2027" s="10">
        <f t="shared" si="206"/>
        <v>102.5</v>
      </c>
    </row>
    <row r="2028" spans="1:12" x14ac:dyDescent="0.25">
      <c r="A2028" s="7">
        <v>45492</v>
      </c>
      <c r="B2028" t="s">
        <v>598</v>
      </c>
      <c r="C2028" s="6">
        <v>6004</v>
      </c>
      <c r="D2028" s="5" t="s">
        <v>348</v>
      </c>
      <c r="E2028" s="1">
        <v>0.60277777777777775</v>
      </c>
      <c r="F2028" s="1">
        <v>0.64583333333333337</v>
      </c>
      <c r="G2028" s="9">
        <f t="shared" si="202"/>
        <v>45488</v>
      </c>
      <c r="H2028" s="11">
        <f t="shared" si="203"/>
        <v>1</v>
      </c>
      <c r="I2028" s="10">
        <f t="shared" si="204"/>
        <v>5.9</v>
      </c>
      <c r="J2028" s="10">
        <f t="shared" si="205"/>
        <v>7.2</v>
      </c>
      <c r="K2028" s="10">
        <f t="shared" si="207"/>
        <v>36</v>
      </c>
      <c r="L2028" s="10">
        <f t="shared" si="206"/>
        <v>103.5</v>
      </c>
    </row>
    <row r="2029" spans="1:12" x14ac:dyDescent="0.25">
      <c r="A2029" s="7">
        <v>45492</v>
      </c>
      <c r="B2029" s="2" t="s">
        <v>838</v>
      </c>
      <c r="C2029" s="6">
        <v>6185</v>
      </c>
      <c r="D2029" s="5" t="s">
        <v>653</v>
      </c>
      <c r="E2029" s="1">
        <v>0.64583333333333337</v>
      </c>
      <c r="F2029" s="1">
        <v>0.68819444444444444</v>
      </c>
      <c r="G2029" s="9">
        <f t="shared" ref="G2029:G2092" si="208">IF(E2029&gt;0,INT((A2029-2)/7)*7+2,"")</f>
        <v>45488</v>
      </c>
      <c r="H2029" s="11">
        <f t="shared" ref="H2029:H2092" si="209">IF(E2029&gt;0,ROUND(24*(IF(F2029&gt;0,F2029,NowTime)-E2029),1),"")</f>
        <v>1</v>
      </c>
      <c r="I2029" s="10">
        <f t="shared" ref="I2029:I2092" si="210">IF(H2029="",H2029,H2029+IF(A2029=A2028,_xlfn.NUMBERVALUE(I2028),0))</f>
        <v>6.9</v>
      </c>
      <c r="J2029" s="10">
        <f t="shared" ref="J2029:J2092" si="211">IF(H2029="",H2029,7.2)</f>
        <v>7.2</v>
      </c>
      <c r="K2029" s="10">
        <f t="shared" si="207"/>
        <v>37</v>
      </c>
      <c r="L2029" s="10">
        <f t="shared" ref="L2029:L2092" si="212">IF(H2029="",H2029,H2029+IF(MONTH(A2029)=MONTH(A2028),_xlfn.NUMBERVALUE(L2028),0))</f>
        <v>104.5</v>
      </c>
    </row>
    <row r="2030" spans="1:12" x14ac:dyDescent="0.25">
      <c r="A2030" s="7">
        <v>45495</v>
      </c>
      <c r="B2030" s="2" t="s">
        <v>838</v>
      </c>
      <c r="C2030" s="6">
        <v>6185</v>
      </c>
      <c r="D2030" s="5" t="s">
        <v>653</v>
      </c>
      <c r="E2030" s="1">
        <v>0.31736111111111109</v>
      </c>
      <c r="F2030" s="1">
        <v>0.375</v>
      </c>
      <c r="G2030" s="9">
        <f t="shared" si="208"/>
        <v>45495</v>
      </c>
      <c r="H2030" s="11">
        <f t="shared" si="209"/>
        <v>1.4</v>
      </c>
      <c r="I2030" s="10">
        <f t="shared" si="210"/>
        <v>1.4</v>
      </c>
      <c r="J2030" s="10">
        <f t="shared" si="211"/>
        <v>7.2</v>
      </c>
      <c r="K2030" s="10">
        <f t="shared" si="207"/>
        <v>1.4</v>
      </c>
      <c r="L2030" s="10">
        <f t="shared" si="212"/>
        <v>105.9</v>
      </c>
    </row>
    <row r="2031" spans="1:12" x14ac:dyDescent="0.25">
      <c r="A2031" s="7">
        <v>45495</v>
      </c>
      <c r="B2031" s="2" t="s">
        <v>579</v>
      </c>
      <c r="C2031" s="6">
        <v>2682</v>
      </c>
      <c r="D2031" s="5" t="s">
        <v>544</v>
      </c>
      <c r="E2031" s="1">
        <v>0.375</v>
      </c>
      <c r="F2031" s="1">
        <v>0.41666666666666669</v>
      </c>
      <c r="G2031" s="9">
        <f t="shared" si="208"/>
        <v>45495</v>
      </c>
      <c r="H2031" s="11">
        <f t="shared" si="209"/>
        <v>1</v>
      </c>
      <c r="I2031" s="10">
        <f t="shared" si="210"/>
        <v>2.4</v>
      </c>
      <c r="J2031" s="10">
        <f t="shared" si="211"/>
        <v>7.2</v>
      </c>
      <c r="K2031" s="10">
        <f t="shared" si="207"/>
        <v>2.4</v>
      </c>
      <c r="L2031" s="10">
        <f t="shared" si="212"/>
        <v>106.9</v>
      </c>
    </row>
    <row r="2032" spans="1:12" x14ac:dyDescent="0.25">
      <c r="A2032" s="7">
        <v>45495</v>
      </c>
      <c r="B2032" s="2" t="s">
        <v>838</v>
      </c>
      <c r="C2032" s="6">
        <v>6185</v>
      </c>
      <c r="D2032" s="5" t="s">
        <v>653</v>
      </c>
      <c r="E2032" s="1">
        <v>0.41666666666666669</v>
      </c>
      <c r="F2032" s="1">
        <v>0.5</v>
      </c>
      <c r="G2032" s="9">
        <f t="shared" si="208"/>
        <v>45495</v>
      </c>
      <c r="H2032" s="11">
        <f t="shared" si="209"/>
        <v>2</v>
      </c>
      <c r="I2032" s="10">
        <f t="shared" si="210"/>
        <v>4.4000000000000004</v>
      </c>
      <c r="J2032" s="10">
        <f t="shared" si="211"/>
        <v>7.2</v>
      </c>
      <c r="K2032" s="10">
        <f t="shared" si="207"/>
        <v>4.4000000000000004</v>
      </c>
      <c r="L2032" s="10">
        <f t="shared" si="212"/>
        <v>108.9</v>
      </c>
    </row>
    <row r="2033" spans="1:12" x14ac:dyDescent="0.25">
      <c r="A2033" s="7">
        <v>45495</v>
      </c>
      <c r="B2033" s="2" t="s">
        <v>838</v>
      </c>
      <c r="C2033" s="6">
        <v>6185</v>
      </c>
      <c r="D2033" s="5" t="s">
        <v>653</v>
      </c>
      <c r="E2033" s="1">
        <v>0.52083333333333337</v>
      </c>
      <c r="F2033" s="1">
        <v>0.58333333333333337</v>
      </c>
      <c r="G2033" s="9">
        <f t="shared" si="208"/>
        <v>45495</v>
      </c>
      <c r="H2033" s="11">
        <f t="shared" si="209"/>
        <v>1.5</v>
      </c>
      <c r="I2033" s="10">
        <f t="shared" si="210"/>
        <v>5.9</v>
      </c>
      <c r="J2033" s="10">
        <f t="shared" si="211"/>
        <v>7.2</v>
      </c>
      <c r="K2033" s="10">
        <f t="shared" si="207"/>
        <v>5.9</v>
      </c>
      <c r="L2033" s="10">
        <f t="shared" si="212"/>
        <v>110.4</v>
      </c>
    </row>
    <row r="2034" spans="1:12" x14ac:dyDescent="0.25">
      <c r="A2034" s="7">
        <v>45495</v>
      </c>
      <c r="B2034" s="2" t="s">
        <v>588</v>
      </c>
      <c r="C2034" s="6">
        <v>2473</v>
      </c>
      <c r="D2034" s="5" t="s">
        <v>44</v>
      </c>
      <c r="E2034" s="1">
        <v>0.58333333333333337</v>
      </c>
      <c r="F2034" s="1">
        <v>0.61944444444444446</v>
      </c>
      <c r="G2034" s="9">
        <f t="shared" si="208"/>
        <v>45495</v>
      </c>
      <c r="H2034" s="11">
        <f t="shared" si="209"/>
        <v>0.9</v>
      </c>
      <c r="I2034" s="10">
        <f t="shared" si="210"/>
        <v>6.8000000000000007</v>
      </c>
      <c r="J2034" s="10">
        <f t="shared" si="211"/>
        <v>7.2</v>
      </c>
      <c r="K2034" s="10">
        <f t="shared" si="207"/>
        <v>6.8000000000000007</v>
      </c>
      <c r="L2034" s="10">
        <f t="shared" si="212"/>
        <v>111.30000000000001</v>
      </c>
    </row>
    <row r="2035" spans="1:12" x14ac:dyDescent="0.25">
      <c r="A2035" s="7">
        <v>45496</v>
      </c>
      <c r="B2035" s="2" t="s">
        <v>838</v>
      </c>
      <c r="C2035" s="6">
        <v>6185</v>
      </c>
      <c r="D2035" s="5" t="s">
        <v>653</v>
      </c>
      <c r="E2035" s="1">
        <v>0.34027777777777779</v>
      </c>
      <c r="F2035" s="1">
        <v>0.68611111111111112</v>
      </c>
      <c r="G2035" s="9">
        <f t="shared" si="208"/>
        <v>45495</v>
      </c>
      <c r="H2035" s="11">
        <f t="shared" si="209"/>
        <v>8.3000000000000007</v>
      </c>
      <c r="I2035" s="10">
        <f t="shared" si="210"/>
        <v>8.3000000000000007</v>
      </c>
      <c r="J2035" s="10">
        <f t="shared" si="211"/>
        <v>7.2</v>
      </c>
      <c r="K2035" s="10">
        <f t="shared" si="207"/>
        <v>15.100000000000001</v>
      </c>
      <c r="L2035" s="10">
        <f t="shared" si="212"/>
        <v>119.6</v>
      </c>
    </row>
    <row r="2036" spans="1:12" x14ac:dyDescent="0.25">
      <c r="A2036" s="7">
        <v>45497</v>
      </c>
      <c r="B2036" s="2" t="s">
        <v>838</v>
      </c>
      <c r="C2036" s="6">
        <v>6185</v>
      </c>
      <c r="D2036" s="5" t="s">
        <v>653</v>
      </c>
      <c r="E2036" s="1">
        <v>0.28263888888888888</v>
      </c>
      <c r="F2036" s="1">
        <v>0.33611111111111114</v>
      </c>
      <c r="G2036" s="9">
        <f t="shared" si="208"/>
        <v>45495</v>
      </c>
      <c r="H2036" s="11">
        <f t="shared" si="209"/>
        <v>1.3</v>
      </c>
      <c r="I2036" s="10">
        <f t="shared" si="210"/>
        <v>1.3</v>
      </c>
      <c r="J2036" s="10">
        <f t="shared" si="211"/>
        <v>7.2</v>
      </c>
      <c r="K2036" s="10">
        <f t="shared" si="207"/>
        <v>16.399999999999999</v>
      </c>
      <c r="L2036" s="10">
        <f t="shared" si="212"/>
        <v>120.89999999999999</v>
      </c>
    </row>
    <row r="2037" spans="1:12" x14ac:dyDescent="0.25">
      <c r="A2037" s="7">
        <v>45497</v>
      </c>
      <c r="B2037" s="2" t="s">
        <v>838</v>
      </c>
      <c r="C2037" s="6">
        <v>6185</v>
      </c>
      <c r="D2037" s="5" t="s">
        <v>652</v>
      </c>
      <c r="E2037" s="1">
        <v>0.33611111111111114</v>
      </c>
      <c r="F2037" s="1">
        <v>0.43541666666666667</v>
      </c>
      <c r="G2037" s="9">
        <f t="shared" si="208"/>
        <v>45495</v>
      </c>
      <c r="H2037" s="11">
        <f t="shared" si="209"/>
        <v>2.4</v>
      </c>
      <c r="I2037" s="10">
        <f t="shared" si="210"/>
        <v>3.7</v>
      </c>
      <c r="J2037" s="10">
        <f t="shared" si="211"/>
        <v>7.2</v>
      </c>
      <c r="K2037" s="10">
        <f t="shared" si="207"/>
        <v>18.799999999999997</v>
      </c>
      <c r="L2037" s="10">
        <f t="shared" si="212"/>
        <v>123.30000000000001</v>
      </c>
    </row>
    <row r="2038" spans="1:12" x14ac:dyDescent="0.25">
      <c r="A2038" s="7">
        <v>45497</v>
      </c>
      <c r="B2038" t="s">
        <v>6</v>
      </c>
      <c r="C2038" s="6" t="s">
        <v>416</v>
      </c>
      <c r="D2038" s="5" t="s">
        <v>654</v>
      </c>
      <c r="E2038" s="1">
        <v>0.43541666666666667</v>
      </c>
      <c r="F2038" s="1">
        <v>0.45833333333333331</v>
      </c>
      <c r="G2038" s="9">
        <f t="shared" si="208"/>
        <v>45495</v>
      </c>
      <c r="H2038" s="11">
        <f t="shared" si="209"/>
        <v>0.5</v>
      </c>
      <c r="I2038" s="10">
        <f t="shared" si="210"/>
        <v>4.2</v>
      </c>
      <c r="J2038" s="10">
        <f t="shared" si="211"/>
        <v>7.2</v>
      </c>
      <c r="K2038" s="10">
        <f t="shared" si="207"/>
        <v>19.3</v>
      </c>
      <c r="L2038" s="10">
        <f t="shared" si="212"/>
        <v>123.8</v>
      </c>
    </row>
    <row r="2039" spans="1:12" x14ac:dyDescent="0.25">
      <c r="A2039" s="7">
        <v>45497</v>
      </c>
      <c r="B2039" s="2" t="s">
        <v>838</v>
      </c>
      <c r="C2039" s="6">
        <v>6185</v>
      </c>
      <c r="D2039" s="5" t="s">
        <v>653</v>
      </c>
      <c r="E2039" s="1">
        <v>0.45833333333333331</v>
      </c>
      <c r="F2039" s="1">
        <v>0.59305555555555556</v>
      </c>
      <c r="G2039" s="9">
        <f t="shared" si="208"/>
        <v>45495</v>
      </c>
      <c r="H2039" s="11">
        <f t="shared" si="209"/>
        <v>3.2</v>
      </c>
      <c r="I2039" s="10">
        <f t="shared" si="210"/>
        <v>7.4</v>
      </c>
      <c r="J2039" s="10">
        <f t="shared" si="211"/>
        <v>7.2</v>
      </c>
      <c r="K2039" s="10">
        <f t="shared" si="207"/>
        <v>22.5</v>
      </c>
      <c r="L2039" s="10">
        <f t="shared" si="212"/>
        <v>127</v>
      </c>
    </row>
    <row r="2040" spans="1:12" x14ac:dyDescent="0.25">
      <c r="A2040" s="7">
        <v>45498</v>
      </c>
      <c r="B2040" s="2" t="s">
        <v>838</v>
      </c>
      <c r="C2040" s="6">
        <v>6185</v>
      </c>
      <c r="D2040" s="5" t="s">
        <v>652</v>
      </c>
      <c r="E2040" s="1">
        <v>0.31666666666666665</v>
      </c>
      <c r="F2040" s="1">
        <v>0.35972222222222222</v>
      </c>
      <c r="G2040" s="9">
        <f t="shared" si="208"/>
        <v>45495</v>
      </c>
      <c r="H2040" s="11">
        <f t="shared" si="209"/>
        <v>1</v>
      </c>
      <c r="I2040" s="10">
        <f t="shared" si="210"/>
        <v>1</v>
      </c>
      <c r="J2040" s="10">
        <f t="shared" si="211"/>
        <v>7.2</v>
      </c>
      <c r="K2040" s="10">
        <f t="shared" si="207"/>
        <v>23.5</v>
      </c>
      <c r="L2040" s="10">
        <f t="shared" si="212"/>
        <v>128</v>
      </c>
    </row>
    <row r="2041" spans="1:12" x14ac:dyDescent="0.25">
      <c r="A2041" s="7">
        <v>45498</v>
      </c>
      <c r="B2041" s="2" t="s">
        <v>838</v>
      </c>
      <c r="C2041" s="6">
        <v>6185</v>
      </c>
      <c r="D2041" s="5" t="s">
        <v>653</v>
      </c>
      <c r="E2041" s="1">
        <v>0.35972222222222222</v>
      </c>
      <c r="F2041" s="1">
        <v>0.6118055555555556</v>
      </c>
      <c r="G2041" s="9">
        <f t="shared" si="208"/>
        <v>45495</v>
      </c>
      <c r="H2041" s="11">
        <f t="shared" si="209"/>
        <v>6.1</v>
      </c>
      <c r="I2041" s="10">
        <f t="shared" si="210"/>
        <v>7.1</v>
      </c>
      <c r="J2041" s="10">
        <f t="shared" si="211"/>
        <v>7.2</v>
      </c>
      <c r="K2041" s="10">
        <f t="shared" si="207"/>
        <v>29.6</v>
      </c>
      <c r="L2041" s="10">
        <f t="shared" si="212"/>
        <v>134.1</v>
      </c>
    </row>
    <row r="2042" spans="1:12" x14ac:dyDescent="0.25">
      <c r="A2042" s="7">
        <v>45498</v>
      </c>
      <c r="B2042" t="s">
        <v>598</v>
      </c>
      <c r="C2042" s="6">
        <v>6004</v>
      </c>
      <c r="D2042" s="5" t="s">
        <v>655</v>
      </c>
      <c r="E2042" s="1">
        <v>0.6118055555555556</v>
      </c>
      <c r="F2042" s="1">
        <v>0.67777777777777781</v>
      </c>
      <c r="G2042" s="9">
        <f t="shared" si="208"/>
        <v>45495</v>
      </c>
      <c r="H2042" s="11">
        <f t="shared" si="209"/>
        <v>1.6</v>
      </c>
      <c r="I2042" s="10">
        <f t="shared" si="210"/>
        <v>8.6999999999999993</v>
      </c>
      <c r="J2042" s="10">
        <f t="shared" si="211"/>
        <v>7.2</v>
      </c>
      <c r="K2042" s="10">
        <f t="shared" si="207"/>
        <v>31.200000000000003</v>
      </c>
      <c r="L2042" s="10">
        <f t="shared" si="212"/>
        <v>135.69999999999999</v>
      </c>
    </row>
    <row r="2043" spans="1:12" x14ac:dyDescent="0.25">
      <c r="A2043" s="7">
        <v>45499</v>
      </c>
      <c r="B2043" t="s">
        <v>598</v>
      </c>
      <c r="C2043" s="6">
        <v>6004</v>
      </c>
      <c r="D2043" s="5" t="s">
        <v>574</v>
      </c>
      <c r="E2043" s="1">
        <v>0.3298611111111111</v>
      </c>
      <c r="F2043" s="1">
        <v>0.46597222222222223</v>
      </c>
      <c r="G2043" s="9">
        <f t="shared" si="208"/>
        <v>45495</v>
      </c>
      <c r="H2043" s="11">
        <f t="shared" si="209"/>
        <v>3.3</v>
      </c>
      <c r="I2043" s="10">
        <f t="shared" si="210"/>
        <v>3.3</v>
      </c>
      <c r="J2043" s="10">
        <f t="shared" si="211"/>
        <v>7.2</v>
      </c>
      <c r="K2043" s="10">
        <f t="shared" si="207"/>
        <v>34.5</v>
      </c>
      <c r="L2043" s="10">
        <f t="shared" si="212"/>
        <v>139</v>
      </c>
    </row>
    <row r="2044" spans="1:12" x14ac:dyDescent="0.25">
      <c r="A2044" s="7">
        <v>45499</v>
      </c>
      <c r="B2044" t="s">
        <v>598</v>
      </c>
      <c r="C2044" s="6">
        <v>6004</v>
      </c>
      <c r="D2044" s="5" t="s">
        <v>656</v>
      </c>
      <c r="E2044" s="1">
        <v>0.46597222222222223</v>
      </c>
      <c r="F2044" s="1">
        <v>0.60763888888888884</v>
      </c>
      <c r="G2044" s="9">
        <f t="shared" si="208"/>
        <v>45495</v>
      </c>
      <c r="H2044" s="11">
        <f t="shared" si="209"/>
        <v>3.4</v>
      </c>
      <c r="I2044" s="10">
        <f t="shared" si="210"/>
        <v>6.6999999999999993</v>
      </c>
      <c r="J2044" s="10">
        <f t="shared" si="211"/>
        <v>7.2</v>
      </c>
      <c r="K2044" s="10">
        <f t="shared" si="207"/>
        <v>37.9</v>
      </c>
      <c r="L2044" s="10">
        <f t="shared" si="212"/>
        <v>142.4</v>
      </c>
    </row>
    <row r="2045" spans="1:12" x14ac:dyDescent="0.25">
      <c r="A2045" s="7">
        <v>45502</v>
      </c>
      <c r="B2045" t="s">
        <v>6</v>
      </c>
      <c r="C2045" s="6" t="s">
        <v>416</v>
      </c>
      <c r="D2045" s="5" t="s">
        <v>657</v>
      </c>
      <c r="E2045" s="1">
        <v>0.34444444444444444</v>
      </c>
      <c r="F2045" s="1">
        <v>0.4375</v>
      </c>
      <c r="G2045" s="9">
        <f t="shared" si="208"/>
        <v>45502</v>
      </c>
      <c r="H2045" s="11">
        <f t="shared" si="209"/>
        <v>2.2000000000000002</v>
      </c>
      <c r="I2045" s="10">
        <f t="shared" si="210"/>
        <v>2.2000000000000002</v>
      </c>
      <c r="J2045" s="10">
        <f t="shared" si="211"/>
        <v>7.2</v>
      </c>
      <c r="K2045" s="10">
        <f t="shared" si="207"/>
        <v>2.2000000000000002</v>
      </c>
      <c r="L2045" s="10">
        <f t="shared" si="212"/>
        <v>144.6</v>
      </c>
    </row>
    <row r="2046" spans="1:12" x14ac:dyDescent="0.25">
      <c r="A2046" s="7">
        <v>45502</v>
      </c>
      <c r="B2046" s="2" t="s">
        <v>838</v>
      </c>
      <c r="C2046" s="6">
        <v>6185</v>
      </c>
      <c r="D2046" s="5" t="s">
        <v>658</v>
      </c>
      <c r="E2046" s="1">
        <v>0.4375</v>
      </c>
      <c r="F2046" s="1">
        <v>0.47916666666666669</v>
      </c>
      <c r="G2046" s="9">
        <f t="shared" si="208"/>
        <v>45502</v>
      </c>
      <c r="H2046" s="11">
        <f t="shared" si="209"/>
        <v>1</v>
      </c>
      <c r="I2046" s="10">
        <f t="shared" si="210"/>
        <v>3.2</v>
      </c>
      <c r="J2046" s="10">
        <f t="shared" si="211"/>
        <v>7.2</v>
      </c>
      <c r="K2046" s="10">
        <f t="shared" si="207"/>
        <v>3.2</v>
      </c>
      <c r="L2046" s="10">
        <f t="shared" si="212"/>
        <v>145.6</v>
      </c>
    </row>
    <row r="2047" spans="1:12" x14ac:dyDescent="0.25">
      <c r="A2047" s="7">
        <v>45502</v>
      </c>
      <c r="B2047" s="2" t="s">
        <v>464</v>
      </c>
      <c r="C2047" s="6">
        <v>2431</v>
      </c>
      <c r="D2047" s="5" t="s">
        <v>600</v>
      </c>
      <c r="E2047" s="1">
        <v>0.47916666666666669</v>
      </c>
      <c r="F2047" s="1">
        <v>0.52083333333333337</v>
      </c>
      <c r="G2047" s="9">
        <f t="shared" si="208"/>
        <v>45502</v>
      </c>
      <c r="H2047" s="11">
        <f t="shared" si="209"/>
        <v>1</v>
      </c>
      <c r="I2047" s="10">
        <f t="shared" si="210"/>
        <v>4.2</v>
      </c>
      <c r="J2047" s="10">
        <f t="shared" si="211"/>
        <v>7.2</v>
      </c>
      <c r="K2047" s="10">
        <f t="shared" si="207"/>
        <v>4.2</v>
      </c>
      <c r="L2047" s="10">
        <f t="shared" si="212"/>
        <v>146.6</v>
      </c>
    </row>
    <row r="2048" spans="1:12" x14ac:dyDescent="0.25">
      <c r="A2048" s="7">
        <v>45502</v>
      </c>
      <c r="B2048" s="2" t="s">
        <v>838</v>
      </c>
      <c r="C2048" s="6">
        <v>6185</v>
      </c>
      <c r="D2048" s="5" t="s">
        <v>659</v>
      </c>
      <c r="E2048" s="1">
        <v>0.52083333333333337</v>
      </c>
      <c r="F2048" s="1">
        <v>0.5625</v>
      </c>
      <c r="G2048" s="9">
        <f t="shared" si="208"/>
        <v>45502</v>
      </c>
      <c r="H2048" s="11">
        <f t="shared" si="209"/>
        <v>1</v>
      </c>
      <c r="I2048" s="10">
        <f t="shared" si="210"/>
        <v>5.2</v>
      </c>
      <c r="J2048" s="10">
        <f t="shared" si="211"/>
        <v>7.2</v>
      </c>
      <c r="K2048" s="10">
        <f t="shared" si="207"/>
        <v>5.2</v>
      </c>
      <c r="L2048" s="10">
        <f t="shared" si="212"/>
        <v>147.6</v>
      </c>
    </row>
    <row r="2049" spans="1:12" x14ac:dyDescent="0.25">
      <c r="A2049" s="7">
        <v>45502</v>
      </c>
      <c r="B2049" s="2" t="s">
        <v>838</v>
      </c>
      <c r="C2049" s="6">
        <v>6185</v>
      </c>
      <c r="D2049" s="5" t="s">
        <v>660</v>
      </c>
      <c r="E2049" s="1">
        <v>0.5625</v>
      </c>
      <c r="F2049" s="1">
        <v>0.625</v>
      </c>
      <c r="G2049" s="9">
        <f t="shared" si="208"/>
        <v>45502</v>
      </c>
      <c r="H2049" s="11">
        <f t="shared" si="209"/>
        <v>1.5</v>
      </c>
      <c r="I2049" s="10">
        <f t="shared" si="210"/>
        <v>6.7</v>
      </c>
      <c r="J2049" s="10">
        <f t="shared" si="211"/>
        <v>7.2</v>
      </c>
      <c r="K2049" s="10">
        <f t="shared" si="207"/>
        <v>6.7</v>
      </c>
      <c r="L2049" s="10">
        <f t="shared" si="212"/>
        <v>149.1</v>
      </c>
    </row>
    <row r="2050" spans="1:12" x14ac:dyDescent="0.25">
      <c r="A2050" s="7">
        <v>45503</v>
      </c>
      <c r="B2050" s="2" t="s">
        <v>838</v>
      </c>
      <c r="C2050" s="6">
        <v>6185</v>
      </c>
      <c r="D2050" s="5" t="s">
        <v>660</v>
      </c>
      <c r="E2050" s="1">
        <v>0.34722222222222221</v>
      </c>
      <c r="F2050" s="1">
        <v>0.47986111111111113</v>
      </c>
      <c r="G2050" s="9">
        <f t="shared" si="208"/>
        <v>45502</v>
      </c>
      <c r="H2050" s="11">
        <f t="shared" si="209"/>
        <v>3.2</v>
      </c>
      <c r="I2050" s="10">
        <f t="shared" si="210"/>
        <v>3.2</v>
      </c>
      <c r="J2050" s="10">
        <f t="shared" si="211"/>
        <v>7.2</v>
      </c>
      <c r="K2050" s="10">
        <f t="shared" si="207"/>
        <v>9.9</v>
      </c>
      <c r="L2050" s="10">
        <f t="shared" si="212"/>
        <v>152.29999999999998</v>
      </c>
    </row>
    <row r="2051" spans="1:12" x14ac:dyDescent="0.25">
      <c r="A2051" s="7">
        <v>45503</v>
      </c>
      <c r="B2051" t="s">
        <v>598</v>
      </c>
      <c r="C2051" s="6">
        <v>6004</v>
      </c>
      <c r="D2051" s="5" t="s">
        <v>655</v>
      </c>
      <c r="E2051" s="1">
        <v>0.47986111111111113</v>
      </c>
      <c r="F2051" s="1">
        <v>0.56180555555555556</v>
      </c>
      <c r="G2051" s="9">
        <f t="shared" si="208"/>
        <v>45502</v>
      </c>
      <c r="H2051" s="11">
        <f t="shared" si="209"/>
        <v>2</v>
      </c>
      <c r="I2051" s="10">
        <f t="shared" si="210"/>
        <v>5.2</v>
      </c>
      <c r="J2051" s="10">
        <f t="shared" si="211"/>
        <v>7.2</v>
      </c>
      <c r="K2051" s="10">
        <f t="shared" ref="K2051:K2114" si="213">IF(H2051="",H2051,H2051+IF(G2051=G2050,_xlfn.NUMBERVALUE(K2050),0))</f>
        <v>11.9</v>
      </c>
      <c r="L2051" s="10">
        <f t="shared" si="212"/>
        <v>154.30000000000001</v>
      </c>
    </row>
    <row r="2052" spans="1:12" x14ac:dyDescent="0.25">
      <c r="A2052" s="7">
        <v>45503</v>
      </c>
      <c r="B2052" s="2" t="s">
        <v>838</v>
      </c>
      <c r="C2052" s="6">
        <v>6185</v>
      </c>
      <c r="D2052" s="5" t="s">
        <v>660</v>
      </c>
      <c r="E2052" s="1">
        <v>0.56180555555555556</v>
      </c>
      <c r="F2052" s="1">
        <v>0.64861111111111114</v>
      </c>
      <c r="G2052" s="9">
        <f t="shared" si="208"/>
        <v>45502</v>
      </c>
      <c r="H2052" s="11">
        <f t="shared" si="209"/>
        <v>2.1</v>
      </c>
      <c r="I2052" s="10">
        <f t="shared" si="210"/>
        <v>7.3000000000000007</v>
      </c>
      <c r="J2052" s="10">
        <f t="shared" si="211"/>
        <v>7.2</v>
      </c>
      <c r="K2052" s="10">
        <f t="shared" si="213"/>
        <v>14</v>
      </c>
      <c r="L2052" s="10">
        <f t="shared" si="212"/>
        <v>156.4</v>
      </c>
    </row>
    <row r="2053" spans="1:12" x14ac:dyDescent="0.25">
      <c r="A2053" s="7">
        <v>45504</v>
      </c>
      <c r="B2053" s="2" t="s">
        <v>551</v>
      </c>
      <c r="C2053" s="6">
        <v>6184</v>
      </c>
      <c r="D2053" s="5" t="s">
        <v>661</v>
      </c>
      <c r="E2053" s="1">
        <v>0.33541666666666664</v>
      </c>
      <c r="F2053" s="1">
        <v>0.54166666666666663</v>
      </c>
      <c r="G2053" s="9">
        <f t="shared" si="208"/>
        <v>45502</v>
      </c>
      <c r="H2053" s="11">
        <f t="shared" si="209"/>
        <v>5</v>
      </c>
      <c r="I2053" s="10">
        <f t="shared" si="210"/>
        <v>5</v>
      </c>
      <c r="J2053" s="10">
        <f t="shared" si="211"/>
        <v>7.2</v>
      </c>
      <c r="K2053" s="10">
        <f t="shared" si="213"/>
        <v>19</v>
      </c>
      <c r="L2053" s="10">
        <f t="shared" si="212"/>
        <v>161.4</v>
      </c>
    </row>
    <row r="2054" spans="1:12" x14ac:dyDescent="0.25">
      <c r="A2054" s="7">
        <v>45504</v>
      </c>
      <c r="B2054" t="s">
        <v>6</v>
      </c>
      <c r="C2054" s="6" t="s">
        <v>416</v>
      </c>
      <c r="D2054" s="5" t="s">
        <v>58</v>
      </c>
      <c r="E2054" s="1">
        <v>0.54166666666666663</v>
      </c>
      <c r="F2054" s="1">
        <v>0.58611111111111114</v>
      </c>
      <c r="G2054" s="9">
        <f t="shared" si="208"/>
        <v>45502</v>
      </c>
      <c r="H2054" s="11">
        <f t="shared" si="209"/>
        <v>1.1000000000000001</v>
      </c>
      <c r="I2054" s="10">
        <f t="shared" si="210"/>
        <v>6.1</v>
      </c>
      <c r="J2054" s="10">
        <f t="shared" si="211"/>
        <v>7.2</v>
      </c>
      <c r="K2054" s="10">
        <f t="shared" si="213"/>
        <v>20.100000000000001</v>
      </c>
      <c r="L2054" s="10">
        <f t="shared" si="212"/>
        <v>162.5</v>
      </c>
    </row>
    <row r="2055" spans="1:12" x14ac:dyDescent="0.25">
      <c r="A2055" s="7">
        <v>45504</v>
      </c>
      <c r="B2055" s="2" t="s">
        <v>551</v>
      </c>
      <c r="C2055" s="6">
        <v>6184</v>
      </c>
      <c r="D2055" s="5" t="s">
        <v>661</v>
      </c>
      <c r="E2055" s="1">
        <v>0.58611111111111114</v>
      </c>
      <c r="F2055" s="1">
        <v>0.62847222222222221</v>
      </c>
      <c r="G2055" s="9">
        <f t="shared" si="208"/>
        <v>45502</v>
      </c>
      <c r="H2055" s="11">
        <f t="shared" si="209"/>
        <v>1</v>
      </c>
      <c r="I2055" s="10">
        <f t="shared" si="210"/>
        <v>7.1</v>
      </c>
      <c r="J2055" s="10">
        <f t="shared" si="211"/>
        <v>7.2</v>
      </c>
      <c r="K2055" s="10">
        <f t="shared" si="213"/>
        <v>21.1</v>
      </c>
      <c r="L2055" s="10">
        <f t="shared" si="212"/>
        <v>163.5</v>
      </c>
    </row>
    <row r="2056" spans="1:12" x14ac:dyDescent="0.25">
      <c r="A2056" s="7">
        <v>45505</v>
      </c>
      <c r="B2056" s="2" t="s">
        <v>551</v>
      </c>
      <c r="C2056" s="6">
        <v>6184</v>
      </c>
      <c r="D2056" s="5" t="s">
        <v>661</v>
      </c>
      <c r="E2056" s="1">
        <v>0.33819444444444446</v>
      </c>
      <c r="F2056" s="1">
        <v>0.58333333333333337</v>
      </c>
      <c r="G2056" s="9">
        <f t="shared" si="208"/>
        <v>45502</v>
      </c>
      <c r="H2056" s="11">
        <f t="shared" si="209"/>
        <v>5.9</v>
      </c>
      <c r="I2056" s="10">
        <f t="shared" si="210"/>
        <v>5.9</v>
      </c>
      <c r="J2056" s="10">
        <f t="shared" si="211"/>
        <v>7.2</v>
      </c>
      <c r="K2056" s="10">
        <f t="shared" si="213"/>
        <v>27</v>
      </c>
      <c r="L2056" s="10">
        <f t="shared" si="212"/>
        <v>5.9</v>
      </c>
    </row>
    <row r="2057" spans="1:12" x14ac:dyDescent="0.25">
      <c r="A2057" s="7">
        <v>45505</v>
      </c>
      <c r="B2057" s="2" t="s">
        <v>464</v>
      </c>
      <c r="C2057" s="6">
        <v>2431</v>
      </c>
      <c r="D2057" s="5" t="s">
        <v>600</v>
      </c>
      <c r="E2057" s="1">
        <v>0.58333333333333337</v>
      </c>
      <c r="F2057" s="1">
        <v>0.6381944444444444</v>
      </c>
      <c r="G2057" s="9">
        <f t="shared" si="208"/>
        <v>45502</v>
      </c>
      <c r="H2057" s="11">
        <f t="shared" si="209"/>
        <v>1.3</v>
      </c>
      <c r="I2057" s="10">
        <f t="shared" si="210"/>
        <v>7.2</v>
      </c>
      <c r="J2057" s="10">
        <f t="shared" si="211"/>
        <v>7.2</v>
      </c>
      <c r="K2057" s="10">
        <f t="shared" si="213"/>
        <v>28.3</v>
      </c>
      <c r="L2057" s="10">
        <f t="shared" si="212"/>
        <v>7.2</v>
      </c>
    </row>
    <row r="2058" spans="1:12" x14ac:dyDescent="0.25">
      <c r="A2058" s="7">
        <v>45506</v>
      </c>
      <c r="B2058" s="2" t="s">
        <v>551</v>
      </c>
      <c r="C2058" s="6">
        <v>6184</v>
      </c>
      <c r="D2058" s="5" t="s">
        <v>661</v>
      </c>
      <c r="E2058" s="1">
        <v>0.32916666666666666</v>
      </c>
      <c r="F2058" s="1">
        <v>0.64236111111111116</v>
      </c>
      <c r="G2058" s="9">
        <f t="shared" si="208"/>
        <v>45502</v>
      </c>
      <c r="H2058" s="11">
        <f t="shared" si="209"/>
        <v>7.5</v>
      </c>
      <c r="I2058" s="10">
        <f t="shared" si="210"/>
        <v>7.5</v>
      </c>
      <c r="J2058" s="10">
        <f t="shared" si="211"/>
        <v>7.2</v>
      </c>
      <c r="K2058" s="10">
        <f t="shared" si="213"/>
        <v>35.799999999999997</v>
      </c>
      <c r="L2058" s="10">
        <f t="shared" si="212"/>
        <v>14.7</v>
      </c>
    </row>
    <row r="2059" spans="1:12" x14ac:dyDescent="0.25">
      <c r="A2059" s="7">
        <v>45509</v>
      </c>
      <c r="B2059" t="s">
        <v>598</v>
      </c>
      <c r="C2059" s="6">
        <v>6004</v>
      </c>
      <c r="D2059" s="5" t="s">
        <v>662</v>
      </c>
      <c r="E2059" s="1">
        <v>0.30694444444444446</v>
      </c>
      <c r="F2059" s="1">
        <v>0.40972222222222221</v>
      </c>
      <c r="G2059" s="9">
        <f t="shared" si="208"/>
        <v>45509</v>
      </c>
      <c r="H2059" s="11">
        <f t="shared" si="209"/>
        <v>2.5</v>
      </c>
      <c r="I2059" s="10">
        <f t="shared" si="210"/>
        <v>2.5</v>
      </c>
      <c r="J2059" s="10">
        <f t="shared" si="211"/>
        <v>7.2</v>
      </c>
      <c r="K2059" s="10">
        <f t="shared" si="213"/>
        <v>2.5</v>
      </c>
      <c r="L2059" s="10">
        <f t="shared" si="212"/>
        <v>17.2</v>
      </c>
    </row>
    <row r="2060" spans="1:12" x14ac:dyDescent="0.25">
      <c r="A2060" s="7">
        <v>45509</v>
      </c>
      <c r="B2060" t="s">
        <v>6</v>
      </c>
      <c r="C2060" s="6" t="s">
        <v>416</v>
      </c>
      <c r="D2060" s="5" t="s">
        <v>104</v>
      </c>
      <c r="E2060" s="1">
        <v>0.40972222222222221</v>
      </c>
      <c r="F2060" s="1">
        <v>0.41805555555555557</v>
      </c>
      <c r="G2060" s="9">
        <f t="shared" si="208"/>
        <v>45509</v>
      </c>
      <c r="H2060" s="11">
        <f t="shared" si="209"/>
        <v>0.2</v>
      </c>
      <c r="I2060" s="10">
        <f t="shared" si="210"/>
        <v>2.7</v>
      </c>
      <c r="J2060" s="10">
        <f t="shared" si="211"/>
        <v>7.2</v>
      </c>
      <c r="K2060" s="10">
        <f t="shared" si="213"/>
        <v>2.7</v>
      </c>
      <c r="L2060" s="10">
        <f t="shared" si="212"/>
        <v>17.399999999999999</v>
      </c>
    </row>
    <row r="2061" spans="1:12" x14ac:dyDescent="0.25">
      <c r="A2061" s="7">
        <v>45509</v>
      </c>
      <c r="B2061" s="2" t="s">
        <v>551</v>
      </c>
      <c r="C2061" s="6">
        <v>6184</v>
      </c>
      <c r="D2061" s="5" t="s">
        <v>661</v>
      </c>
      <c r="E2061" s="1">
        <v>0.41805555555555557</v>
      </c>
      <c r="F2061" s="1">
        <v>0.47222222222222221</v>
      </c>
      <c r="G2061" s="9">
        <f t="shared" si="208"/>
        <v>45509</v>
      </c>
      <c r="H2061" s="11">
        <f t="shared" si="209"/>
        <v>1.3</v>
      </c>
      <c r="I2061" s="10">
        <f t="shared" si="210"/>
        <v>4</v>
      </c>
      <c r="J2061" s="10">
        <f t="shared" si="211"/>
        <v>7.2</v>
      </c>
      <c r="K2061" s="10">
        <f t="shared" si="213"/>
        <v>4</v>
      </c>
      <c r="L2061" s="10">
        <f t="shared" si="212"/>
        <v>18.7</v>
      </c>
    </row>
    <row r="2062" spans="1:12" x14ac:dyDescent="0.25">
      <c r="A2062" s="7">
        <v>45509</v>
      </c>
      <c r="B2062" t="s">
        <v>598</v>
      </c>
      <c r="C2062" s="6">
        <v>6004</v>
      </c>
      <c r="D2062" s="5" t="s">
        <v>219</v>
      </c>
      <c r="E2062" s="1">
        <v>0.4861111111111111</v>
      </c>
      <c r="F2062" s="1">
        <v>0.61250000000000004</v>
      </c>
      <c r="G2062" s="9">
        <f t="shared" si="208"/>
        <v>45509</v>
      </c>
      <c r="H2062" s="11">
        <f t="shared" si="209"/>
        <v>3</v>
      </c>
      <c r="I2062" s="10">
        <f t="shared" si="210"/>
        <v>7</v>
      </c>
      <c r="J2062" s="10">
        <f t="shared" si="211"/>
        <v>7.2</v>
      </c>
      <c r="K2062" s="10">
        <f t="shared" si="213"/>
        <v>7</v>
      </c>
      <c r="L2062" s="10">
        <f t="shared" si="212"/>
        <v>21.7</v>
      </c>
    </row>
    <row r="2063" spans="1:12" x14ac:dyDescent="0.25">
      <c r="A2063" s="7">
        <v>45510</v>
      </c>
      <c r="B2063" t="s">
        <v>598</v>
      </c>
      <c r="C2063" s="6">
        <v>6004</v>
      </c>
      <c r="D2063" s="5" t="s">
        <v>662</v>
      </c>
      <c r="E2063" s="1">
        <v>0.32291666666666669</v>
      </c>
      <c r="F2063" s="1">
        <v>0.58333333333333337</v>
      </c>
      <c r="G2063" s="9">
        <f t="shared" si="208"/>
        <v>45509</v>
      </c>
      <c r="H2063" s="11">
        <f t="shared" si="209"/>
        <v>6.3</v>
      </c>
      <c r="I2063" s="10">
        <f t="shared" si="210"/>
        <v>6.3</v>
      </c>
      <c r="J2063" s="10">
        <f t="shared" si="211"/>
        <v>7.2</v>
      </c>
      <c r="K2063" s="10">
        <f t="shared" si="213"/>
        <v>13.3</v>
      </c>
      <c r="L2063" s="10">
        <f t="shared" si="212"/>
        <v>28</v>
      </c>
    </row>
    <row r="2064" spans="1:12" x14ac:dyDescent="0.25">
      <c r="A2064" s="7">
        <v>45510</v>
      </c>
      <c r="B2064" t="s">
        <v>6</v>
      </c>
      <c r="C2064" s="6" t="s">
        <v>416</v>
      </c>
      <c r="D2064" s="5" t="s">
        <v>71</v>
      </c>
      <c r="E2064" s="1">
        <v>0.58333333333333337</v>
      </c>
      <c r="F2064" s="1">
        <v>0.60763888888888884</v>
      </c>
      <c r="G2064" s="9">
        <f t="shared" si="208"/>
        <v>45509</v>
      </c>
      <c r="H2064" s="11">
        <f t="shared" si="209"/>
        <v>0.6</v>
      </c>
      <c r="I2064" s="10">
        <f t="shared" si="210"/>
        <v>6.8999999999999995</v>
      </c>
      <c r="J2064" s="10">
        <f t="shared" si="211"/>
        <v>7.2</v>
      </c>
      <c r="K2064" s="10">
        <f t="shared" si="213"/>
        <v>13.9</v>
      </c>
      <c r="L2064" s="10">
        <f t="shared" si="212"/>
        <v>28.6</v>
      </c>
    </row>
    <row r="2065" spans="1:12" x14ac:dyDescent="0.25">
      <c r="A2065" s="7">
        <v>45511</v>
      </c>
      <c r="B2065" t="s">
        <v>598</v>
      </c>
      <c r="C2065" s="6">
        <v>6004</v>
      </c>
      <c r="D2065" s="5" t="s">
        <v>574</v>
      </c>
      <c r="E2065" s="1">
        <v>0.3034722222222222</v>
      </c>
      <c r="F2065" s="1">
        <v>0.38333333333333336</v>
      </c>
      <c r="G2065" s="9">
        <f t="shared" si="208"/>
        <v>45509</v>
      </c>
      <c r="H2065" s="11">
        <f t="shared" si="209"/>
        <v>1.9</v>
      </c>
      <c r="I2065" s="10">
        <f t="shared" si="210"/>
        <v>1.9</v>
      </c>
      <c r="J2065" s="10">
        <f t="shared" si="211"/>
        <v>7.2</v>
      </c>
      <c r="K2065" s="10">
        <f t="shared" si="213"/>
        <v>15.8</v>
      </c>
      <c r="L2065" s="10">
        <f t="shared" si="212"/>
        <v>30.5</v>
      </c>
    </row>
    <row r="2066" spans="1:12" x14ac:dyDescent="0.25">
      <c r="A2066" s="7">
        <v>45511</v>
      </c>
      <c r="B2066" s="2" t="s">
        <v>838</v>
      </c>
      <c r="C2066" s="6">
        <v>6185</v>
      </c>
      <c r="D2066" s="1" t="s">
        <v>663</v>
      </c>
      <c r="E2066" s="1">
        <v>0.38333333333333336</v>
      </c>
      <c r="F2066" s="1">
        <v>0.62708333333333333</v>
      </c>
      <c r="G2066" s="9">
        <f t="shared" si="208"/>
        <v>45509</v>
      </c>
      <c r="H2066" s="11">
        <f t="shared" si="209"/>
        <v>5.9</v>
      </c>
      <c r="I2066" s="10">
        <f t="shared" si="210"/>
        <v>7.8000000000000007</v>
      </c>
      <c r="J2066" s="10">
        <f t="shared" si="211"/>
        <v>7.2</v>
      </c>
      <c r="K2066" s="10">
        <f t="shared" si="213"/>
        <v>21.700000000000003</v>
      </c>
      <c r="L2066" s="10">
        <f t="shared" si="212"/>
        <v>36.4</v>
      </c>
    </row>
    <row r="2067" spans="1:12" x14ac:dyDescent="0.25">
      <c r="A2067" s="7">
        <v>45512</v>
      </c>
      <c r="B2067" s="2" t="s">
        <v>838</v>
      </c>
      <c r="C2067" s="6">
        <v>6185</v>
      </c>
      <c r="D2067" s="1" t="s">
        <v>663</v>
      </c>
      <c r="E2067" s="1">
        <v>0.34513888888888888</v>
      </c>
      <c r="F2067" s="1">
        <v>0.60416666666666663</v>
      </c>
      <c r="G2067" s="9">
        <f t="shared" si="208"/>
        <v>45509</v>
      </c>
      <c r="H2067" s="11">
        <f t="shared" si="209"/>
        <v>6.2</v>
      </c>
      <c r="I2067" s="10">
        <f t="shared" si="210"/>
        <v>6.2</v>
      </c>
      <c r="J2067" s="10">
        <f t="shared" si="211"/>
        <v>7.2</v>
      </c>
      <c r="K2067" s="10">
        <f t="shared" si="213"/>
        <v>27.9</v>
      </c>
      <c r="L2067" s="10">
        <f t="shared" si="212"/>
        <v>42.6</v>
      </c>
    </row>
    <row r="2068" spans="1:12" x14ac:dyDescent="0.25">
      <c r="A2068" s="7">
        <v>45512</v>
      </c>
      <c r="B2068" s="2" t="s">
        <v>579</v>
      </c>
      <c r="C2068" s="6">
        <v>2682</v>
      </c>
      <c r="D2068" s="5" t="s">
        <v>664</v>
      </c>
      <c r="E2068" s="1">
        <v>0.60416666666666663</v>
      </c>
      <c r="F2068" s="1">
        <v>0.64236111111111116</v>
      </c>
      <c r="G2068" s="9">
        <f t="shared" si="208"/>
        <v>45509</v>
      </c>
      <c r="H2068" s="11">
        <f t="shared" si="209"/>
        <v>0.9</v>
      </c>
      <c r="I2068" s="10">
        <f t="shared" si="210"/>
        <v>7.1000000000000005</v>
      </c>
      <c r="J2068" s="10">
        <f t="shared" si="211"/>
        <v>7.2</v>
      </c>
      <c r="K2068" s="10">
        <f t="shared" si="213"/>
        <v>28.799999999999997</v>
      </c>
      <c r="L2068" s="10">
        <f t="shared" si="212"/>
        <v>43.5</v>
      </c>
    </row>
    <row r="2069" spans="1:12" x14ac:dyDescent="0.25">
      <c r="A2069" s="7">
        <v>45513</v>
      </c>
      <c r="B2069" s="2" t="s">
        <v>838</v>
      </c>
      <c r="C2069" s="6">
        <v>6185</v>
      </c>
      <c r="D2069" s="1" t="s">
        <v>663</v>
      </c>
      <c r="E2069" s="1">
        <v>0.33680555555555558</v>
      </c>
      <c r="F2069" s="1">
        <v>0.54097222222222219</v>
      </c>
      <c r="G2069" s="9">
        <f t="shared" si="208"/>
        <v>45509</v>
      </c>
      <c r="H2069" s="11">
        <f t="shared" si="209"/>
        <v>4.9000000000000004</v>
      </c>
      <c r="I2069" s="10">
        <f t="shared" si="210"/>
        <v>4.9000000000000004</v>
      </c>
      <c r="J2069" s="10">
        <f t="shared" si="211"/>
        <v>7.2</v>
      </c>
      <c r="K2069" s="10">
        <f t="shared" si="213"/>
        <v>33.700000000000003</v>
      </c>
      <c r="L2069" s="10">
        <f t="shared" si="212"/>
        <v>48.4</v>
      </c>
    </row>
    <row r="2070" spans="1:12" x14ac:dyDescent="0.25">
      <c r="A2070" s="7">
        <v>45513</v>
      </c>
      <c r="B2070" t="s">
        <v>6</v>
      </c>
      <c r="C2070" s="6" t="s">
        <v>416</v>
      </c>
      <c r="D2070" s="5" t="s">
        <v>665</v>
      </c>
      <c r="E2070" s="1">
        <v>0.6118055555555556</v>
      </c>
      <c r="F2070" s="1">
        <v>0.72291666666666665</v>
      </c>
      <c r="G2070" s="9">
        <f t="shared" si="208"/>
        <v>45509</v>
      </c>
      <c r="H2070" s="11">
        <f t="shared" si="209"/>
        <v>2.7</v>
      </c>
      <c r="I2070" s="10">
        <f t="shared" si="210"/>
        <v>7.6000000000000005</v>
      </c>
      <c r="J2070" s="10">
        <f t="shared" si="211"/>
        <v>7.2</v>
      </c>
      <c r="K2070" s="10">
        <f t="shared" si="213"/>
        <v>36.400000000000006</v>
      </c>
      <c r="L2070" s="10">
        <f t="shared" si="212"/>
        <v>51.1</v>
      </c>
    </row>
    <row r="2071" spans="1:12" x14ac:dyDescent="0.25">
      <c r="A2071" s="7">
        <v>45516</v>
      </c>
      <c r="B2071" t="s">
        <v>6</v>
      </c>
      <c r="C2071" s="6" t="s">
        <v>416</v>
      </c>
      <c r="D2071" s="5" t="s">
        <v>104</v>
      </c>
      <c r="E2071" s="1">
        <v>0.35138888888888886</v>
      </c>
      <c r="F2071" s="1">
        <v>0.375</v>
      </c>
      <c r="G2071" s="9">
        <f t="shared" si="208"/>
        <v>45516</v>
      </c>
      <c r="H2071" s="11">
        <f t="shared" si="209"/>
        <v>0.6</v>
      </c>
      <c r="I2071" s="10">
        <f t="shared" si="210"/>
        <v>0.6</v>
      </c>
      <c r="J2071" s="10">
        <f t="shared" si="211"/>
        <v>7.2</v>
      </c>
      <c r="K2071" s="10">
        <f t="shared" si="213"/>
        <v>0.6</v>
      </c>
      <c r="L2071" s="10">
        <f t="shared" si="212"/>
        <v>51.7</v>
      </c>
    </row>
    <row r="2072" spans="1:12" x14ac:dyDescent="0.25">
      <c r="A2072" s="7">
        <v>45516</v>
      </c>
      <c r="B2072" s="2" t="s">
        <v>838</v>
      </c>
      <c r="C2072" s="6">
        <v>6185</v>
      </c>
      <c r="D2072" s="1" t="s">
        <v>663</v>
      </c>
      <c r="E2072" s="1">
        <v>0.37569444444444444</v>
      </c>
      <c r="F2072" s="1">
        <v>0.46527777777777779</v>
      </c>
      <c r="G2072" s="9">
        <f t="shared" si="208"/>
        <v>45516</v>
      </c>
      <c r="H2072" s="11">
        <f t="shared" si="209"/>
        <v>2.2000000000000002</v>
      </c>
      <c r="I2072" s="10">
        <f t="shared" si="210"/>
        <v>2.8000000000000003</v>
      </c>
      <c r="J2072" s="10">
        <f t="shared" si="211"/>
        <v>7.2</v>
      </c>
      <c r="K2072" s="10">
        <f t="shared" si="213"/>
        <v>2.8000000000000003</v>
      </c>
      <c r="L2072" s="10">
        <f t="shared" si="212"/>
        <v>53.900000000000006</v>
      </c>
    </row>
    <row r="2073" spans="1:12" x14ac:dyDescent="0.25">
      <c r="A2073" s="7">
        <v>45516</v>
      </c>
      <c r="B2073" s="2" t="s">
        <v>838</v>
      </c>
      <c r="C2073" s="6">
        <v>6185</v>
      </c>
      <c r="D2073" s="1" t="s">
        <v>663</v>
      </c>
      <c r="E2073" s="1">
        <v>0.48472222222222222</v>
      </c>
      <c r="F2073" s="1">
        <v>0.60416666666666663</v>
      </c>
      <c r="G2073" s="9">
        <f t="shared" si="208"/>
        <v>45516</v>
      </c>
      <c r="H2073" s="11">
        <f t="shared" si="209"/>
        <v>2.9</v>
      </c>
      <c r="I2073" s="10">
        <f t="shared" si="210"/>
        <v>5.6999999999999993</v>
      </c>
      <c r="J2073" s="10">
        <f t="shared" si="211"/>
        <v>7.2</v>
      </c>
      <c r="K2073" s="10">
        <f t="shared" si="213"/>
        <v>5.6999999999999993</v>
      </c>
      <c r="L2073" s="10">
        <f t="shared" si="212"/>
        <v>56.8</v>
      </c>
    </row>
    <row r="2074" spans="1:12" x14ac:dyDescent="0.25">
      <c r="A2074" s="7">
        <v>45516</v>
      </c>
      <c r="B2074" t="s">
        <v>6</v>
      </c>
      <c r="C2074" s="6" t="s">
        <v>416</v>
      </c>
      <c r="D2074" s="5" t="s">
        <v>58</v>
      </c>
      <c r="E2074" s="1">
        <v>0.60416666666666663</v>
      </c>
      <c r="F2074" s="1">
        <v>0.65208333333333335</v>
      </c>
      <c r="G2074" s="9">
        <f t="shared" si="208"/>
        <v>45516</v>
      </c>
      <c r="H2074" s="11">
        <f t="shared" si="209"/>
        <v>1.2</v>
      </c>
      <c r="I2074" s="10">
        <f t="shared" si="210"/>
        <v>6.9</v>
      </c>
      <c r="J2074" s="10">
        <f t="shared" si="211"/>
        <v>7.2</v>
      </c>
      <c r="K2074" s="10">
        <f t="shared" si="213"/>
        <v>6.9</v>
      </c>
      <c r="L2074" s="10">
        <f t="shared" si="212"/>
        <v>58</v>
      </c>
    </row>
    <row r="2075" spans="1:12" x14ac:dyDescent="0.25">
      <c r="A2075" s="7">
        <v>45517</v>
      </c>
      <c r="B2075" s="2" t="s">
        <v>838</v>
      </c>
      <c r="C2075" s="6">
        <v>6185</v>
      </c>
      <c r="D2075" s="1" t="s">
        <v>663</v>
      </c>
      <c r="E2075" s="1">
        <v>0.34236111111111112</v>
      </c>
      <c r="F2075" s="1">
        <v>0.48402777777777778</v>
      </c>
      <c r="G2075" s="9">
        <f t="shared" si="208"/>
        <v>45516</v>
      </c>
      <c r="H2075" s="11">
        <f t="shared" si="209"/>
        <v>3.4</v>
      </c>
      <c r="I2075" s="10">
        <f t="shared" si="210"/>
        <v>3.4</v>
      </c>
      <c r="J2075" s="10">
        <f t="shared" si="211"/>
        <v>7.2</v>
      </c>
      <c r="K2075" s="10">
        <f t="shared" si="213"/>
        <v>10.3</v>
      </c>
      <c r="L2075" s="10">
        <f t="shared" si="212"/>
        <v>61.4</v>
      </c>
    </row>
    <row r="2076" spans="1:12" x14ac:dyDescent="0.25">
      <c r="A2076" s="7">
        <v>45517</v>
      </c>
      <c r="B2076" s="2" t="s">
        <v>838</v>
      </c>
      <c r="C2076" s="6">
        <v>6185</v>
      </c>
      <c r="D2076" s="1" t="s">
        <v>663</v>
      </c>
      <c r="E2076" s="1">
        <v>0.50138888888888888</v>
      </c>
      <c r="F2076" s="1">
        <v>0.65833333333333333</v>
      </c>
      <c r="G2076" s="9">
        <f t="shared" si="208"/>
        <v>45516</v>
      </c>
      <c r="H2076" s="11">
        <f t="shared" si="209"/>
        <v>3.8</v>
      </c>
      <c r="I2076" s="10">
        <f t="shared" si="210"/>
        <v>7.1999999999999993</v>
      </c>
      <c r="J2076" s="10">
        <f t="shared" si="211"/>
        <v>7.2</v>
      </c>
      <c r="K2076" s="10">
        <f t="shared" si="213"/>
        <v>14.100000000000001</v>
      </c>
      <c r="L2076" s="10">
        <f t="shared" si="212"/>
        <v>65.2</v>
      </c>
    </row>
    <row r="2077" spans="1:12" x14ac:dyDescent="0.25">
      <c r="A2077" s="7">
        <v>45518</v>
      </c>
      <c r="B2077" s="2" t="s">
        <v>667</v>
      </c>
      <c r="C2077" s="6">
        <v>2651</v>
      </c>
      <c r="D2077" s="5" t="s">
        <v>666</v>
      </c>
      <c r="E2077" s="1">
        <v>0.33888888888888891</v>
      </c>
      <c r="F2077" s="1">
        <v>0.44444444444444442</v>
      </c>
      <c r="G2077" s="9">
        <f t="shared" si="208"/>
        <v>45516</v>
      </c>
      <c r="H2077" s="11">
        <f t="shared" si="209"/>
        <v>2.5</v>
      </c>
      <c r="I2077" s="10">
        <f t="shared" si="210"/>
        <v>2.5</v>
      </c>
      <c r="J2077" s="10">
        <f t="shared" si="211"/>
        <v>7.2</v>
      </c>
      <c r="K2077" s="10">
        <f t="shared" si="213"/>
        <v>16.600000000000001</v>
      </c>
      <c r="L2077" s="10">
        <f t="shared" si="212"/>
        <v>67.7</v>
      </c>
    </row>
    <row r="2078" spans="1:12" x14ac:dyDescent="0.25">
      <c r="A2078" s="7">
        <v>45518</v>
      </c>
      <c r="B2078" s="2" t="s">
        <v>838</v>
      </c>
      <c r="C2078" s="6">
        <v>6185</v>
      </c>
      <c r="D2078" s="5" t="s">
        <v>668</v>
      </c>
      <c r="E2078" s="1">
        <v>0.44444444444444442</v>
      </c>
      <c r="F2078" s="1">
        <v>0.4777777777777778</v>
      </c>
      <c r="G2078" s="9">
        <f t="shared" si="208"/>
        <v>45516</v>
      </c>
      <c r="H2078" s="11">
        <f t="shared" si="209"/>
        <v>0.8</v>
      </c>
      <c r="I2078" s="10">
        <f t="shared" si="210"/>
        <v>3.3</v>
      </c>
      <c r="J2078" s="10">
        <f t="shared" si="211"/>
        <v>7.2</v>
      </c>
      <c r="K2078" s="10">
        <f t="shared" si="213"/>
        <v>17.400000000000002</v>
      </c>
      <c r="L2078" s="10">
        <f t="shared" si="212"/>
        <v>68.5</v>
      </c>
    </row>
    <row r="2079" spans="1:12" x14ac:dyDescent="0.25">
      <c r="A2079" s="7">
        <v>45518</v>
      </c>
      <c r="B2079" s="2" t="s">
        <v>838</v>
      </c>
      <c r="C2079" s="6">
        <v>6185</v>
      </c>
      <c r="D2079" s="5" t="s">
        <v>668</v>
      </c>
      <c r="E2079" s="1">
        <v>0.48680555555555555</v>
      </c>
      <c r="F2079" s="1">
        <v>0.52083333333333337</v>
      </c>
      <c r="G2079" s="9">
        <f t="shared" si="208"/>
        <v>45516</v>
      </c>
      <c r="H2079" s="11">
        <f t="shared" si="209"/>
        <v>0.8</v>
      </c>
      <c r="I2079" s="10">
        <f t="shared" si="210"/>
        <v>4.0999999999999996</v>
      </c>
      <c r="J2079" s="10">
        <f t="shared" si="211"/>
        <v>7.2</v>
      </c>
      <c r="K2079" s="10">
        <f t="shared" si="213"/>
        <v>18.2</v>
      </c>
      <c r="L2079" s="10">
        <f t="shared" si="212"/>
        <v>69.3</v>
      </c>
    </row>
    <row r="2080" spans="1:12" x14ac:dyDescent="0.25">
      <c r="A2080" s="7">
        <v>45518</v>
      </c>
      <c r="B2080" s="2" t="s">
        <v>464</v>
      </c>
      <c r="C2080" s="6">
        <v>2431</v>
      </c>
      <c r="D2080" s="5" t="s">
        <v>669</v>
      </c>
      <c r="E2080" s="1">
        <v>0.52083333333333337</v>
      </c>
      <c r="F2080" s="1">
        <v>0.53541666666666665</v>
      </c>
      <c r="G2080" s="9">
        <f t="shared" si="208"/>
        <v>45516</v>
      </c>
      <c r="H2080" s="11">
        <f t="shared" si="209"/>
        <v>0.3</v>
      </c>
      <c r="I2080" s="10">
        <f t="shared" si="210"/>
        <v>4.3999999999999995</v>
      </c>
      <c r="J2080" s="10">
        <f t="shared" si="211"/>
        <v>7.2</v>
      </c>
      <c r="K2080" s="10">
        <f t="shared" si="213"/>
        <v>18.5</v>
      </c>
      <c r="L2080" s="10">
        <f t="shared" si="212"/>
        <v>69.599999999999994</v>
      </c>
    </row>
    <row r="2081" spans="1:12" x14ac:dyDescent="0.25">
      <c r="A2081" s="7">
        <v>45518</v>
      </c>
      <c r="B2081" s="2" t="s">
        <v>838</v>
      </c>
      <c r="C2081" s="6">
        <v>6185</v>
      </c>
      <c r="D2081" s="1" t="s">
        <v>663</v>
      </c>
      <c r="E2081" s="1">
        <v>0.53541666666666665</v>
      </c>
      <c r="F2081" s="1">
        <v>0.64236111111111116</v>
      </c>
      <c r="G2081" s="9">
        <f t="shared" si="208"/>
        <v>45516</v>
      </c>
      <c r="H2081" s="11">
        <f t="shared" si="209"/>
        <v>2.6</v>
      </c>
      <c r="I2081" s="10">
        <f t="shared" si="210"/>
        <v>7</v>
      </c>
      <c r="J2081" s="10">
        <f t="shared" si="211"/>
        <v>7.2</v>
      </c>
      <c r="K2081" s="10">
        <f t="shared" si="213"/>
        <v>21.1</v>
      </c>
      <c r="L2081" s="10">
        <f t="shared" si="212"/>
        <v>72.199999999999989</v>
      </c>
    </row>
    <row r="2082" spans="1:12" x14ac:dyDescent="0.25">
      <c r="A2082" s="7">
        <v>45519</v>
      </c>
      <c r="B2082" s="2" t="s">
        <v>838</v>
      </c>
      <c r="C2082" s="6">
        <v>6185</v>
      </c>
      <c r="D2082" s="1" t="s">
        <v>663</v>
      </c>
      <c r="E2082" s="1">
        <v>0.3527777777777778</v>
      </c>
      <c r="F2082" s="1">
        <v>0.48541666666666666</v>
      </c>
      <c r="G2082" s="9">
        <f t="shared" si="208"/>
        <v>45516</v>
      </c>
      <c r="H2082" s="11">
        <f t="shared" si="209"/>
        <v>3.2</v>
      </c>
      <c r="I2082" s="10">
        <f t="shared" si="210"/>
        <v>3.2</v>
      </c>
      <c r="J2082" s="10">
        <f t="shared" si="211"/>
        <v>7.2</v>
      </c>
      <c r="K2082" s="10">
        <f t="shared" si="213"/>
        <v>24.3</v>
      </c>
      <c r="L2082" s="10">
        <f t="shared" si="212"/>
        <v>75.400000000000006</v>
      </c>
    </row>
    <row r="2083" spans="1:12" x14ac:dyDescent="0.25">
      <c r="A2083" s="7">
        <v>45519</v>
      </c>
      <c r="B2083" s="2" t="s">
        <v>838</v>
      </c>
      <c r="C2083" s="6">
        <v>6185</v>
      </c>
      <c r="D2083" s="1" t="s">
        <v>663</v>
      </c>
      <c r="E2083" s="1">
        <v>0.50972222222222219</v>
      </c>
      <c r="F2083" s="1">
        <v>0.625</v>
      </c>
      <c r="G2083" s="9">
        <f t="shared" si="208"/>
        <v>45516</v>
      </c>
      <c r="H2083" s="11">
        <f t="shared" si="209"/>
        <v>2.8</v>
      </c>
      <c r="I2083" s="10">
        <f t="shared" si="210"/>
        <v>6</v>
      </c>
      <c r="J2083" s="10">
        <f t="shared" si="211"/>
        <v>7.2</v>
      </c>
      <c r="K2083" s="10">
        <f t="shared" si="213"/>
        <v>27.1</v>
      </c>
      <c r="L2083" s="10">
        <f t="shared" si="212"/>
        <v>78.2</v>
      </c>
    </row>
    <row r="2084" spans="1:12" x14ac:dyDescent="0.25">
      <c r="A2084" s="7">
        <v>45519</v>
      </c>
      <c r="B2084" s="2" t="s">
        <v>464</v>
      </c>
      <c r="C2084" s="6">
        <v>2431</v>
      </c>
      <c r="D2084" s="5" t="s">
        <v>600</v>
      </c>
      <c r="E2084" s="1">
        <v>0.625</v>
      </c>
      <c r="F2084" s="1">
        <v>0.6743055555555556</v>
      </c>
      <c r="G2084" s="9">
        <f t="shared" si="208"/>
        <v>45516</v>
      </c>
      <c r="H2084" s="11">
        <f t="shared" si="209"/>
        <v>1.2</v>
      </c>
      <c r="I2084" s="10">
        <f t="shared" si="210"/>
        <v>7.2</v>
      </c>
      <c r="J2084" s="10">
        <f t="shared" si="211"/>
        <v>7.2</v>
      </c>
      <c r="K2084" s="10">
        <f t="shared" si="213"/>
        <v>28.3</v>
      </c>
      <c r="L2084" s="10">
        <f t="shared" si="212"/>
        <v>79.400000000000006</v>
      </c>
    </row>
    <row r="2085" spans="1:12" x14ac:dyDescent="0.25">
      <c r="A2085" s="7">
        <v>45520</v>
      </c>
      <c r="B2085" s="2" t="s">
        <v>464</v>
      </c>
      <c r="C2085" s="6">
        <v>2431</v>
      </c>
      <c r="D2085" s="5" t="s">
        <v>670</v>
      </c>
      <c r="E2085" s="1">
        <v>0.32569444444444445</v>
      </c>
      <c r="F2085" s="1">
        <v>0.43194444444444446</v>
      </c>
      <c r="G2085" s="9">
        <f t="shared" si="208"/>
        <v>45516</v>
      </c>
      <c r="H2085" s="11">
        <f t="shared" si="209"/>
        <v>2.6</v>
      </c>
      <c r="I2085" s="10">
        <f t="shared" si="210"/>
        <v>2.6</v>
      </c>
      <c r="J2085" s="10">
        <f t="shared" si="211"/>
        <v>7.2</v>
      </c>
      <c r="K2085" s="10">
        <f t="shared" si="213"/>
        <v>30.900000000000002</v>
      </c>
      <c r="L2085" s="10">
        <f t="shared" si="212"/>
        <v>82</v>
      </c>
    </row>
    <row r="2086" spans="1:12" x14ac:dyDescent="0.25">
      <c r="A2086" s="7">
        <v>45520</v>
      </c>
      <c r="B2086" t="s">
        <v>6</v>
      </c>
      <c r="C2086" s="6" t="s">
        <v>416</v>
      </c>
      <c r="D2086" s="5" t="s">
        <v>330</v>
      </c>
      <c r="E2086" s="1">
        <v>0.43194444444444446</v>
      </c>
      <c r="F2086" s="1">
        <v>0.45208333333333334</v>
      </c>
      <c r="G2086" s="9">
        <f t="shared" si="208"/>
        <v>45516</v>
      </c>
      <c r="H2086" s="11">
        <f t="shared" si="209"/>
        <v>0.5</v>
      </c>
      <c r="I2086" s="10">
        <f t="shared" si="210"/>
        <v>3.1</v>
      </c>
      <c r="J2086" s="10">
        <f t="shared" si="211"/>
        <v>7.2</v>
      </c>
      <c r="K2086" s="10">
        <f t="shared" si="213"/>
        <v>31.4</v>
      </c>
      <c r="L2086" s="10">
        <f t="shared" si="212"/>
        <v>82.5</v>
      </c>
    </row>
    <row r="2087" spans="1:12" x14ac:dyDescent="0.25">
      <c r="A2087" s="7">
        <v>45520</v>
      </c>
      <c r="B2087" s="2" t="s">
        <v>464</v>
      </c>
      <c r="C2087" s="6">
        <v>2431</v>
      </c>
      <c r="D2087" s="5" t="s">
        <v>671</v>
      </c>
      <c r="E2087" s="1">
        <v>0.45208333333333334</v>
      </c>
      <c r="F2087" s="1">
        <v>0.4777777777777778</v>
      </c>
      <c r="G2087" s="9">
        <f t="shared" si="208"/>
        <v>45516</v>
      </c>
      <c r="H2087" s="11">
        <f t="shared" si="209"/>
        <v>0.6</v>
      </c>
      <c r="I2087" s="10">
        <f t="shared" si="210"/>
        <v>3.7</v>
      </c>
      <c r="J2087" s="10">
        <f t="shared" si="211"/>
        <v>7.2</v>
      </c>
      <c r="K2087" s="10">
        <f t="shared" si="213"/>
        <v>32</v>
      </c>
      <c r="L2087" s="10">
        <f t="shared" si="212"/>
        <v>83.1</v>
      </c>
    </row>
    <row r="2088" spans="1:12" x14ac:dyDescent="0.25">
      <c r="A2088" s="7">
        <v>45520</v>
      </c>
      <c r="B2088" s="2" t="s">
        <v>464</v>
      </c>
      <c r="C2088" s="6">
        <v>2431</v>
      </c>
      <c r="D2088" s="5" t="s">
        <v>671</v>
      </c>
      <c r="E2088" s="1">
        <v>0.49236111111111114</v>
      </c>
      <c r="F2088" s="1">
        <v>0.58611111111111114</v>
      </c>
      <c r="G2088" s="9">
        <f t="shared" si="208"/>
        <v>45516</v>
      </c>
      <c r="H2088" s="11">
        <f t="shared" si="209"/>
        <v>2.2999999999999998</v>
      </c>
      <c r="I2088" s="10">
        <f t="shared" si="210"/>
        <v>6</v>
      </c>
      <c r="J2088" s="10">
        <f t="shared" si="211"/>
        <v>7.2</v>
      </c>
      <c r="K2088" s="10">
        <f t="shared" si="213"/>
        <v>34.299999999999997</v>
      </c>
      <c r="L2088" s="10">
        <f t="shared" si="212"/>
        <v>85.399999999999991</v>
      </c>
    </row>
    <row r="2089" spans="1:12" x14ac:dyDescent="0.25">
      <c r="A2089" s="7">
        <v>45520</v>
      </c>
      <c r="B2089" s="2" t="s">
        <v>464</v>
      </c>
      <c r="C2089" s="6">
        <v>2431</v>
      </c>
      <c r="D2089" s="5" t="s">
        <v>671</v>
      </c>
      <c r="E2089" s="1">
        <v>0.65138888888888891</v>
      </c>
      <c r="F2089" s="1">
        <v>0.72569444444444442</v>
      </c>
      <c r="G2089" s="9">
        <f t="shared" si="208"/>
        <v>45516</v>
      </c>
      <c r="H2089" s="11">
        <f t="shared" si="209"/>
        <v>1.8</v>
      </c>
      <c r="I2089" s="10">
        <f t="shared" si="210"/>
        <v>7.8</v>
      </c>
      <c r="J2089" s="10">
        <f t="shared" si="211"/>
        <v>7.2</v>
      </c>
      <c r="K2089" s="10">
        <f t="shared" si="213"/>
        <v>36.099999999999994</v>
      </c>
      <c r="L2089" s="10">
        <f t="shared" si="212"/>
        <v>87.2</v>
      </c>
    </row>
    <row r="2090" spans="1:12" x14ac:dyDescent="0.25">
      <c r="A2090" s="7">
        <v>45523</v>
      </c>
      <c r="B2090" s="2" t="s">
        <v>838</v>
      </c>
      <c r="C2090" s="6">
        <v>6185</v>
      </c>
      <c r="D2090" s="1" t="s">
        <v>663</v>
      </c>
      <c r="E2090" s="1">
        <v>0.33263888888888887</v>
      </c>
      <c r="F2090" s="1">
        <v>0.43819444444444444</v>
      </c>
      <c r="G2090" s="9">
        <f t="shared" si="208"/>
        <v>45523</v>
      </c>
      <c r="H2090" s="11">
        <f t="shared" si="209"/>
        <v>2.5</v>
      </c>
      <c r="I2090" s="10">
        <f t="shared" si="210"/>
        <v>2.5</v>
      </c>
      <c r="J2090" s="10">
        <f t="shared" si="211"/>
        <v>7.2</v>
      </c>
      <c r="K2090" s="10">
        <f t="shared" si="213"/>
        <v>2.5</v>
      </c>
      <c r="L2090" s="10">
        <f t="shared" si="212"/>
        <v>89.7</v>
      </c>
    </row>
    <row r="2091" spans="1:12" x14ac:dyDescent="0.25">
      <c r="A2091" s="7">
        <v>45523</v>
      </c>
      <c r="B2091" s="2" t="s">
        <v>464</v>
      </c>
      <c r="C2091" s="6">
        <v>2431</v>
      </c>
      <c r="D2091" s="5" t="s">
        <v>671</v>
      </c>
      <c r="E2091" s="1">
        <v>0.43819444444444444</v>
      </c>
      <c r="F2091" s="1">
        <v>0.46250000000000002</v>
      </c>
      <c r="G2091" s="9">
        <f t="shared" si="208"/>
        <v>45523</v>
      </c>
      <c r="H2091" s="11">
        <f t="shared" si="209"/>
        <v>0.6</v>
      </c>
      <c r="I2091" s="10">
        <f t="shared" si="210"/>
        <v>3.1</v>
      </c>
      <c r="J2091" s="10">
        <f t="shared" si="211"/>
        <v>7.2</v>
      </c>
      <c r="K2091" s="10">
        <f t="shared" si="213"/>
        <v>3.1</v>
      </c>
      <c r="L2091" s="10">
        <f t="shared" si="212"/>
        <v>90.3</v>
      </c>
    </row>
    <row r="2092" spans="1:12" x14ac:dyDescent="0.25">
      <c r="A2092" s="7">
        <v>45523</v>
      </c>
      <c r="B2092" s="2" t="s">
        <v>579</v>
      </c>
      <c r="C2092" s="6">
        <v>2682</v>
      </c>
      <c r="D2092" s="5" t="s">
        <v>672</v>
      </c>
      <c r="E2092" s="1">
        <v>0.46250000000000002</v>
      </c>
      <c r="F2092" s="1">
        <v>0.47847222222222224</v>
      </c>
      <c r="G2092" s="9">
        <f t="shared" si="208"/>
        <v>45523</v>
      </c>
      <c r="H2092" s="11">
        <f t="shared" si="209"/>
        <v>0.4</v>
      </c>
      <c r="I2092" s="10">
        <f t="shared" si="210"/>
        <v>3.5</v>
      </c>
      <c r="J2092" s="10">
        <f t="shared" si="211"/>
        <v>7.2</v>
      </c>
      <c r="K2092" s="10">
        <f t="shared" si="213"/>
        <v>3.5</v>
      </c>
      <c r="L2092" s="10">
        <f t="shared" si="212"/>
        <v>90.7</v>
      </c>
    </row>
    <row r="2093" spans="1:12" x14ac:dyDescent="0.25">
      <c r="A2093" s="7">
        <v>45523</v>
      </c>
      <c r="B2093" s="2" t="s">
        <v>579</v>
      </c>
      <c r="C2093" s="6">
        <v>2682</v>
      </c>
      <c r="D2093" s="5" t="s">
        <v>672</v>
      </c>
      <c r="E2093" s="1">
        <v>0.49375000000000002</v>
      </c>
      <c r="F2093" s="1">
        <v>0.65763888888888888</v>
      </c>
      <c r="G2093" s="9">
        <f t="shared" ref="G2093:G2156" si="214">IF(E2093&gt;0,INT((A2093-2)/7)*7+2,"")</f>
        <v>45523</v>
      </c>
      <c r="H2093" s="11">
        <f t="shared" ref="H2093:H2156" si="215">IF(E2093&gt;0,ROUND(24*(IF(F2093&gt;0,F2093,NowTime)-E2093),1),"")</f>
        <v>3.9</v>
      </c>
      <c r="I2093" s="10">
        <f t="shared" ref="I2093:I2156" si="216">IF(H2093="",H2093,H2093+IF(A2093=A2092,_xlfn.NUMBERVALUE(I2092),0))</f>
        <v>7.4</v>
      </c>
      <c r="J2093" s="10">
        <f t="shared" ref="J2093:J2156" si="217">IF(H2093="",H2093,7.2)</f>
        <v>7.2</v>
      </c>
      <c r="K2093" s="10">
        <f t="shared" si="213"/>
        <v>7.4</v>
      </c>
      <c r="L2093" s="10">
        <f t="shared" ref="L2093:L2156" si="218">IF(H2093="",H2093,H2093+IF(MONTH(A2093)=MONTH(A2092),_xlfn.NUMBERVALUE(L2092),0))</f>
        <v>94.600000000000009</v>
      </c>
    </row>
    <row r="2094" spans="1:12" x14ac:dyDescent="0.25">
      <c r="A2094" s="7">
        <v>45524</v>
      </c>
      <c r="B2094" s="2" t="s">
        <v>579</v>
      </c>
      <c r="C2094" s="6">
        <v>2682</v>
      </c>
      <c r="D2094" s="5" t="s">
        <v>672</v>
      </c>
      <c r="E2094" s="1">
        <v>0.3263888888888889</v>
      </c>
      <c r="F2094" s="1">
        <v>0.4777777777777778</v>
      </c>
      <c r="G2094" s="9">
        <f t="shared" si="214"/>
        <v>45523</v>
      </c>
      <c r="H2094" s="11">
        <f t="shared" si="215"/>
        <v>3.6</v>
      </c>
      <c r="I2094" s="10">
        <f t="shared" si="216"/>
        <v>3.6</v>
      </c>
      <c r="J2094" s="10">
        <f t="shared" si="217"/>
        <v>7.2</v>
      </c>
      <c r="K2094" s="10">
        <f t="shared" si="213"/>
        <v>11</v>
      </c>
      <c r="L2094" s="10">
        <f t="shared" si="218"/>
        <v>98.199999999999989</v>
      </c>
    </row>
    <row r="2095" spans="1:12" x14ac:dyDescent="0.25">
      <c r="A2095" s="7">
        <v>45524</v>
      </c>
      <c r="B2095" s="2" t="s">
        <v>579</v>
      </c>
      <c r="C2095" s="6">
        <v>2682</v>
      </c>
      <c r="D2095" s="5" t="s">
        <v>672</v>
      </c>
      <c r="E2095" s="1">
        <v>0.49583333333333335</v>
      </c>
      <c r="F2095" s="1">
        <v>0.5625</v>
      </c>
      <c r="G2095" s="9">
        <f t="shared" si="214"/>
        <v>45523</v>
      </c>
      <c r="H2095" s="11">
        <f t="shared" si="215"/>
        <v>1.6</v>
      </c>
      <c r="I2095" s="10">
        <f t="shared" si="216"/>
        <v>5.2</v>
      </c>
      <c r="J2095" s="10">
        <f t="shared" si="217"/>
        <v>7.2</v>
      </c>
      <c r="K2095" s="10">
        <f t="shared" si="213"/>
        <v>12.6</v>
      </c>
      <c r="L2095" s="10">
        <f t="shared" si="218"/>
        <v>99.8</v>
      </c>
    </row>
    <row r="2096" spans="1:12" x14ac:dyDescent="0.25">
      <c r="A2096" s="7">
        <v>45524</v>
      </c>
      <c r="B2096" s="2" t="s">
        <v>588</v>
      </c>
      <c r="C2096" s="6">
        <v>2473</v>
      </c>
      <c r="D2096" s="5" t="s">
        <v>44</v>
      </c>
      <c r="E2096" s="1">
        <v>0.5625</v>
      </c>
      <c r="F2096" s="1">
        <v>0.6</v>
      </c>
      <c r="G2096" s="9">
        <f t="shared" si="214"/>
        <v>45523</v>
      </c>
      <c r="H2096" s="11">
        <f t="shared" si="215"/>
        <v>0.9</v>
      </c>
      <c r="I2096" s="10">
        <f t="shared" si="216"/>
        <v>6.1000000000000005</v>
      </c>
      <c r="J2096" s="10">
        <f t="shared" si="217"/>
        <v>7.2</v>
      </c>
      <c r="K2096" s="10">
        <f t="shared" si="213"/>
        <v>13.5</v>
      </c>
      <c r="L2096" s="10">
        <f t="shared" si="218"/>
        <v>100.7</v>
      </c>
    </row>
    <row r="2097" spans="1:12" x14ac:dyDescent="0.25">
      <c r="A2097" s="7">
        <v>45524</v>
      </c>
      <c r="B2097" s="2" t="s">
        <v>579</v>
      </c>
      <c r="C2097" s="6">
        <v>2682</v>
      </c>
      <c r="D2097" s="5" t="s">
        <v>672</v>
      </c>
      <c r="E2097" s="1">
        <v>0.6</v>
      </c>
      <c r="F2097" s="1">
        <v>0.64930555555555558</v>
      </c>
      <c r="G2097" s="9">
        <f t="shared" si="214"/>
        <v>45523</v>
      </c>
      <c r="H2097" s="11">
        <f t="shared" si="215"/>
        <v>1.2</v>
      </c>
      <c r="I2097" s="10">
        <f t="shared" si="216"/>
        <v>7.3</v>
      </c>
      <c r="J2097" s="10">
        <f t="shared" si="217"/>
        <v>7.2</v>
      </c>
      <c r="K2097" s="10">
        <f t="shared" si="213"/>
        <v>14.7</v>
      </c>
      <c r="L2097" s="10">
        <f t="shared" si="218"/>
        <v>101.9</v>
      </c>
    </row>
    <row r="2098" spans="1:12" x14ac:dyDescent="0.25">
      <c r="A2098" s="7">
        <v>45525</v>
      </c>
      <c r="B2098" s="2" t="s">
        <v>579</v>
      </c>
      <c r="C2098" s="6">
        <v>2682</v>
      </c>
      <c r="D2098" s="5" t="s">
        <v>672</v>
      </c>
      <c r="E2098" s="1">
        <v>0.33750000000000002</v>
      </c>
      <c r="F2098" s="1">
        <v>0.50624999999999998</v>
      </c>
      <c r="G2098" s="9">
        <f t="shared" si="214"/>
        <v>45523</v>
      </c>
      <c r="H2098" s="11">
        <f t="shared" si="215"/>
        <v>4.0999999999999996</v>
      </c>
      <c r="I2098" s="10">
        <f t="shared" si="216"/>
        <v>4.0999999999999996</v>
      </c>
      <c r="J2098" s="10">
        <f t="shared" si="217"/>
        <v>7.2</v>
      </c>
      <c r="K2098" s="10">
        <f t="shared" si="213"/>
        <v>18.799999999999997</v>
      </c>
      <c r="L2098" s="10">
        <f t="shared" si="218"/>
        <v>106</v>
      </c>
    </row>
    <row r="2099" spans="1:12" x14ac:dyDescent="0.25">
      <c r="A2099" s="7">
        <v>45525</v>
      </c>
      <c r="B2099" s="2" t="s">
        <v>579</v>
      </c>
      <c r="C2099" s="6">
        <v>2682</v>
      </c>
      <c r="D2099" s="5" t="s">
        <v>672</v>
      </c>
      <c r="E2099" s="1">
        <v>0.53680555555555554</v>
      </c>
      <c r="F2099" s="1">
        <v>0.65347222222222223</v>
      </c>
      <c r="G2099" s="9">
        <f t="shared" si="214"/>
        <v>45523</v>
      </c>
      <c r="H2099" s="11">
        <f t="shared" si="215"/>
        <v>2.8</v>
      </c>
      <c r="I2099" s="10">
        <f t="shared" si="216"/>
        <v>6.8999999999999995</v>
      </c>
      <c r="J2099" s="10">
        <f t="shared" si="217"/>
        <v>7.2</v>
      </c>
      <c r="K2099" s="10">
        <f t="shared" si="213"/>
        <v>21.6</v>
      </c>
      <c r="L2099" s="10">
        <f t="shared" si="218"/>
        <v>108.8</v>
      </c>
    </row>
    <row r="2100" spans="1:12" x14ac:dyDescent="0.25">
      <c r="A2100" s="7">
        <v>45526</v>
      </c>
      <c r="B2100" s="2" t="s">
        <v>579</v>
      </c>
      <c r="C2100" s="6">
        <v>2682</v>
      </c>
      <c r="D2100" s="5" t="s">
        <v>673</v>
      </c>
      <c r="E2100" s="1">
        <v>0.32500000000000001</v>
      </c>
      <c r="F2100" s="1">
        <v>0.5</v>
      </c>
      <c r="G2100" s="9">
        <f t="shared" si="214"/>
        <v>45523</v>
      </c>
      <c r="H2100" s="11">
        <f t="shared" si="215"/>
        <v>4.2</v>
      </c>
      <c r="I2100" s="10">
        <f t="shared" si="216"/>
        <v>4.2</v>
      </c>
      <c r="J2100" s="10">
        <f t="shared" si="217"/>
        <v>7.2</v>
      </c>
      <c r="K2100" s="10">
        <f t="shared" si="213"/>
        <v>25.8</v>
      </c>
      <c r="L2100" s="10">
        <f t="shared" si="218"/>
        <v>113</v>
      </c>
    </row>
    <row r="2101" spans="1:12" x14ac:dyDescent="0.25">
      <c r="A2101" s="7">
        <v>45526</v>
      </c>
      <c r="B2101" t="s">
        <v>6</v>
      </c>
      <c r="C2101" s="6" t="s">
        <v>416</v>
      </c>
      <c r="D2101" s="5" t="s">
        <v>103</v>
      </c>
      <c r="E2101" s="1">
        <v>0.5</v>
      </c>
      <c r="F2101" s="1">
        <v>0.5395833333333333</v>
      </c>
      <c r="G2101" s="9">
        <f t="shared" si="214"/>
        <v>45523</v>
      </c>
      <c r="H2101" s="11">
        <f t="shared" si="215"/>
        <v>0.9</v>
      </c>
      <c r="I2101" s="10">
        <f t="shared" si="216"/>
        <v>5.1000000000000005</v>
      </c>
      <c r="J2101" s="10">
        <f t="shared" si="217"/>
        <v>7.2</v>
      </c>
      <c r="K2101" s="10">
        <f t="shared" si="213"/>
        <v>26.7</v>
      </c>
      <c r="L2101" s="10">
        <f t="shared" si="218"/>
        <v>113.9</v>
      </c>
    </row>
    <row r="2102" spans="1:12" x14ac:dyDescent="0.25">
      <c r="A2102" s="7">
        <v>45526</v>
      </c>
      <c r="B2102" s="2" t="s">
        <v>579</v>
      </c>
      <c r="C2102" s="6">
        <v>2682</v>
      </c>
      <c r="D2102" s="5" t="s">
        <v>672</v>
      </c>
      <c r="E2102" s="1">
        <v>0.54861111111111116</v>
      </c>
      <c r="F2102" s="1">
        <v>0.64583333333333337</v>
      </c>
      <c r="G2102" s="9">
        <f t="shared" si="214"/>
        <v>45523</v>
      </c>
      <c r="H2102" s="11">
        <f t="shared" si="215"/>
        <v>2.2999999999999998</v>
      </c>
      <c r="I2102" s="10">
        <f t="shared" si="216"/>
        <v>7.3999999999999995</v>
      </c>
      <c r="J2102" s="10">
        <f t="shared" si="217"/>
        <v>7.2</v>
      </c>
      <c r="K2102" s="10">
        <f t="shared" si="213"/>
        <v>29</v>
      </c>
      <c r="L2102" s="10">
        <f t="shared" si="218"/>
        <v>116.2</v>
      </c>
    </row>
    <row r="2103" spans="1:12" x14ac:dyDescent="0.25">
      <c r="A2103" s="7">
        <v>45527</v>
      </c>
      <c r="B2103" s="2" t="s">
        <v>579</v>
      </c>
      <c r="C2103" s="6">
        <v>2682</v>
      </c>
      <c r="D2103" s="5" t="s">
        <v>672</v>
      </c>
      <c r="E2103" s="1">
        <v>0.33333333333333331</v>
      </c>
      <c r="F2103" s="1">
        <v>0.47083333333333333</v>
      </c>
      <c r="G2103" s="9">
        <f t="shared" si="214"/>
        <v>45523</v>
      </c>
      <c r="H2103" s="11">
        <f t="shared" si="215"/>
        <v>3.3</v>
      </c>
      <c r="I2103" s="10">
        <f t="shared" si="216"/>
        <v>3.3</v>
      </c>
      <c r="J2103" s="10">
        <f t="shared" si="217"/>
        <v>7.2</v>
      </c>
      <c r="K2103" s="10">
        <f t="shared" si="213"/>
        <v>32.299999999999997</v>
      </c>
      <c r="L2103" s="10">
        <f t="shared" si="218"/>
        <v>119.5</v>
      </c>
    </row>
    <row r="2104" spans="1:12" x14ac:dyDescent="0.25">
      <c r="A2104" s="7">
        <v>45527</v>
      </c>
      <c r="B2104" s="2" t="s">
        <v>579</v>
      </c>
      <c r="C2104" s="6">
        <v>2682</v>
      </c>
      <c r="D2104" s="5" t="s">
        <v>672</v>
      </c>
      <c r="E2104" s="1">
        <v>0.49652777777777779</v>
      </c>
      <c r="F2104" s="1">
        <v>0.63680555555555551</v>
      </c>
      <c r="G2104" s="9">
        <f t="shared" si="214"/>
        <v>45523</v>
      </c>
      <c r="H2104" s="11">
        <f t="shared" si="215"/>
        <v>3.4</v>
      </c>
      <c r="I2104" s="10">
        <f t="shared" si="216"/>
        <v>6.6999999999999993</v>
      </c>
      <c r="J2104" s="10">
        <f t="shared" si="217"/>
        <v>7.2</v>
      </c>
      <c r="K2104" s="10">
        <f t="shared" si="213"/>
        <v>35.699999999999996</v>
      </c>
      <c r="L2104" s="10">
        <f t="shared" si="218"/>
        <v>122.9</v>
      </c>
    </row>
    <row r="2105" spans="1:12" x14ac:dyDescent="0.25">
      <c r="A2105" s="7">
        <v>45530</v>
      </c>
      <c r="B2105" s="2" t="s">
        <v>579</v>
      </c>
      <c r="C2105" s="6">
        <v>2682</v>
      </c>
      <c r="D2105" s="5" t="s">
        <v>90</v>
      </c>
      <c r="E2105" s="1">
        <v>0.34236111111111112</v>
      </c>
      <c r="F2105" s="1">
        <v>0.47708333333333336</v>
      </c>
      <c r="G2105" s="9">
        <f t="shared" si="214"/>
        <v>45530</v>
      </c>
      <c r="H2105" s="11">
        <f t="shared" si="215"/>
        <v>3.2</v>
      </c>
      <c r="I2105" s="10">
        <f t="shared" si="216"/>
        <v>3.2</v>
      </c>
      <c r="J2105" s="10">
        <f t="shared" si="217"/>
        <v>7.2</v>
      </c>
      <c r="K2105" s="10">
        <f t="shared" si="213"/>
        <v>3.2</v>
      </c>
      <c r="L2105" s="10">
        <f t="shared" si="218"/>
        <v>126.10000000000001</v>
      </c>
    </row>
    <row r="2106" spans="1:12" x14ac:dyDescent="0.25">
      <c r="A2106" s="7">
        <v>45530</v>
      </c>
      <c r="B2106" s="2" t="s">
        <v>579</v>
      </c>
      <c r="C2106" s="6">
        <v>2682</v>
      </c>
      <c r="D2106" s="5" t="s">
        <v>90</v>
      </c>
      <c r="E2106" s="1">
        <v>0.48680555555555555</v>
      </c>
      <c r="F2106" s="1">
        <v>0.63055555555555554</v>
      </c>
      <c r="G2106" s="9">
        <f t="shared" si="214"/>
        <v>45530</v>
      </c>
      <c r="H2106" s="11">
        <f t="shared" si="215"/>
        <v>3.5</v>
      </c>
      <c r="I2106" s="10">
        <f t="shared" si="216"/>
        <v>6.7</v>
      </c>
      <c r="J2106" s="10">
        <f t="shared" si="217"/>
        <v>7.2</v>
      </c>
      <c r="K2106" s="10">
        <f t="shared" si="213"/>
        <v>6.7</v>
      </c>
      <c r="L2106" s="10">
        <f t="shared" si="218"/>
        <v>129.6</v>
      </c>
    </row>
    <row r="2107" spans="1:12" x14ac:dyDescent="0.25">
      <c r="A2107" s="7">
        <v>45531</v>
      </c>
      <c r="B2107" s="2" t="s">
        <v>579</v>
      </c>
      <c r="C2107" s="6">
        <v>2682</v>
      </c>
      <c r="D2107" s="5" t="s">
        <v>90</v>
      </c>
      <c r="E2107" s="1">
        <v>0.31944444444444442</v>
      </c>
      <c r="F2107" s="1">
        <v>0.54166666666666663</v>
      </c>
      <c r="G2107" s="9">
        <f t="shared" si="214"/>
        <v>45530</v>
      </c>
      <c r="H2107" s="11">
        <f t="shared" si="215"/>
        <v>5.3</v>
      </c>
      <c r="I2107" s="10">
        <f t="shared" si="216"/>
        <v>5.3</v>
      </c>
      <c r="J2107" s="10">
        <f t="shared" si="217"/>
        <v>7.2</v>
      </c>
      <c r="K2107" s="10">
        <f t="shared" si="213"/>
        <v>12</v>
      </c>
      <c r="L2107" s="10">
        <f t="shared" si="218"/>
        <v>134.9</v>
      </c>
    </row>
    <row r="2108" spans="1:12" x14ac:dyDescent="0.25">
      <c r="A2108" s="7">
        <v>45531</v>
      </c>
      <c r="B2108" t="s">
        <v>6</v>
      </c>
      <c r="C2108" s="6" t="s">
        <v>416</v>
      </c>
      <c r="D2108" s="5" t="s">
        <v>58</v>
      </c>
      <c r="E2108" s="1">
        <v>0.54166666666666663</v>
      </c>
      <c r="F2108" s="1">
        <v>0.58402777777777781</v>
      </c>
      <c r="G2108" s="9">
        <f t="shared" si="214"/>
        <v>45530</v>
      </c>
      <c r="H2108" s="11">
        <f t="shared" si="215"/>
        <v>1</v>
      </c>
      <c r="I2108" s="10">
        <f t="shared" si="216"/>
        <v>6.3</v>
      </c>
      <c r="J2108" s="10">
        <f t="shared" si="217"/>
        <v>7.2</v>
      </c>
      <c r="K2108" s="10">
        <f t="shared" si="213"/>
        <v>13</v>
      </c>
      <c r="L2108" s="10">
        <f t="shared" si="218"/>
        <v>135.9</v>
      </c>
    </row>
    <row r="2109" spans="1:12" x14ac:dyDescent="0.25">
      <c r="A2109" s="7">
        <v>45531</v>
      </c>
      <c r="B2109" s="2" t="s">
        <v>579</v>
      </c>
      <c r="C2109" s="6">
        <v>2682</v>
      </c>
      <c r="D2109" s="5" t="s">
        <v>73</v>
      </c>
      <c r="E2109" s="1">
        <v>0.58402777777777781</v>
      </c>
      <c r="F2109" s="1">
        <v>0.70972222222222225</v>
      </c>
      <c r="G2109" s="9">
        <f t="shared" si="214"/>
        <v>45530</v>
      </c>
      <c r="H2109" s="11">
        <f t="shared" si="215"/>
        <v>3</v>
      </c>
      <c r="I2109" s="10">
        <f t="shared" si="216"/>
        <v>9.3000000000000007</v>
      </c>
      <c r="J2109" s="10">
        <f t="shared" si="217"/>
        <v>7.2</v>
      </c>
      <c r="K2109" s="10">
        <f t="shared" si="213"/>
        <v>16</v>
      </c>
      <c r="L2109" s="10">
        <f t="shared" si="218"/>
        <v>138.9</v>
      </c>
    </row>
    <row r="2110" spans="1:12" x14ac:dyDescent="0.25">
      <c r="A2110" s="7">
        <v>45532</v>
      </c>
      <c r="B2110" s="2" t="s">
        <v>579</v>
      </c>
      <c r="C2110" s="6">
        <v>2682</v>
      </c>
      <c r="D2110" s="5" t="s">
        <v>73</v>
      </c>
      <c r="E2110" s="1">
        <v>0.30763888888888891</v>
      </c>
      <c r="F2110" s="1">
        <v>0.4375</v>
      </c>
      <c r="G2110" s="9">
        <f t="shared" si="214"/>
        <v>45530</v>
      </c>
      <c r="H2110" s="11">
        <f t="shared" si="215"/>
        <v>3.1</v>
      </c>
      <c r="I2110" s="10">
        <f t="shared" si="216"/>
        <v>3.1</v>
      </c>
      <c r="J2110" s="10">
        <f t="shared" si="217"/>
        <v>7.2</v>
      </c>
      <c r="K2110" s="10">
        <f t="shared" si="213"/>
        <v>19.100000000000001</v>
      </c>
      <c r="L2110" s="10">
        <f t="shared" si="218"/>
        <v>142</v>
      </c>
    </row>
    <row r="2111" spans="1:12" x14ac:dyDescent="0.25">
      <c r="A2111" s="7">
        <v>45532</v>
      </c>
      <c r="B2111" s="2" t="s">
        <v>579</v>
      </c>
      <c r="C2111" s="6">
        <v>2682</v>
      </c>
      <c r="D2111" s="5" t="s">
        <v>44</v>
      </c>
      <c r="E2111" s="1">
        <v>0.4375</v>
      </c>
      <c r="F2111" s="1">
        <v>0.47916666666666669</v>
      </c>
      <c r="G2111" s="9">
        <f t="shared" si="214"/>
        <v>45530</v>
      </c>
      <c r="H2111" s="11">
        <f t="shared" si="215"/>
        <v>1</v>
      </c>
      <c r="I2111" s="10">
        <f t="shared" si="216"/>
        <v>4.0999999999999996</v>
      </c>
      <c r="J2111" s="10">
        <f t="shared" si="217"/>
        <v>7.2</v>
      </c>
      <c r="K2111" s="10">
        <f t="shared" si="213"/>
        <v>20.100000000000001</v>
      </c>
      <c r="L2111" s="10">
        <f t="shared" si="218"/>
        <v>143</v>
      </c>
    </row>
    <row r="2112" spans="1:12" x14ac:dyDescent="0.25">
      <c r="A2112" s="7">
        <v>45532</v>
      </c>
      <c r="B2112" s="2" t="s">
        <v>579</v>
      </c>
      <c r="C2112" s="6">
        <v>2682</v>
      </c>
      <c r="D2112" s="5" t="s">
        <v>73</v>
      </c>
      <c r="E2112" s="1">
        <v>0.47916666666666669</v>
      </c>
      <c r="F2112" s="1">
        <v>0.60972222222222228</v>
      </c>
      <c r="G2112" s="9">
        <f t="shared" si="214"/>
        <v>45530</v>
      </c>
      <c r="H2112" s="11">
        <f t="shared" si="215"/>
        <v>3.1</v>
      </c>
      <c r="I2112" s="10">
        <f t="shared" si="216"/>
        <v>7.1999999999999993</v>
      </c>
      <c r="J2112" s="10">
        <f t="shared" si="217"/>
        <v>7.2</v>
      </c>
      <c r="K2112" s="10">
        <f t="shared" si="213"/>
        <v>23.200000000000003</v>
      </c>
      <c r="L2112" s="10">
        <f t="shared" si="218"/>
        <v>146.1</v>
      </c>
    </row>
    <row r="2113" spans="1:12" x14ac:dyDescent="0.25">
      <c r="A2113" s="7">
        <v>45533</v>
      </c>
      <c r="B2113" s="2" t="s">
        <v>579</v>
      </c>
      <c r="C2113" s="6">
        <v>2682</v>
      </c>
      <c r="D2113" s="5" t="s">
        <v>73</v>
      </c>
      <c r="E2113" s="1">
        <v>0.31597222222222221</v>
      </c>
      <c r="F2113" s="1">
        <v>0.63958333333333328</v>
      </c>
      <c r="G2113" s="9">
        <f t="shared" si="214"/>
        <v>45530</v>
      </c>
      <c r="H2113" s="11">
        <f t="shared" si="215"/>
        <v>7.8</v>
      </c>
      <c r="I2113" s="10">
        <f t="shared" si="216"/>
        <v>7.8</v>
      </c>
      <c r="J2113" s="10">
        <f t="shared" si="217"/>
        <v>7.2</v>
      </c>
      <c r="K2113" s="10">
        <f t="shared" si="213"/>
        <v>31</v>
      </c>
      <c r="L2113" s="10">
        <f t="shared" si="218"/>
        <v>153.9</v>
      </c>
    </row>
    <row r="2114" spans="1:12" x14ac:dyDescent="0.25">
      <c r="A2114" s="7">
        <v>45534</v>
      </c>
      <c r="B2114" s="2" t="s">
        <v>579</v>
      </c>
      <c r="C2114" s="6">
        <v>2682</v>
      </c>
      <c r="D2114" s="5" t="s">
        <v>73</v>
      </c>
      <c r="E2114" s="1">
        <v>0.34027777777777779</v>
      </c>
      <c r="F2114" s="1">
        <v>0.60416666666666663</v>
      </c>
      <c r="G2114" s="9">
        <f t="shared" si="214"/>
        <v>45530</v>
      </c>
      <c r="H2114" s="11">
        <f t="shared" si="215"/>
        <v>6.3</v>
      </c>
      <c r="I2114" s="10">
        <f t="shared" si="216"/>
        <v>6.3</v>
      </c>
      <c r="J2114" s="10">
        <f t="shared" si="217"/>
        <v>7.2</v>
      </c>
      <c r="K2114" s="10">
        <f t="shared" si="213"/>
        <v>37.299999999999997</v>
      </c>
      <c r="L2114" s="10">
        <f t="shared" si="218"/>
        <v>160.20000000000002</v>
      </c>
    </row>
    <row r="2115" spans="1:12" x14ac:dyDescent="0.25">
      <c r="A2115" s="7">
        <v>45537</v>
      </c>
      <c r="B2115" s="2" t="s">
        <v>579</v>
      </c>
      <c r="C2115" s="6">
        <v>2682</v>
      </c>
      <c r="D2115" s="5" t="s">
        <v>73</v>
      </c>
      <c r="E2115" s="1">
        <v>0.3263888888888889</v>
      </c>
      <c r="F2115" s="1">
        <v>0.49236111111111114</v>
      </c>
      <c r="G2115" s="9">
        <f t="shared" si="214"/>
        <v>45537</v>
      </c>
      <c r="H2115" s="11">
        <f t="shared" si="215"/>
        <v>4</v>
      </c>
      <c r="I2115" s="10">
        <f t="shared" si="216"/>
        <v>4</v>
      </c>
      <c r="J2115" s="10">
        <f t="shared" si="217"/>
        <v>7.2</v>
      </c>
      <c r="K2115" s="10">
        <f t="shared" ref="K2115:K2178" si="219">IF(H2115="",H2115,H2115+IF(G2115=G2114,_xlfn.NUMBERVALUE(K2114),0))</f>
        <v>4</v>
      </c>
      <c r="L2115" s="10">
        <f t="shared" si="218"/>
        <v>4</v>
      </c>
    </row>
    <row r="2116" spans="1:12" x14ac:dyDescent="0.25">
      <c r="A2116" s="7">
        <v>45537</v>
      </c>
      <c r="B2116" s="2" t="s">
        <v>579</v>
      </c>
      <c r="C2116" s="6">
        <v>2682</v>
      </c>
      <c r="D2116" s="5" t="s">
        <v>73</v>
      </c>
      <c r="E2116" s="1">
        <v>0.50277777777777777</v>
      </c>
      <c r="F2116" s="1">
        <v>0.64583333333333337</v>
      </c>
      <c r="G2116" s="9">
        <f t="shared" si="214"/>
        <v>45537</v>
      </c>
      <c r="H2116" s="11">
        <f t="shared" si="215"/>
        <v>3.4</v>
      </c>
      <c r="I2116" s="10">
        <f t="shared" si="216"/>
        <v>7.4</v>
      </c>
      <c r="J2116" s="10">
        <f t="shared" si="217"/>
        <v>7.2</v>
      </c>
      <c r="K2116" s="10">
        <f t="shared" si="219"/>
        <v>7.4</v>
      </c>
      <c r="L2116" s="10">
        <f t="shared" si="218"/>
        <v>7.4</v>
      </c>
    </row>
    <row r="2117" spans="1:12" x14ac:dyDescent="0.25">
      <c r="A2117" s="7">
        <v>45538</v>
      </c>
      <c r="B2117" s="2" t="s">
        <v>579</v>
      </c>
      <c r="C2117" s="6">
        <v>2682</v>
      </c>
      <c r="D2117" s="5" t="s">
        <v>73</v>
      </c>
      <c r="E2117" s="1">
        <v>0.30416666666666664</v>
      </c>
      <c r="F2117" s="1">
        <v>0.48125000000000001</v>
      </c>
      <c r="G2117" s="9">
        <f t="shared" si="214"/>
        <v>45537</v>
      </c>
      <c r="H2117" s="11">
        <f t="shared" si="215"/>
        <v>4.3</v>
      </c>
      <c r="I2117" s="10">
        <f t="shared" si="216"/>
        <v>4.3</v>
      </c>
      <c r="J2117" s="10">
        <f t="shared" si="217"/>
        <v>7.2</v>
      </c>
      <c r="K2117" s="10">
        <f t="shared" si="219"/>
        <v>11.7</v>
      </c>
      <c r="L2117" s="10">
        <f t="shared" si="218"/>
        <v>11.7</v>
      </c>
    </row>
    <row r="2118" spans="1:12" x14ac:dyDescent="0.25">
      <c r="A2118" s="7">
        <v>45538</v>
      </c>
      <c r="B2118" s="2" t="s">
        <v>579</v>
      </c>
      <c r="C2118" s="6">
        <v>2682</v>
      </c>
      <c r="D2118" s="5" t="s">
        <v>73</v>
      </c>
      <c r="E2118" s="1">
        <v>0.50347222222222221</v>
      </c>
      <c r="F2118" s="1">
        <v>0.57847222222222228</v>
      </c>
      <c r="G2118" s="9">
        <f t="shared" si="214"/>
        <v>45537</v>
      </c>
      <c r="H2118" s="11">
        <f t="shared" si="215"/>
        <v>1.8</v>
      </c>
      <c r="I2118" s="10">
        <f t="shared" si="216"/>
        <v>6.1</v>
      </c>
      <c r="J2118" s="10">
        <f t="shared" si="217"/>
        <v>7.2</v>
      </c>
      <c r="K2118" s="10">
        <f t="shared" si="219"/>
        <v>13.5</v>
      </c>
      <c r="L2118" s="10">
        <f t="shared" si="218"/>
        <v>13.5</v>
      </c>
    </row>
    <row r="2119" spans="1:12" x14ac:dyDescent="0.25">
      <c r="A2119" s="7">
        <v>45538</v>
      </c>
      <c r="B2119" s="2" t="s">
        <v>579</v>
      </c>
      <c r="C2119" s="6">
        <v>2682</v>
      </c>
      <c r="D2119" s="5" t="s">
        <v>73</v>
      </c>
      <c r="E2119" s="1">
        <v>0.65555555555555556</v>
      </c>
      <c r="F2119" s="1">
        <v>0.70486111111111116</v>
      </c>
      <c r="G2119" s="9">
        <f t="shared" si="214"/>
        <v>45537</v>
      </c>
      <c r="H2119" s="11">
        <f t="shared" si="215"/>
        <v>1.2</v>
      </c>
      <c r="I2119" s="10">
        <f t="shared" si="216"/>
        <v>7.3</v>
      </c>
      <c r="J2119" s="10">
        <f t="shared" si="217"/>
        <v>7.2</v>
      </c>
      <c r="K2119" s="10">
        <f t="shared" si="219"/>
        <v>14.7</v>
      </c>
      <c r="L2119" s="10">
        <f t="shared" si="218"/>
        <v>14.7</v>
      </c>
    </row>
    <row r="2120" spans="1:12" x14ac:dyDescent="0.25">
      <c r="A2120" s="7">
        <v>45539</v>
      </c>
      <c r="B2120" s="2" t="s">
        <v>579</v>
      </c>
      <c r="C2120" s="6">
        <v>2682</v>
      </c>
      <c r="D2120" s="5" t="s">
        <v>73</v>
      </c>
      <c r="E2120" s="1">
        <v>0.31388888888888888</v>
      </c>
      <c r="F2120" s="1">
        <v>0.47916666666666669</v>
      </c>
      <c r="G2120" s="9">
        <f t="shared" si="214"/>
        <v>45537</v>
      </c>
      <c r="H2120" s="11">
        <f t="shared" si="215"/>
        <v>4</v>
      </c>
      <c r="I2120" s="10">
        <f t="shared" si="216"/>
        <v>4</v>
      </c>
      <c r="J2120" s="10">
        <f t="shared" si="217"/>
        <v>7.2</v>
      </c>
      <c r="K2120" s="10">
        <f t="shared" si="219"/>
        <v>18.7</v>
      </c>
      <c r="L2120" s="10">
        <f t="shared" si="218"/>
        <v>18.7</v>
      </c>
    </row>
    <row r="2121" spans="1:12" x14ac:dyDescent="0.25">
      <c r="A2121" s="7">
        <v>45539</v>
      </c>
      <c r="B2121" s="2" t="s">
        <v>579</v>
      </c>
      <c r="C2121" s="6">
        <v>2682</v>
      </c>
      <c r="D2121" s="5" t="s">
        <v>73</v>
      </c>
      <c r="E2121" s="1">
        <v>0.5</v>
      </c>
      <c r="F2121" s="1">
        <v>0.52361111111111114</v>
      </c>
      <c r="G2121" s="9">
        <f t="shared" si="214"/>
        <v>45537</v>
      </c>
      <c r="H2121" s="11">
        <f t="shared" si="215"/>
        <v>0.6</v>
      </c>
      <c r="I2121" s="10">
        <f t="shared" si="216"/>
        <v>4.5999999999999996</v>
      </c>
      <c r="J2121" s="10">
        <f t="shared" si="217"/>
        <v>7.2</v>
      </c>
      <c r="K2121" s="10">
        <f t="shared" si="219"/>
        <v>19.3</v>
      </c>
      <c r="L2121" s="10">
        <f t="shared" si="218"/>
        <v>19.3</v>
      </c>
    </row>
    <row r="2122" spans="1:12" x14ac:dyDescent="0.25">
      <c r="A2122" s="7">
        <v>45539</v>
      </c>
      <c r="B2122" s="2" t="s">
        <v>579</v>
      </c>
      <c r="C2122" s="6">
        <v>2682</v>
      </c>
      <c r="D2122" s="5" t="s">
        <v>90</v>
      </c>
      <c r="E2122" s="1">
        <v>0.5805555555555556</v>
      </c>
      <c r="F2122" s="1">
        <v>0.61250000000000004</v>
      </c>
      <c r="G2122" s="9">
        <f t="shared" si="214"/>
        <v>45537</v>
      </c>
      <c r="H2122" s="11">
        <f t="shared" si="215"/>
        <v>0.8</v>
      </c>
      <c r="I2122" s="10">
        <f t="shared" si="216"/>
        <v>5.3999999999999995</v>
      </c>
      <c r="J2122" s="10">
        <f t="shared" si="217"/>
        <v>7.2</v>
      </c>
      <c r="K2122" s="10">
        <f t="shared" si="219"/>
        <v>20.100000000000001</v>
      </c>
      <c r="L2122" s="10">
        <f t="shared" si="218"/>
        <v>20.100000000000001</v>
      </c>
    </row>
    <row r="2123" spans="1:12" x14ac:dyDescent="0.25">
      <c r="A2123" s="7">
        <v>45539</v>
      </c>
      <c r="B2123" s="2" t="s">
        <v>551</v>
      </c>
      <c r="C2123" s="6">
        <v>6184</v>
      </c>
      <c r="D2123" s="5" t="s">
        <v>674</v>
      </c>
      <c r="E2123" s="1">
        <v>0.61250000000000004</v>
      </c>
      <c r="F2123" s="1">
        <v>0.65</v>
      </c>
      <c r="G2123" s="9">
        <f t="shared" si="214"/>
        <v>45537</v>
      </c>
      <c r="H2123" s="11">
        <f t="shared" si="215"/>
        <v>0.9</v>
      </c>
      <c r="I2123" s="10">
        <f t="shared" si="216"/>
        <v>6.3000000000000007</v>
      </c>
      <c r="J2123" s="10">
        <f t="shared" si="217"/>
        <v>7.2</v>
      </c>
      <c r="K2123" s="10">
        <f t="shared" si="219"/>
        <v>21</v>
      </c>
      <c r="L2123" s="10">
        <f t="shared" si="218"/>
        <v>21</v>
      </c>
    </row>
    <row r="2124" spans="1:12" x14ac:dyDescent="0.25">
      <c r="A2124" s="7">
        <v>45540</v>
      </c>
      <c r="B2124" t="s">
        <v>7</v>
      </c>
      <c r="C2124" s="6" t="s">
        <v>22</v>
      </c>
      <c r="D2124" s="2" t="s">
        <v>675</v>
      </c>
      <c r="E2124" s="1">
        <v>0.40972222222222227</v>
      </c>
      <c r="F2124" s="1">
        <v>0.70833333333333337</v>
      </c>
      <c r="G2124" s="9">
        <f t="shared" si="214"/>
        <v>45537</v>
      </c>
      <c r="H2124" s="11">
        <f t="shared" si="215"/>
        <v>7.2</v>
      </c>
      <c r="I2124" s="10">
        <f t="shared" si="216"/>
        <v>7.2</v>
      </c>
      <c r="J2124" s="10">
        <f t="shared" si="217"/>
        <v>7.2</v>
      </c>
      <c r="K2124" s="10">
        <f t="shared" si="219"/>
        <v>28.2</v>
      </c>
      <c r="L2124" s="10">
        <f t="shared" si="218"/>
        <v>28.2</v>
      </c>
    </row>
    <row r="2125" spans="1:12" x14ac:dyDescent="0.25">
      <c r="A2125" s="7">
        <v>45541</v>
      </c>
      <c r="B2125" s="2" t="s">
        <v>579</v>
      </c>
      <c r="C2125" s="6">
        <v>2682</v>
      </c>
      <c r="D2125" s="5" t="s">
        <v>90</v>
      </c>
      <c r="E2125" s="1">
        <v>0.32708333333333334</v>
      </c>
      <c r="F2125" s="1">
        <v>0.46041666666666664</v>
      </c>
      <c r="G2125" s="9">
        <f t="shared" si="214"/>
        <v>45537</v>
      </c>
      <c r="H2125" s="11">
        <f t="shared" si="215"/>
        <v>3.2</v>
      </c>
      <c r="I2125" s="10">
        <f t="shared" si="216"/>
        <v>3.2</v>
      </c>
      <c r="J2125" s="10">
        <f t="shared" si="217"/>
        <v>7.2</v>
      </c>
      <c r="K2125" s="10">
        <f t="shared" si="219"/>
        <v>31.4</v>
      </c>
      <c r="L2125" s="10">
        <f t="shared" si="218"/>
        <v>31.4</v>
      </c>
    </row>
    <row r="2126" spans="1:12" x14ac:dyDescent="0.25">
      <c r="A2126" s="7">
        <v>45541</v>
      </c>
      <c r="B2126" s="2" t="s">
        <v>579</v>
      </c>
      <c r="C2126" s="6">
        <v>2682</v>
      </c>
      <c r="D2126" s="5" t="s">
        <v>90</v>
      </c>
      <c r="E2126" s="1">
        <v>0.54861111111111116</v>
      </c>
      <c r="F2126" s="1">
        <v>0.64930555555555558</v>
      </c>
      <c r="G2126" s="9">
        <f t="shared" si="214"/>
        <v>45537</v>
      </c>
      <c r="H2126" s="11">
        <f t="shared" si="215"/>
        <v>2.4</v>
      </c>
      <c r="I2126" s="10">
        <f t="shared" si="216"/>
        <v>5.6</v>
      </c>
      <c r="J2126" s="10">
        <f t="shared" si="217"/>
        <v>7.2</v>
      </c>
      <c r="K2126" s="10">
        <f t="shared" si="219"/>
        <v>33.799999999999997</v>
      </c>
      <c r="L2126" s="10">
        <f t="shared" si="218"/>
        <v>33.799999999999997</v>
      </c>
    </row>
    <row r="2127" spans="1:12" x14ac:dyDescent="0.25">
      <c r="A2127" s="7">
        <v>45544</v>
      </c>
      <c r="B2127" s="2" t="s">
        <v>579</v>
      </c>
      <c r="C2127" s="6">
        <v>2682</v>
      </c>
      <c r="D2127" s="5" t="s">
        <v>90</v>
      </c>
      <c r="E2127" s="1">
        <v>0.31597222222222221</v>
      </c>
      <c r="F2127" s="1">
        <v>0.44930555555555557</v>
      </c>
      <c r="G2127" s="9">
        <f t="shared" si="214"/>
        <v>45544</v>
      </c>
      <c r="H2127" s="11">
        <f t="shared" si="215"/>
        <v>3.2</v>
      </c>
      <c r="I2127" s="10">
        <f t="shared" si="216"/>
        <v>3.2</v>
      </c>
      <c r="J2127" s="10">
        <f t="shared" si="217"/>
        <v>7.2</v>
      </c>
      <c r="K2127" s="10">
        <f t="shared" si="219"/>
        <v>3.2</v>
      </c>
      <c r="L2127" s="10">
        <f t="shared" si="218"/>
        <v>37</v>
      </c>
    </row>
    <row r="2128" spans="1:12" x14ac:dyDescent="0.25">
      <c r="A2128" s="7">
        <v>45544</v>
      </c>
      <c r="B2128" s="2" t="s">
        <v>464</v>
      </c>
      <c r="C2128" s="6">
        <v>2431</v>
      </c>
      <c r="D2128" s="5" t="s">
        <v>676</v>
      </c>
      <c r="E2128" s="1">
        <v>0.51944444444444449</v>
      </c>
      <c r="F2128" s="1">
        <v>0.56597222222222221</v>
      </c>
      <c r="G2128" s="9">
        <f t="shared" si="214"/>
        <v>45544</v>
      </c>
      <c r="H2128" s="11">
        <f t="shared" si="215"/>
        <v>1.1000000000000001</v>
      </c>
      <c r="I2128" s="10">
        <f t="shared" si="216"/>
        <v>4.3000000000000007</v>
      </c>
      <c r="J2128" s="10">
        <f t="shared" si="217"/>
        <v>7.2</v>
      </c>
      <c r="K2128" s="10">
        <f t="shared" si="219"/>
        <v>4.3000000000000007</v>
      </c>
      <c r="L2128" s="10">
        <f t="shared" si="218"/>
        <v>38.1</v>
      </c>
    </row>
    <row r="2129" spans="1:12" x14ac:dyDescent="0.25">
      <c r="A2129" s="7">
        <v>45544</v>
      </c>
      <c r="B2129" s="2" t="s">
        <v>579</v>
      </c>
      <c r="C2129" s="6">
        <v>2682</v>
      </c>
      <c r="D2129" s="5" t="s">
        <v>90</v>
      </c>
      <c r="E2129" s="1">
        <v>0.56597222222222221</v>
      </c>
      <c r="F2129" s="1">
        <v>0.67708333333333337</v>
      </c>
      <c r="G2129" s="9">
        <f t="shared" si="214"/>
        <v>45544</v>
      </c>
      <c r="H2129" s="11">
        <f t="shared" si="215"/>
        <v>2.7</v>
      </c>
      <c r="I2129" s="10">
        <f t="shared" si="216"/>
        <v>7</v>
      </c>
      <c r="J2129" s="10">
        <f t="shared" si="217"/>
        <v>7.2</v>
      </c>
      <c r="K2129" s="10">
        <f t="shared" si="219"/>
        <v>7</v>
      </c>
      <c r="L2129" s="10">
        <f t="shared" si="218"/>
        <v>40.800000000000004</v>
      </c>
    </row>
    <row r="2130" spans="1:12" x14ac:dyDescent="0.25">
      <c r="A2130" s="7">
        <v>45545</v>
      </c>
      <c r="B2130" s="2" t="s">
        <v>579</v>
      </c>
      <c r="C2130" s="6">
        <v>2682</v>
      </c>
      <c r="D2130" s="5" t="s">
        <v>90</v>
      </c>
      <c r="E2130" s="1">
        <v>0.34583333333333333</v>
      </c>
      <c r="F2130" s="1">
        <v>0.39583333333333331</v>
      </c>
      <c r="G2130" s="9">
        <f t="shared" si="214"/>
        <v>45544</v>
      </c>
      <c r="H2130" s="11">
        <f t="shared" si="215"/>
        <v>1.2</v>
      </c>
      <c r="I2130" s="10">
        <f t="shared" si="216"/>
        <v>1.2</v>
      </c>
      <c r="J2130" s="10">
        <f t="shared" si="217"/>
        <v>7.2</v>
      </c>
      <c r="K2130" s="10">
        <f t="shared" si="219"/>
        <v>8.1999999999999993</v>
      </c>
      <c r="L2130" s="10">
        <f t="shared" si="218"/>
        <v>42</v>
      </c>
    </row>
    <row r="2131" spans="1:12" x14ac:dyDescent="0.25">
      <c r="A2131" s="7">
        <v>45545</v>
      </c>
      <c r="B2131" s="2" t="s">
        <v>311</v>
      </c>
      <c r="C2131" s="6">
        <v>2008</v>
      </c>
      <c r="D2131" s="5" t="s">
        <v>44</v>
      </c>
      <c r="E2131" s="1">
        <v>0.39583333333333331</v>
      </c>
      <c r="F2131" s="1">
        <v>0.4375</v>
      </c>
      <c r="G2131" s="9">
        <f t="shared" si="214"/>
        <v>45544</v>
      </c>
      <c r="H2131" s="11">
        <f t="shared" si="215"/>
        <v>1</v>
      </c>
      <c r="I2131" s="10">
        <f t="shared" si="216"/>
        <v>2.2000000000000002</v>
      </c>
      <c r="J2131" s="10">
        <f t="shared" si="217"/>
        <v>7.2</v>
      </c>
      <c r="K2131" s="10">
        <f t="shared" si="219"/>
        <v>9.1999999999999993</v>
      </c>
      <c r="L2131" s="10">
        <f t="shared" si="218"/>
        <v>43</v>
      </c>
    </row>
    <row r="2132" spans="1:12" x14ac:dyDescent="0.25">
      <c r="A2132" s="7">
        <v>45545</v>
      </c>
      <c r="B2132" s="2" t="s">
        <v>579</v>
      </c>
      <c r="C2132" s="6">
        <v>2682</v>
      </c>
      <c r="D2132" s="5" t="s">
        <v>90</v>
      </c>
      <c r="E2132" s="1">
        <v>0.4375</v>
      </c>
      <c r="F2132" s="1">
        <v>0.51875000000000004</v>
      </c>
      <c r="G2132" s="9">
        <f t="shared" si="214"/>
        <v>45544</v>
      </c>
      <c r="H2132" s="11">
        <f t="shared" si="215"/>
        <v>2</v>
      </c>
      <c r="I2132" s="10">
        <f t="shared" si="216"/>
        <v>4.2</v>
      </c>
      <c r="J2132" s="10">
        <f t="shared" si="217"/>
        <v>7.2</v>
      </c>
      <c r="K2132" s="10">
        <f t="shared" si="219"/>
        <v>11.2</v>
      </c>
      <c r="L2132" s="10">
        <f t="shared" si="218"/>
        <v>45</v>
      </c>
    </row>
    <row r="2133" spans="1:12" x14ac:dyDescent="0.25">
      <c r="A2133" s="7">
        <v>45545</v>
      </c>
      <c r="B2133" t="s">
        <v>6</v>
      </c>
      <c r="C2133" s="6" t="s">
        <v>416</v>
      </c>
      <c r="D2133" s="5" t="s">
        <v>58</v>
      </c>
      <c r="E2133" s="1">
        <v>0.54027777777777775</v>
      </c>
      <c r="F2133" s="1">
        <v>0.58333333333333337</v>
      </c>
      <c r="G2133" s="9">
        <f t="shared" si="214"/>
        <v>45544</v>
      </c>
      <c r="H2133" s="11">
        <f t="shared" si="215"/>
        <v>1</v>
      </c>
      <c r="I2133" s="10">
        <f t="shared" si="216"/>
        <v>5.2</v>
      </c>
      <c r="J2133" s="10">
        <f t="shared" si="217"/>
        <v>7.2</v>
      </c>
      <c r="K2133" s="10">
        <f t="shared" si="219"/>
        <v>12.2</v>
      </c>
      <c r="L2133" s="10">
        <f t="shared" si="218"/>
        <v>46</v>
      </c>
    </row>
    <row r="2134" spans="1:12" x14ac:dyDescent="0.25">
      <c r="A2134" s="7">
        <v>45545</v>
      </c>
      <c r="B2134" s="2" t="s">
        <v>579</v>
      </c>
      <c r="C2134" s="6">
        <v>2682</v>
      </c>
      <c r="D2134" s="5" t="s">
        <v>44</v>
      </c>
      <c r="E2134" s="1">
        <v>0.58333333333333337</v>
      </c>
      <c r="F2134" s="1">
        <v>0.62361111111111112</v>
      </c>
      <c r="G2134" s="9">
        <f t="shared" si="214"/>
        <v>45544</v>
      </c>
      <c r="H2134" s="11">
        <f t="shared" si="215"/>
        <v>1</v>
      </c>
      <c r="I2134" s="10">
        <f t="shared" si="216"/>
        <v>6.2</v>
      </c>
      <c r="J2134" s="10">
        <f t="shared" si="217"/>
        <v>7.2</v>
      </c>
      <c r="K2134" s="10">
        <f t="shared" si="219"/>
        <v>13.2</v>
      </c>
      <c r="L2134" s="10">
        <f t="shared" si="218"/>
        <v>47</v>
      </c>
    </row>
    <row r="2135" spans="1:12" x14ac:dyDescent="0.25">
      <c r="A2135" s="7">
        <v>45545</v>
      </c>
      <c r="B2135" s="2" t="s">
        <v>579</v>
      </c>
      <c r="C2135" s="6">
        <v>2682</v>
      </c>
      <c r="D2135" s="5" t="s">
        <v>90</v>
      </c>
      <c r="E2135" s="1">
        <v>0.62361111111111112</v>
      </c>
      <c r="F2135" s="1">
        <v>0.68402777777777779</v>
      </c>
      <c r="G2135" s="9">
        <f t="shared" si="214"/>
        <v>45544</v>
      </c>
      <c r="H2135" s="11">
        <f t="shared" si="215"/>
        <v>1.5</v>
      </c>
      <c r="I2135" s="10">
        <f t="shared" si="216"/>
        <v>7.7</v>
      </c>
      <c r="J2135" s="10">
        <f t="shared" si="217"/>
        <v>7.2</v>
      </c>
      <c r="K2135" s="10">
        <f t="shared" si="219"/>
        <v>14.7</v>
      </c>
      <c r="L2135" s="10">
        <f t="shared" si="218"/>
        <v>48.5</v>
      </c>
    </row>
    <row r="2136" spans="1:12" x14ac:dyDescent="0.25">
      <c r="A2136" s="7">
        <v>45546</v>
      </c>
      <c r="B2136" s="2" t="s">
        <v>579</v>
      </c>
      <c r="C2136" s="6">
        <v>2682</v>
      </c>
      <c r="D2136" s="5" t="s">
        <v>90</v>
      </c>
      <c r="E2136" s="1">
        <v>0.33263888888888887</v>
      </c>
      <c r="F2136" s="1">
        <v>0.49791666666666667</v>
      </c>
      <c r="G2136" s="9">
        <f t="shared" si="214"/>
        <v>45544</v>
      </c>
      <c r="H2136" s="11">
        <f t="shared" si="215"/>
        <v>4</v>
      </c>
      <c r="I2136" s="10">
        <f t="shared" si="216"/>
        <v>4</v>
      </c>
      <c r="J2136" s="10">
        <f t="shared" si="217"/>
        <v>7.2</v>
      </c>
      <c r="K2136" s="10">
        <f t="shared" si="219"/>
        <v>18.7</v>
      </c>
      <c r="L2136" s="10">
        <f t="shared" si="218"/>
        <v>52.5</v>
      </c>
    </row>
    <row r="2137" spans="1:12" x14ac:dyDescent="0.25">
      <c r="A2137" s="7">
        <v>45546</v>
      </c>
      <c r="B2137" s="2" t="s">
        <v>579</v>
      </c>
      <c r="C2137" s="6">
        <v>2682</v>
      </c>
      <c r="D2137" s="5" t="s">
        <v>90</v>
      </c>
      <c r="E2137" s="1">
        <v>0.5131944444444444</v>
      </c>
      <c r="F2137" s="1">
        <v>0.6381944444444444</v>
      </c>
      <c r="G2137" s="9">
        <f t="shared" si="214"/>
        <v>45544</v>
      </c>
      <c r="H2137" s="11">
        <f t="shared" si="215"/>
        <v>3</v>
      </c>
      <c r="I2137" s="10">
        <f t="shared" si="216"/>
        <v>7</v>
      </c>
      <c r="J2137" s="10">
        <f t="shared" si="217"/>
        <v>7.2</v>
      </c>
      <c r="K2137" s="10">
        <f t="shared" si="219"/>
        <v>21.7</v>
      </c>
      <c r="L2137" s="10">
        <f t="shared" si="218"/>
        <v>55.5</v>
      </c>
    </row>
    <row r="2138" spans="1:12" x14ac:dyDescent="0.25">
      <c r="A2138" s="7">
        <v>45547</v>
      </c>
      <c r="B2138" s="2" t="s">
        <v>579</v>
      </c>
      <c r="C2138" s="6">
        <v>2682</v>
      </c>
      <c r="D2138" s="5" t="s">
        <v>90</v>
      </c>
      <c r="E2138" s="1">
        <v>0.35625000000000001</v>
      </c>
      <c r="F2138" s="1">
        <v>0.51388888888888884</v>
      </c>
      <c r="G2138" s="9">
        <f t="shared" si="214"/>
        <v>45544</v>
      </c>
      <c r="H2138" s="11">
        <f t="shared" si="215"/>
        <v>3.8</v>
      </c>
      <c r="I2138" s="10">
        <f t="shared" si="216"/>
        <v>3.8</v>
      </c>
      <c r="J2138" s="10">
        <f t="shared" si="217"/>
        <v>7.2</v>
      </c>
      <c r="K2138" s="10">
        <f t="shared" si="219"/>
        <v>25.5</v>
      </c>
      <c r="L2138" s="10">
        <f t="shared" si="218"/>
        <v>59.3</v>
      </c>
    </row>
    <row r="2139" spans="1:12" x14ac:dyDescent="0.25">
      <c r="A2139" s="7">
        <v>45547</v>
      </c>
      <c r="B2139" s="2" t="s">
        <v>579</v>
      </c>
      <c r="C2139" s="6">
        <v>2682</v>
      </c>
      <c r="D2139" s="5" t="s">
        <v>90</v>
      </c>
      <c r="E2139" s="1">
        <v>0.53402777777777777</v>
      </c>
      <c r="F2139" s="1">
        <v>0.67777777777777781</v>
      </c>
      <c r="G2139" s="9">
        <f t="shared" si="214"/>
        <v>45544</v>
      </c>
      <c r="H2139" s="11">
        <f t="shared" si="215"/>
        <v>3.5</v>
      </c>
      <c r="I2139" s="10">
        <f t="shared" si="216"/>
        <v>7.3</v>
      </c>
      <c r="J2139" s="10">
        <f t="shared" si="217"/>
        <v>7.2</v>
      </c>
      <c r="K2139" s="10">
        <f t="shared" si="219"/>
        <v>29</v>
      </c>
      <c r="L2139" s="10">
        <f t="shared" si="218"/>
        <v>62.8</v>
      </c>
    </row>
    <row r="2140" spans="1:12" x14ac:dyDescent="0.25">
      <c r="A2140" s="7">
        <v>45548</v>
      </c>
      <c r="B2140" s="2" t="s">
        <v>579</v>
      </c>
      <c r="C2140" s="6">
        <v>2682</v>
      </c>
      <c r="D2140" s="5" t="s">
        <v>677</v>
      </c>
      <c r="E2140" s="1">
        <v>0.34583333333333333</v>
      </c>
      <c r="F2140" s="1">
        <v>0.61944444444444446</v>
      </c>
      <c r="G2140" s="9">
        <f t="shared" si="214"/>
        <v>45544</v>
      </c>
      <c r="H2140" s="11">
        <f t="shared" si="215"/>
        <v>6.6</v>
      </c>
      <c r="I2140" s="10">
        <f t="shared" si="216"/>
        <v>6.6</v>
      </c>
      <c r="J2140" s="10">
        <f t="shared" si="217"/>
        <v>7.2</v>
      </c>
      <c r="K2140" s="10">
        <f t="shared" si="219"/>
        <v>35.6</v>
      </c>
      <c r="L2140" s="10">
        <f t="shared" si="218"/>
        <v>69.399999999999991</v>
      </c>
    </row>
    <row r="2141" spans="1:12" x14ac:dyDescent="0.25">
      <c r="A2141" s="7">
        <v>45551</v>
      </c>
      <c r="B2141" s="2" t="s">
        <v>579</v>
      </c>
      <c r="C2141" s="6">
        <v>2682</v>
      </c>
      <c r="D2141" s="5" t="s">
        <v>678</v>
      </c>
      <c r="E2141" s="1">
        <v>0.32430555555555557</v>
      </c>
      <c r="F2141" s="1">
        <v>0.56527777777777777</v>
      </c>
      <c r="G2141" s="9">
        <f t="shared" si="214"/>
        <v>45551</v>
      </c>
      <c r="H2141" s="11">
        <f t="shared" si="215"/>
        <v>5.8</v>
      </c>
      <c r="I2141" s="10">
        <f t="shared" si="216"/>
        <v>5.8</v>
      </c>
      <c r="J2141" s="10">
        <f t="shared" si="217"/>
        <v>7.2</v>
      </c>
      <c r="K2141" s="10">
        <f t="shared" si="219"/>
        <v>5.8</v>
      </c>
      <c r="L2141" s="10">
        <f t="shared" si="218"/>
        <v>75.2</v>
      </c>
    </row>
    <row r="2142" spans="1:12" x14ac:dyDescent="0.25">
      <c r="A2142" s="7">
        <v>45551</v>
      </c>
      <c r="B2142" s="2" t="s">
        <v>579</v>
      </c>
      <c r="C2142" s="6">
        <v>2682</v>
      </c>
      <c r="D2142" s="5" t="s">
        <v>678</v>
      </c>
      <c r="E2142" s="1">
        <v>0.62083333333333335</v>
      </c>
      <c r="F2142" s="1">
        <v>0.64652777777777781</v>
      </c>
      <c r="G2142" s="9">
        <f t="shared" si="214"/>
        <v>45551</v>
      </c>
      <c r="H2142" s="11">
        <f t="shared" si="215"/>
        <v>0.6</v>
      </c>
      <c r="I2142" s="10">
        <f t="shared" si="216"/>
        <v>6.3999999999999995</v>
      </c>
      <c r="J2142" s="10">
        <f t="shared" si="217"/>
        <v>7.2</v>
      </c>
      <c r="K2142" s="10">
        <f t="shared" si="219"/>
        <v>6.3999999999999995</v>
      </c>
      <c r="L2142" s="10">
        <f t="shared" si="218"/>
        <v>75.8</v>
      </c>
    </row>
    <row r="2143" spans="1:12" x14ac:dyDescent="0.25">
      <c r="A2143" s="7">
        <v>45552</v>
      </c>
      <c r="B2143" s="2" t="s">
        <v>579</v>
      </c>
      <c r="C2143" s="6">
        <v>2682</v>
      </c>
      <c r="D2143" s="5" t="s">
        <v>679</v>
      </c>
      <c r="E2143" s="1">
        <v>0.32291666666666669</v>
      </c>
      <c r="F2143" s="1">
        <v>0.48125000000000001</v>
      </c>
      <c r="G2143" s="9">
        <f t="shared" si="214"/>
        <v>45551</v>
      </c>
      <c r="H2143" s="11">
        <f t="shared" si="215"/>
        <v>3.8</v>
      </c>
      <c r="I2143" s="10">
        <f t="shared" si="216"/>
        <v>3.8</v>
      </c>
      <c r="J2143" s="10">
        <f t="shared" si="217"/>
        <v>7.2</v>
      </c>
      <c r="K2143" s="10">
        <f t="shared" si="219"/>
        <v>10.199999999999999</v>
      </c>
      <c r="L2143" s="10">
        <f t="shared" si="218"/>
        <v>79.599999999999994</v>
      </c>
    </row>
    <row r="2144" spans="1:12" x14ac:dyDescent="0.25">
      <c r="A2144" s="7">
        <v>45552</v>
      </c>
      <c r="B2144" s="2" t="s">
        <v>579</v>
      </c>
      <c r="C2144" s="6">
        <v>2682</v>
      </c>
      <c r="D2144" s="5" t="s">
        <v>679</v>
      </c>
      <c r="E2144" s="1">
        <v>0.48888888888888887</v>
      </c>
      <c r="F2144" s="1">
        <v>0.5625</v>
      </c>
      <c r="G2144" s="9">
        <f t="shared" si="214"/>
        <v>45551</v>
      </c>
      <c r="H2144" s="11">
        <f t="shared" si="215"/>
        <v>1.8</v>
      </c>
      <c r="I2144" s="10">
        <f t="shared" si="216"/>
        <v>5.6</v>
      </c>
      <c r="J2144" s="10">
        <f t="shared" si="217"/>
        <v>7.2</v>
      </c>
      <c r="K2144" s="10">
        <f t="shared" si="219"/>
        <v>12</v>
      </c>
      <c r="L2144" s="10">
        <f t="shared" si="218"/>
        <v>81.399999999999991</v>
      </c>
    </row>
    <row r="2145" spans="1:12" x14ac:dyDescent="0.25">
      <c r="A2145" s="7">
        <v>45552</v>
      </c>
      <c r="B2145" t="s">
        <v>6</v>
      </c>
      <c r="C2145" s="6" t="s">
        <v>416</v>
      </c>
      <c r="D2145" s="5" t="s">
        <v>234</v>
      </c>
      <c r="E2145" s="1">
        <v>0.5625</v>
      </c>
      <c r="F2145" s="1">
        <v>0.60416666666666663</v>
      </c>
      <c r="G2145" s="9">
        <f t="shared" si="214"/>
        <v>45551</v>
      </c>
      <c r="H2145" s="11">
        <f t="shared" si="215"/>
        <v>1</v>
      </c>
      <c r="I2145" s="10">
        <f t="shared" si="216"/>
        <v>6.6</v>
      </c>
      <c r="J2145" s="10">
        <f t="shared" si="217"/>
        <v>7.2</v>
      </c>
      <c r="K2145" s="10">
        <f t="shared" si="219"/>
        <v>13</v>
      </c>
      <c r="L2145" s="10">
        <f t="shared" si="218"/>
        <v>82.4</v>
      </c>
    </row>
    <row r="2146" spans="1:12" x14ac:dyDescent="0.25">
      <c r="A2146" s="7">
        <v>45552</v>
      </c>
      <c r="B2146" s="2" t="s">
        <v>464</v>
      </c>
      <c r="C2146" s="6">
        <v>2431</v>
      </c>
      <c r="D2146" s="5" t="s">
        <v>676</v>
      </c>
      <c r="E2146" s="1">
        <v>0.60416666666666663</v>
      </c>
      <c r="F2146" s="1">
        <v>0.64583333333333337</v>
      </c>
      <c r="G2146" s="9">
        <f t="shared" si="214"/>
        <v>45551</v>
      </c>
      <c r="H2146" s="11">
        <f t="shared" si="215"/>
        <v>1</v>
      </c>
      <c r="I2146" s="10">
        <f t="shared" si="216"/>
        <v>7.6</v>
      </c>
      <c r="J2146" s="10">
        <f t="shared" si="217"/>
        <v>7.2</v>
      </c>
      <c r="K2146" s="10">
        <f t="shared" si="219"/>
        <v>14</v>
      </c>
      <c r="L2146" s="10">
        <f t="shared" si="218"/>
        <v>83.4</v>
      </c>
    </row>
    <row r="2147" spans="1:12" x14ac:dyDescent="0.25">
      <c r="A2147" s="7">
        <v>45552</v>
      </c>
      <c r="B2147" s="2" t="s">
        <v>579</v>
      </c>
      <c r="C2147" s="6">
        <v>2682</v>
      </c>
      <c r="D2147" s="5" t="s">
        <v>679</v>
      </c>
      <c r="E2147" s="1">
        <v>0.64583333333333337</v>
      </c>
      <c r="F2147" s="1">
        <v>0.6645833333333333</v>
      </c>
      <c r="G2147" s="9">
        <f t="shared" si="214"/>
        <v>45551</v>
      </c>
      <c r="H2147" s="11">
        <f t="shared" si="215"/>
        <v>0.4</v>
      </c>
      <c r="I2147" s="10">
        <f t="shared" si="216"/>
        <v>8</v>
      </c>
      <c r="J2147" s="10">
        <f t="shared" si="217"/>
        <v>7.2</v>
      </c>
      <c r="K2147" s="10">
        <f t="shared" si="219"/>
        <v>14.4</v>
      </c>
      <c r="L2147" s="10">
        <f t="shared" si="218"/>
        <v>83.800000000000011</v>
      </c>
    </row>
    <row r="2148" spans="1:12" x14ac:dyDescent="0.25">
      <c r="A2148" s="7">
        <v>45553</v>
      </c>
      <c r="B2148" s="2" t="s">
        <v>579</v>
      </c>
      <c r="C2148" s="6">
        <v>2682</v>
      </c>
      <c r="D2148" s="5" t="s">
        <v>680</v>
      </c>
      <c r="E2148" s="1">
        <v>0.34861111111111109</v>
      </c>
      <c r="F2148" s="1">
        <v>0.47499999999999998</v>
      </c>
      <c r="G2148" s="9">
        <f t="shared" si="214"/>
        <v>45551</v>
      </c>
      <c r="H2148" s="11">
        <f t="shared" si="215"/>
        <v>3</v>
      </c>
      <c r="I2148" s="10">
        <f t="shared" si="216"/>
        <v>3</v>
      </c>
      <c r="J2148" s="10">
        <f t="shared" si="217"/>
        <v>7.2</v>
      </c>
      <c r="K2148" s="10">
        <f t="shared" si="219"/>
        <v>17.399999999999999</v>
      </c>
      <c r="L2148" s="10">
        <f t="shared" si="218"/>
        <v>86.8</v>
      </c>
    </row>
    <row r="2149" spans="1:12" x14ac:dyDescent="0.25">
      <c r="A2149" s="7">
        <v>45553</v>
      </c>
      <c r="B2149" s="2" t="s">
        <v>579</v>
      </c>
      <c r="C2149" s="6">
        <v>2682</v>
      </c>
      <c r="D2149" s="5" t="s">
        <v>680</v>
      </c>
      <c r="E2149" s="1">
        <v>0.49513888888888891</v>
      </c>
      <c r="F2149" s="1">
        <v>0.54166666666666663</v>
      </c>
      <c r="G2149" s="9">
        <f t="shared" si="214"/>
        <v>45551</v>
      </c>
      <c r="H2149" s="11">
        <f t="shared" si="215"/>
        <v>1.1000000000000001</v>
      </c>
      <c r="I2149" s="10">
        <f t="shared" si="216"/>
        <v>4.0999999999999996</v>
      </c>
      <c r="J2149" s="10">
        <f t="shared" si="217"/>
        <v>7.2</v>
      </c>
      <c r="K2149" s="10">
        <f t="shared" si="219"/>
        <v>18.5</v>
      </c>
      <c r="L2149" s="10">
        <f t="shared" si="218"/>
        <v>87.899999999999991</v>
      </c>
    </row>
    <row r="2150" spans="1:12" x14ac:dyDescent="0.25">
      <c r="A2150" s="7">
        <v>45553</v>
      </c>
      <c r="B2150" s="2" t="s">
        <v>838</v>
      </c>
      <c r="C2150" s="6">
        <v>6185</v>
      </c>
      <c r="D2150" s="5" t="s">
        <v>682</v>
      </c>
      <c r="E2150" s="1">
        <v>0.54166666666666663</v>
      </c>
      <c r="F2150" s="1">
        <v>0.58333333333333337</v>
      </c>
      <c r="G2150" s="9">
        <f t="shared" si="214"/>
        <v>45551</v>
      </c>
      <c r="H2150" s="11">
        <f t="shared" si="215"/>
        <v>1</v>
      </c>
      <c r="I2150" s="10">
        <f t="shared" si="216"/>
        <v>5.0999999999999996</v>
      </c>
      <c r="J2150" s="10">
        <f t="shared" si="217"/>
        <v>7.2</v>
      </c>
      <c r="K2150" s="10">
        <f t="shared" si="219"/>
        <v>19.5</v>
      </c>
      <c r="L2150" s="10">
        <f t="shared" si="218"/>
        <v>88.9</v>
      </c>
    </row>
    <row r="2151" spans="1:12" x14ac:dyDescent="0.25">
      <c r="A2151" s="7">
        <v>45553</v>
      </c>
      <c r="B2151" t="s">
        <v>6</v>
      </c>
      <c r="C2151" s="6" t="s">
        <v>416</v>
      </c>
      <c r="D2151" s="5" t="s">
        <v>681</v>
      </c>
      <c r="E2151" s="1">
        <v>0.58333333333333337</v>
      </c>
      <c r="F2151" s="1">
        <v>0.625</v>
      </c>
      <c r="G2151" s="9">
        <f t="shared" si="214"/>
        <v>45551</v>
      </c>
      <c r="H2151" s="11">
        <f t="shared" si="215"/>
        <v>1</v>
      </c>
      <c r="I2151" s="10">
        <f t="shared" si="216"/>
        <v>6.1</v>
      </c>
      <c r="J2151" s="10">
        <f t="shared" si="217"/>
        <v>7.2</v>
      </c>
      <c r="K2151" s="10">
        <f t="shared" si="219"/>
        <v>20.5</v>
      </c>
      <c r="L2151" s="10">
        <f t="shared" si="218"/>
        <v>89.9</v>
      </c>
    </row>
    <row r="2152" spans="1:12" x14ac:dyDescent="0.25">
      <c r="A2152" s="7">
        <v>45553</v>
      </c>
      <c r="B2152" s="2" t="s">
        <v>579</v>
      </c>
      <c r="C2152" s="6">
        <v>2682</v>
      </c>
      <c r="D2152" s="5" t="s">
        <v>680</v>
      </c>
      <c r="E2152" s="1">
        <v>0.625</v>
      </c>
      <c r="F2152" s="1">
        <v>0.67291666666666672</v>
      </c>
      <c r="G2152" s="9">
        <f t="shared" si="214"/>
        <v>45551</v>
      </c>
      <c r="H2152" s="11">
        <f t="shared" si="215"/>
        <v>1.2</v>
      </c>
      <c r="I2152" s="10">
        <f t="shared" si="216"/>
        <v>7.3</v>
      </c>
      <c r="J2152" s="10">
        <f t="shared" si="217"/>
        <v>7.2</v>
      </c>
      <c r="K2152" s="10">
        <f t="shared" si="219"/>
        <v>21.7</v>
      </c>
      <c r="L2152" s="10">
        <f t="shared" si="218"/>
        <v>91.100000000000009</v>
      </c>
    </row>
    <row r="2153" spans="1:12" x14ac:dyDescent="0.25">
      <c r="A2153" s="7">
        <v>45554</v>
      </c>
      <c r="B2153" s="2" t="s">
        <v>579</v>
      </c>
      <c r="C2153" s="6">
        <v>2682</v>
      </c>
      <c r="D2153" s="5" t="s">
        <v>680</v>
      </c>
      <c r="E2153" s="1">
        <v>0.32916666666666666</v>
      </c>
      <c r="F2153" s="1">
        <v>0.61597222222222225</v>
      </c>
      <c r="G2153" s="9">
        <f t="shared" si="214"/>
        <v>45551</v>
      </c>
      <c r="H2153" s="11">
        <f t="shared" si="215"/>
        <v>6.9</v>
      </c>
      <c r="I2153" s="10">
        <f t="shared" si="216"/>
        <v>6.9</v>
      </c>
      <c r="J2153" s="10">
        <f t="shared" si="217"/>
        <v>7.2</v>
      </c>
      <c r="K2153" s="10">
        <f t="shared" si="219"/>
        <v>28.6</v>
      </c>
      <c r="L2153" s="10">
        <f t="shared" si="218"/>
        <v>98</v>
      </c>
    </row>
    <row r="2154" spans="1:12" x14ac:dyDescent="0.25">
      <c r="A2154" s="7">
        <v>45555</v>
      </c>
      <c r="B2154" s="2" t="s">
        <v>579</v>
      </c>
      <c r="C2154" s="6">
        <v>2682</v>
      </c>
      <c r="D2154" s="5" t="s">
        <v>680</v>
      </c>
      <c r="E2154" s="1">
        <v>0.34097222222222223</v>
      </c>
      <c r="F2154" s="1">
        <v>0.5</v>
      </c>
      <c r="G2154" s="9">
        <f t="shared" si="214"/>
        <v>45551</v>
      </c>
      <c r="H2154" s="11">
        <f t="shared" si="215"/>
        <v>3.8</v>
      </c>
      <c r="I2154" s="10">
        <f t="shared" si="216"/>
        <v>3.8</v>
      </c>
      <c r="J2154" s="10">
        <f t="shared" si="217"/>
        <v>7.2</v>
      </c>
      <c r="K2154" s="10">
        <f t="shared" si="219"/>
        <v>32.4</v>
      </c>
      <c r="L2154" s="10">
        <f t="shared" si="218"/>
        <v>101.8</v>
      </c>
    </row>
    <row r="2155" spans="1:12" x14ac:dyDescent="0.25">
      <c r="A2155" s="7">
        <v>45555</v>
      </c>
      <c r="B2155" s="2" t="s">
        <v>464</v>
      </c>
      <c r="C2155" s="6">
        <v>2431</v>
      </c>
      <c r="D2155" s="5" t="s">
        <v>683</v>
      </c>
      <c r="E2155" s="1">
        <v>0.54166666666666663</v>
      </c>
      <c r="F2155" s="1">
        <v>0.56944444444444442</v>
      </c>
      <c r="G2155" s="9">
        <f t="shared" si="214"/>
        <v>45551</v>
      </c>
      <c r="H2155" s="11">
        <f t="shared" si="215"/>
        <v>0.7</v>
      </c>
      <c r="I2155" s="10">
        <f t="shared" si="216"/>
        <v>4.5</v>
      </c>
      <c r="J2155" s="10">
        <f t="shared" si="217"/>
        <v>7.2</v>
      </c>
      <c r="K2155" s="10">
        <f t="shared" si="219"/>
        <v>33.1</v>
      </c>
      <c r="L2155" s="10">
        <f t="shared" si="218"/>
        <v>102.5</v>
      </c>
    </row>
    <row r="2156" spans="1:12" x14ac:dyDescent="0.25">
      <c r="A2156" s="7">
        <v>45555</v>
      </c>
      <c r="B2156" s="2" t="s">
        <v>579</v>
      </c>
      <c r="C2156" s="6">
        <v>2682</v>
      </c>
      <c r="D2156" s="5" t="s">
        <v>680</v>
      </c>
      <c r="E2156" s="1">
        <v>0.56944444444444442</v>
      </c>
      <c r="F2156" s="1">
        <v>0.71319444444444446</v>
      </c>
      <c r="G2156" s="9">
        <f t="shared" si="214"/>
        <v>45551</v>
      </c>
      <c r="H2156" s="11">
        <f t="shared" si="215"/>
        <v>3.5</v>
      </c>
      <c r="I2156" s="10">
        <f t="shared" si="216"/>
        <v>8</v>
      </c>
      <c r="J2156" s="10">
        <f t="shared" si="217"/>
        <v>7.2</v>
      </c>
      <c r="K2156" s="10">
        <f t="shared" si="219"/>
        <v>36.6</v>
      </c>
      <c r="L2156" s="10">
        <f t="shared" si="218"/>
        <v>106</v>
      </c>
    </row>
    <row r="2157" spans="1:12" x14ac:dyDescent="0.25">
      <c r="A2157" s="7">
        <v>45558</v>
      </c>
      <c r="B2157" s="2" t="s">
        <v>579</v>
      </c>
      <c r="C2157" s="6">
        <v>2682</v>
      </c>
      <c r="D2157" s="5" t="s">
        <v>684</v>
      </c>
      <c r="E2157" s="1">
        <v>0.38472222222222224</v>
      </c>
      <c r="F2157" s="1">
        <v>0.625</v>
      </c>
      <c r="G2157" s="9">
        <f t="shared" ref="G2157:G2220" si="220">IF(E2157&gt;0,INT((A2157-2)/7)*7+2,"")</f>
        <v>45558</v>
      </c>
      <c r="H2157" s="11">
        <f t="shared" ref="H2157:H2220" si="221">IF(E2157&gt;0,ROUND(24*(IF(F2157&gt;0,F2157,NowTime)-E2157),1),"")</f>
        <v>5.8</v>
      </c>
      <c r="I2157" s="10">
        <f t="shared" ref="I2157:I2220" si="222">IF(H2157="",H2157,H2157+IF(A2157=A2156,_xlfn.NUMBERVALUE(I2156),0))</f>
        <v>5.8</v>
      </c>
      <c r="J2157" s="10">
        <f t="shared" ref="J2157:J2220" si="223">IF(H2157="",H2157,7.2)</f>
        <v>7.2</v>
      </c>
      <c r="K2157" s="10">
        <f t="shared" si="219"/>
        <v>5.8</v>
      </c>
      <c r="L2157" s="10">
        <f t="shared" ref="L2157:L2220" si="224">IF(H2157="",H2157,H2157+IF(MONTH(A2157)=MONTH(A2156),_xlfn.NUMBERVALUE(L2156),0))</f>
        <v>111.8</v>
      </c>
    </row>
    <row r="2158" spans="1:12" x14ac:dyDescent="0.25">
      <c r="A2158" s="7">
        <v>45558</v>
      </c>
      <c r="B2158" t="s">
        <v>6</v>
      </c>
      <c r="C2158" s="6" t="s">
        <v>416</v>
      </c>
      <c r="D2158" s="5" t="s">
        <v>58</v>
      </c>
      <c r="E2158" s="1">
        <v>0.625</v>
      </c>
      <c r="F2158" s="1">
        <v>0.66527777777777775</v>
      </c>
      <c r="G2158" s="9">
        <f t="shared" si="220"/>
        <v>45558</v>
      </c>
      <c r="H2158" s="11">
        <f t="shared" si="221"/>
        <v>1</v>
      </c>
      <c r="I2158" s="10">
        <f t="shared" si="222"/>
        <v>6.8</v>
      </c>
      <c r="J2158" s="10">
        <f t="shared" si="223"/>
        <v>7.2</v>
      </c>
      <c r="K2158" s="10">
        <f t="shared" si="219"/>
        <v>6.8</v>
      </c>
      <c r="L2158" s="10">
        <f t="shared" si="224"/>
        <v>112.8</v>
      </c>
    </row>
    <row r="2159" spans="1:12" x14ac:dyDescent="0.25">
      <c r="A2159" s="7">
        <v>45558</v>
      </c>
      <c r="B2159" s="2" t="s">
        <v>579</v>
      </c>
      <c r="C2159" s="6">
        <v>2682</v>
      </c>
      <c r="D2159" s="5" t="s">
        <v>684</v>
      </c>
      <c r="E2159" s="1">
        <v>0.66527777777777775</v>
      </c>
      <c r="F2159" s="1">
        <v>0.67500000000000004</v>
      </c>
      <c r="G2159" s="9">
        <f t="shared" si="220"/>
        <v>45558</v>
      </c>
      <c r="H2159" s="11">
        <f t="shared" si="221"/>
        <v>0.2</v>
      </c>
      <c r="I2159" s="10">
        <f t="shared" si="222"/>
        <v>7</v>
      </c>
      <c r="J2159" s="10">
        <f t="shared" si="223"/>
        <v>7.2</v>
      </c>
      <c r="K2159" s="10">
        <f t="shared" si="219"/>
        <v>7</v>
      </c>
      <c r="L2159" s="10">
        <f t="shared" si="224"/>
        <v>113</v>
      </c>
    </row>
    <row r="2160" spans="1:12" x14ac:dyDescent="0.25">
      <c r="A2160" s="7">
        <v>45559</v>
      </c>
      <c r="B2160" s="2" t="s">
        <v>579</v>
      </c>
      <c r="C2160" s="6">
        <v>2682</v>
      </c>
      <c r="D2160" s="5" t="s">
        <v>684</v>
      </c>
      <c r="E2160" s="1">
        <v>0.33750000000000002</v>
      </c>
      <c r="F2160" s="1">
        <v>0.63402777777777775</v>
      </c>
      <c r="G2160" s="9">
        <f t="shared" si="220"/>
        <v>45558</v>
      </c>
      <c r="H2160" s="11">
        <f t="shared" si="221"/>
        <v>7.1</v>
      </c>
      <c r="I2160" s="10">
        <f t="shared" si="222"/>
        <v>7.1</v>
      </c>
      <c r="J2160" s="10">
        <f t="shared" si="223"/>
        <v>7.2</v>
      </c>
      <c r="K2160" s="10">
        <f t="shared" si="219"/>
        <v>14.1</v>
      </c>
      <c r="L2160" s="10">
        <f t="shared" si="224"/>
        <v>120.1</v>
      </c>
    </row>
    <row r="2161" spans="1:12" x14ac:dyDescent="0.25">
      <c r="A2161" s="7">
        <v>45560</v>
      </c>
      <c r="B2161" s="2" t="s">
        <v>579</v>
      </c>
      <c r="C2161" s="6">
        <v>2682</v>
      </c>
      <c r="D2161" s="5" t="s">
        <v>684</v>
      </c>
      <c r="E2161" s="1">
        <v>0.34027777777777779</v>
      </c>
      <c r="F2161" s="1">
        <v>0.50069444444444444</v>
      </c>
      <c r="G2161" s="9">
        <f t="shared" si="220"/>
        <v>45558</v>
      </c>
      <c r="H2161" s="11">
        <f t="shared" si="221"/>
        <v>3.9</v>
      </c>
      <c r="I2161" s="10">
        <f t="shared" si="222"/>
        <v>3.9</v>
      </c>
      <c r="J2161" s="10">
        <f t="shared" si="223"/>
        <v>7.2</v>
      </c>
      <c r="K2161" s="10">
        <f t="shared" si="219"/>
        <v>18</v>
      </c>
      <c r="L2161" s="10">
        <f t="shared" si="224"/>
        <v>124</v>
      </c>
    </row>
    <row r="2162" spans="1:12" x14ac:dyDescent="0.25">
      <c r="A2162" s="7">
        <v>45560</v>
      </c>
      <c r="B2162" s="2" t="s">
        <v>579</v>
      </c>
      <c r="C2162" s="6">
        <v>2682</v>
      </c>
      <c r="D2162" s="5" t="s">
        <v>684</v>
      </c>
      <c r="E2162" s="1">
        <v>0.51736111111111116</v>
      </c>
      <c r="F2162" s="1">
        <v>0.57847222222222228</v>
      </c>
      <c r="G2162" s="9">
        <f t="shared" si="220"/>
        <v>45558</v>
      </c>
      <c r="H2162" s="11">
        <f t="shared" si="221"/>
        <v>1.5</v>
      </c>
      <c r="I2162" s="10">
        <f t="shared" si="222"/>
        <v>5.4</v>
      </c>
      <c r="J2162" s="10">
        <f t="shared" si="223"/>
        <v>7.2</v>
      </c>
      <c r="K2162" s="10">
        <f t="shared" si="219"/>
        <v>19.5</v>
      </c>
      <c r="L2162" s="10">
        <f t="shared" si="224"/>
        <v>125.5</v>
      </c>
    </row>
    <row r="2163" spans="1:12" x14ac:dyDescent="0.25">
      <c r="A2163" s="7">
        <v>45560</v>
      </c>
      <c r="B2163" t="s">
        <v>598</v>
      </c>
      <c r="C2163" s="6">
        <v>6004</v>
      </c>
      <c r="D2163" s="5" t="s">
        <v>685</v>
      </c>
      <c r="E2163" s="1">
        <v>0.57847222222222228</v>
      </c>
      <c r="F2163" s="1">
        <v>0.65208333333333335</v>
      </c>
      <c r="G2163" s="9">
        <f t="shared" si="220"/>
        <v>45558</v>
      </c>
      <c r="H2163" s="11">
        <f t="shared" si="221"/>
        <v>1.8</v>
      </c>
      <c r="I2163" s="10">
        <f t="shared" si="222"/>
        <v>7.2</v>
      </c>
      <c r="J2163" s="10">
        <f t="shared" si="223"/>
        <v>7.2</v>
      </c>
      <c r="K2163" s="10">
        <f t="shared" si="219"/>
        <v>21.3</v>
      </c>
      <c r="L2163" s="10">
        <f t="shared" si="224"/>
        <v>127.3</v>
      </c>
    </row>
    <row r="2164" spans="1:12" x14ac:dyDescent="0.25">
      <c r="A2164" s="7">
        <v>45561</v>
      </c>
      <c r="B2164" s="2" t="s">
        <v>579</v>
      </c>
      <c r="C2164" s="6">
        <v>2682</v>
      </c>
      <c r="D2164" s="5" t="s">
        <v>686</v>
      </c>
      <c r="E2164" s="1">
        <v>0.3263888888888889</v>
      </c>
      <c r="F2164" s="1">
        <v>0.42291666666666666</v>
      </c>
      <c r="G2164" s="9">
        <f t="shared" si="220"/>
        <v>45558</v>
      </c>
      <c r="H2164" s="11">
        <f t="shared" si="221"/>
        <v>2.2999999999999998</v>
      </c>
      <c r="I2164" s="10">
        <f t="shared" si="222"/>
        <v>2.2999999999999998</v>
      </c>
      <c r="J2164" s="10">
        <f t="shared" si="223"/>
        <v>7.2</v>
      </c>
      <c r="K2164" s="10">
        <f t="shared" si="219"/>
        <v>23.6</v>
      </c>
      <c r="L2164" s="10">
        <f t="shared" si="224"/>
        <v>129.6</v>
      </c>
    </row>
    <row r="2165" spans="1:12" x14ac:dyDescent="0.25">
      <c r="A2165" s="7">
        <v>45561</v>
      </c>
      <c r="B2165" t="s">
        <v>598</v>
      </c>
      <c r="C2165" s="6">
        <v>6004</v>
      </c>
      <c r="D2165" s="5" t="s">
        <v>466</v>
      </c>
      <c r="E2165" s="1">
        <v>0.42291666666666666</v>
      </c>
      <c r="F2165" s="1">
        <v>0.64097222222222228</v>
      </c>
      <c r="G2165" s="9">
        <f t="shared" si="220"/>
        <v>45558</v>
      </c>
      <c r="H2165" s="11">
        <f t="shared" si="221"/>
        <v>5.2</v>
      </c>
      <c r="I2165" s="10">
        <f t="shared" si="222"/>
        <v>7.5</v>
      </c>
      <c r="J2165" s="10">
        <f t="shared" si="223"/>
        <v>7.2</v>
      </c>
      <c r="K2165" s="10">
        <f t="shared" si="219"/>
        <v>28.8</v>
      </c>
      <c r="L2165" s="10">
        <f t="shared" si="224"/>
        <v>134.79999999999998</v>
      </c>
    </row>
    <row r="2166" spans="1:12" x14ac:dyDescent="0.25">
      <c r="A2166" s="7">
        <v>45562</v>
      </c>
      <c r="B2166" s="2" t="s">
        <v>579</v>
      </c>
      <c r="C2166" s="6">
        <v>2682</v>
      </c>
      <c r="D2166" s="5" t="s">
        <v>686</v>
      </c>
      <c r="E2166" s="1">
        <v>0.3215277777777778</v>
      </c>
      <c r="F2166" s="1">
        <v>0.375</v>
      </c>
      <c r="G2166" s="9">
        <f t="shared" si="220"/>
        <v>45558</v>
      </c>
      <c r="H2166" s="11">
        <f t="shared" si="221"/>
        <v>1.3</v>
      </c>
      <c r="I2166" s="10">
        <f t="shared" si="222"/>
        <v>1.3</v>
      </c>
      <c r="J2166" s="10">
        <f t="shared" si="223"/>
        <v>7.2</v>
      </c>
      <c r="K2166" s="10">
        <f t="shared" si="219"/>
        <v>30.1</v>
      </c>
      <c r="L2166" s="10">
        <f t="shared" si="224"/>
        <v>136.10000000000002</v>
      </c>
    </row>
    <row r="2167" spans="1:12" x14ac:dyDescent="0.25">
      <c r="A2167" s="7">
        <v>45562</v>
      </c>
      <c r="B2167" t="s">
        <v>6</v>
      </c>
      <c r="C2167" s="6" t="s">
        <v>416</v>
      </c>
      <c r="D2167" s="5" t="s">
        <v>687</v>
      </c>
      <c r="E2167" s="1">
        <v>0.375</v>
      </c>
      <c r="F2167" s="1">
        <v>0.45833333333333331</v>
      </c>
      <c r="G2167" s="9">
        <f t="shared" si="220"/>
        <v>45558</v>
      </c>
      <c r="H2167" s="11">
        <f t="shared" si="221"/>
        <v>2</v>
      </c>
      <c r="I2167" s="10">
        <f t="shared" si="222"/>
        <v>3.3</v>
      </c>
      <c r="J2167" s="10">
        <f t="shared" si="223"/>
        <v>7.2</v>
      </c>
      <c r="K2167" s="10">
        <f t="shared" si="219"/>
        <v>32.1</v>
      </c>
      <c r="L2167" s="10">
        <f t="shared" si="224"/>
        <v>138.1</v>
      </c>
    </row>
    <row r="2168" spans="1:12" x14ac:dyDescent="0.25">
      <c r="A2168" s="7">
        <v>45562</v>
      </c>
      <c r="B2168" s="2" t="s">
        <v>579</v>
      </c>
      <c r="C2168" s="6">
        <v>2682</v>
      </c>
      <c r="D2168" s="5" t="s">
        <v>688</v>
      </c>
      <c r="E2168" s="1">
        <v>0.45833333333333331</v>
      </c>
      <c r="F2168" s="1">
        <v>0.50277777777777777</v>
      </c>
      <c r="G2168" s="9">
        <f t="shared" si="220"/>
        <v>45558</v>
      </c>
      <c r="H2168" s="11">
        <f t="shared" si="221"/>
        <v>1.1000000000000001</v>
      </c>
      <c r="I2168" s="10">
        <f t="shared" si="222"/>
        <v>4.4000000000000004</v>
      </c>
      <c r="J2168" s="10">
        <f t="shared" si="223"/>
        <v>7.2</v>
      </c>
      <c r="K2168" s="10">
        <f t="shared" si="219"/>
        <v>33.200000000000003</v>
      </c>
      <c r="L2168" s="10">
        <f t="shared" si="224"/>
        <v>139.19999999999999</v>
      </c>
    </row>
    <row r="2169" spans="1:12" x14ac:dyDescent="0.25">
      <c r="A2169" s="7">
        <v>45562</v>
      </c>
      <c r="B2169" s="2" t="s">
        <v>551</v>
      </c>
      <c r="C2169" s="6">
        <v>6184</v>
      </c>
      <c r="D2169" s="5" t="s">
        <v>689</v>
      </c>
      <c r="E2169" s="1">
        <v>0.53749999999999998</v>
      </c>
      <c r="F2169" s="1">
        <v>0.63611111111111107</v>
      </c>
      <c r="G2169" s="9">
        <f t="shared" si="220"/>
        <v>45558</v>
      </c>
      <c r="H2169" s="11">
        <f t="shared" si="221"/>
        <v>2.4</v>
      </c>
      <c r="I2169" s="10">
        <f t="shared" si="222"/>
        <v>6.8000000000000007</v>
      </c>
      <c r="J2169" s="10">
        <f t="shared" si="223"/>
        <v>7.2</v>
      </c>
      <c r="K2169" s="10">
        <f t="shared" si="219"/>
        <v>35.6</v>
      </c>
      <c r="L2169" s="10">
        <f t="shared" si="224"/>
        <v>141.6</v>
      </c>
    </row>
    <row r="2170" spans="1:12" x14ac:dyDescent="0.25">
      <c r="A2170" s="7">
        <v>45562</v>
      </c>
      <c r="B2170" s="2" t="s">
        <v>579</v>
      </c>
      <c r="C2170" s="6">
        <v>2682</v>
      </c>
      <c r="D2170" s="5" t="s">
        <v>686</v>
      </c>
      <c r="E2170" s="1">
        <v>0.63611111111111107</v>
      </c>
      <c r="F2170" s="1">
        <v>0.66041666666666665</v>
      </c>
      <c r="G2170" s="9">
        <f t="shared" si="220"/>
        <v>45558</v>
      </c>
      <c r="H2170" s="11">
        <f t="shared" si="221"/>
        <v>0.6</v>
      </c>
      <c r="I2170" s="10">
        <f t="shared" si="222"/>
        <v>7.3999999999999995</v>
      </c>
      <c r="J2170" s="10">
        <f t="shared" si="223"/>
        <v>7.2</v>
      </c>
      <c r="K2170" s="10">
        <f t="shared" si="219"/>
        <v>36.200000000000003</v>
      </c>
      <c r="L2170" s="10">
        <f t="shared" si="224"/>
        <v>142.19999999999999</v>
      </c>
    </row>
    <row r="2171" spans="1:12" x14ac:dyDescent="0.25">
      <c r="A2171" s="7">
        <v>45565</v>
      </c>
      <c r="B2171" s="2" t="s">
        <v>579</v>
      </c>
      <c r="C2171" s="6">
        <v>2682</v>
      </c>
      <c r="D2171" s="5" t="s">
        <v>686</v>
      </c>
      <c r="E2171" s="1">
        <v>0.33958333333333335</v>
      </c>
      <c r="F2171" s="1">
        <v>0.54166666666666663</v>
      </c>
      <c r="G2171" s="9">
        <f t="shared" si="220"/>
        <v>45565</v>
      </c>
      <c r="H2171" s="11">
        <f t="shared" si="221"/>
        <v>4.9000000000000004</v>
      </c>
      <c r="I2171" s="10">
        <f t="shared" si="222"/>
        <v>4.9000000000000004</v>
      </c>
      <c r="J2171" s="10">
        <f t="shared" si="223"/>
        <v>7.2</v>
      </c>
      <c r="K2171" s="10">
        <f t="shared" si="219"/>
        <v>4.9000000000000004</v>
      </c>
      <c r="L2171" s="10">
        <f t="shared" si="224"/>
        <v>147.1</v>
      </c>
    </row>
    <row r="2172" spans="1:12" x14ac:dyDescent="0.25">
      <c r="A2172" s="7">
        <v>45565</v>
      </c>
      <c r="B2172" s="2" t="s">
        <v>579</v>
      </c>
      <c r="C2172" s="6">
        <v>2682</v>
      </c>
      <c r="D2172" s="5" t="s">
        <v>690</v>
      </c>
      <c r="E2172" s="1">
        <v>0.54166666666666663</v>
      </c>
      <c r="F2172" s="1">
        <v>0.57291666666666663</v>
      </c>
      <c r="G2172" s="9">
        <f t="shared" si="220"/>
        <v>45565</v>
      </c>
      <c r="H2172" s="11">
        <f t="shared" si="221"/>
        <v>0.8</v>
      </c>
      <c r="I2172" s="10">
        <f t="shared" si="222"/>
        <v>5.7</v>
      </c>
      <c r="J2172" s="10">
        <f t="shared" si="223"/>
        <v>7.2</v>
      </c>
      <c r="K2172" s="10">
        <f t="shared" si="219"/>
        <v>5.7</v>
      </c>
      <c r="L2172" s="10">
        <f t="shared" si="224"/>
        <v>147.9</v>
      </c>
    </row>
    <row r="2173" spans="1:12" x14ac:dyDescent="0.25">
      <c r="A2173" s="7">
        <v>45565</v>
      </c>
      <c r="B2173" s="2" t="s">
        <v>579</v>
      </c>
      <c r="C2173" s="6">
        <v>2682</v>
      </c>
      <c r="D2173" s="5" t="s">
        <v>686</v>
      </c>
      <c r="E2173" s="1">
        <v>0.57291666666666663</v>
      </c>
      <c r="F2173" s="1">
        <v>0.65694444444444444</v>
      </c>
      <c r="G2173" s="9">
        <f t="shared" si="220"/>
        <v>45565</v>
      </c>
      <c r="H2173" s="11">
        <f t="shared" si="221"/>
        <v>2</v>
      </c>
      <c r="I2173" s="10">
        <f t="shared" si="222"/>
        <v>7.7</v>
      </c>
      <c r="J2173" s="10">
        <f t="shared" si="223"/>
        <v>7.2</v>
      </c>
      <c r="K2173" s="10">
        <f t="shared" si="219"/>
        <v>7.7</v>
      </c>
      <c r="L2173" s="10">
        <f t="shared" si="224"/>
        <v>149.9</v>
      </c>
    </row>
    <row r="2174" spans="1:12" x14ac:dyDescent="0.25">
      <c r="A2174" s="7">
        <v>45566</v>
      </c>
      <c r="B2174" s="2" t="s">
        <v>579</v>
      </c>
      <c r="C2174" s="6">
        <v>2682</v>
      </c>
      <c r="D2174" s="5" t="s">
        <v>692</v>
      </c>
      <c r="E2174" s="1">
        <v>0.32083333333333336</v>
      </c>
      <c r="F2174" s="1">
        <v>0.45833333333333331</v>
      </c>
      <c r="G2174" s="9">
        <f t="shared" si="220"/>
        <v>45565</v>
      </c>
      <c r="H2174" s="11">
        <f t="shared" si="221"/>
        <v>3.3</v>
      </c>
      <c r="I2174" s="10">
        <f t="shared" si="222"/>
        <v>3.3</v>
      </c>
      <c r="J2174" s="10">
        <f t="shared" si="223"/>
        <v>7.2</v>
      </c>
      <c r="K2174" s="10">
        <f t="shared" si="219"/>
        <v>11</v>
      </c>
      <c r="L2174" s="10">
        <f t="shared" si="224"/>
        <v>3.3</v>
      </c>
    </row>
    <row r="2175" spans="1:12" x14ac:dyDescent="0.25">
      <c r="A2175" s="7">
        <v>45566</v>
      </c>
      <c r="B2175" s="2" t="s">
        <v>579</v>
      </c>
      <c r="C2175" s="6">
        <v>2682</v>
      </c>
      <c r="D2175" s="5" t="s">
        <v>44</v>
      </c>
      <c r="E2175" s="1">
        <v>0.45833333333333331</v>
      </c>
      <c r="F2175" s="1">
        <v>0.4861111111111111</v>
      </c>
      <c r="G2175" s="9">
        <f t="shared" si="220"/>
        <v>45565</v>
      </c>
      <c r="H2175" s="11">
        <f t="shared" si="221"/>
        <v>0.7</v>
      </c>
      <c r="I2175" s="10">
        <f t="shared" si="222"/>
        <v>4</v>
      </c>
      <c r="J2175" s="10">
        <f t="shared" si="223"/>
        <v>7.2</v>
      </c>
      <c r="K2175" s="10">
        <f t="shared" si="219"/>
        <v>11.7</v>
      </c>
      <c r="L2175" s="10">
        <f t="shared" si="224"/>
        <v>4</v>
      </c>
    </row>
    <row r="2176" spans="1:12" x14ac:dyDescent="0.25">
      <c r="A2176" s="7">
        <v>45566</v>
      </c>
      <c r="B2176" s="2" t="s">
        <v>579</v>
      </c>
      <c r="C2176" s="6">
        <v>2682</v>
      </c>
      <c r="D2176" s="5" t="s">
        <v>692</v>
      </c>
      <c r="E2176" s="1">
        <v>0.4861111111111111</v>
      </c>
      <c r="F2176" s="1">
        <v>0.54166666666666663</v>
      </c>
      <c r="G2176" s="9">
        <f t="shared" si="220"/>
        <v>45565</v>
      </c>
      <c r="H2176" s="11">
        <f t="shared" si="221"/>
        <v>1.3</v>
      </c>
      <c r="I2176" s="10">
        <f t="shared" si="222"/>
        <v>5.3</v>
      </c>
      <c r="J2176" s="10">
        <f t="shared" si="223"/>
        <v>7.2</v>
      </c>
      <c r="K2176" s="10">
        <f t="shared" si="219"/>
        <v>13</v>
      </c>
      <c r="L2176" s="10">
        <f t="shared" si="224"/>
        <v>5.3</v>
      </c>
    </row>
    <row r="2177" spans="1:12" x14ac:dyDescent="0.25">
      <c r="A2177" s="7">
        <v>45566</v>
      </c>
      <c r="B2177" s="2" t="s">
        <v>579</v>
      </c>
      <c r="C2177" s="6">
        <v>2682</v>
      </c>
      <c r="D2177" s="5" t="s">
        <v>691</v>
      </c>
      <c r="E2177" s="1">
        <v>0.54166666666666663</v>
      </c>
      <c r="F2177" s="1">
        <v>0.5854166666666667</v>
      </c>
      <c r="G2177" s="9">
        <f t="shared" si="220"/>
        <v>45565</v>
      </c>
      <c r="H2177" s="11">
        <f t="shared" si="221"/>
        <v>1.1000000000000001</v>
      </c>
      <c r="I2177" s="10">
        <f t="shared" si="222"/>
        <v>6.4</v>
      </c>
      <c r="J2177" s="10">
        <f t="shared" si="223"/>
        <v>7.2</v>
      </c>
      <c r="K2177" s="10">
        <f t="shared" si="219"/>
        <v>14.1</v>
      </c>
      <c r="L2177" s="10">
        <f t="shared" si="224"/>
        <v>6.4</v>
      </c>
    </row>
    <row r="2178" spans="1:12" x14ac:dyDescent="0.25">
      <c r="A2178" s="7">
        <v>45566</v>
      </c>
      <c r="B2178" s="2" t="s">
        <v>579</v>
      </c>
      <c r="C2178" s="6">
        <v>2682</v>
      </c>
      <c r="D2178" s="5" t="s">
        <v>692</v>
      </c>
      <c r="E2178" s="1">
        <v>0.5854166666666667</v>
      </c>
      <c r="F2178" s="1">
        <v>0.625</v>
      </c>
      <c r="G2178" s="9">
        <f t="shared" si="220"/>
        <v>45565</v>
      </c>
      <c r="H2178" s="11">
        <f t="shared" si="221"/>
        <v>0.9</v>
      </c>
      <c r="I2178" s="10">
        <f t="shared" si="222"/>
        <v>7.3000000000000007</v>
      </c>
      <c r="J2178" s="10">
        <f t="shared" si="223"/>
        <v>7.2</v>
      </c>
      <c r="K2178" s="10">
        <f t="shared" si="219"/>
        <v>15</v>
      </c>
      <c r="L2178" s="10">
        <f t="shared" si="224"/>
        <v>7.3000000000000007</v>
      </c>
    </row>
    <row r="2179" spans="1:12" x14ac:dyDescent="0.25">
      <c r="A2179" s="7">
        <v>45566</v>
      </c>
      <c r="B2179" s="2" t="s">
        <v>579</v>
      </c>
      <c r="C2179" s="6">
        <v>2682</v>
      </c>
      <c r="D2179" s="5" t="s">
        <v>693</v>
      </c>
      <c r="E2179" s="1">
        <v>0.625</v>
      </c>
      <c r="F2179" s="1">
        <v>0.65625</v>
      </c>
      <c r="G2179" s="9">
        <f t="shared" si="220"/>
        <v>45565</v>
      </c>
      <c r="H2179" s="11">
        <f t="shared" si="221"/>
        <v>0.8</v>
      </c>
      <c r="I2179" s="10">
        <f t="shared" si="222"/>
        <v>8.1</v>
      </c>
      <c r="J2179" s="10">
        <f t="shared" si="223"/>
        <v>7.2</v>
      </c>
      <c r="K2179" s="10">
        <f t="shared" ref="K2179:K2242" si="225">IF(H2179="",H2179,H2179+IF(G2179=G2178,_xlfn.NUMBERVALUE(K2178),0))</f>
        <v>15.8</v>
      </c>
      <c r="L2179" s="10">
        <f t="shared" si="224"/>
        <v>8.1</v>
      </c>
    </row>
    <row r="2180" spans="1:12" x14ac:dyDescent="0.25">
      <c r="A2180" s="7">
        <v>45567</v>
      </c>
      <c r="B2180" s="2" t="s">
        <v>579</v>
      </c>
      <c r="C2180" s="6">
        <v>2682</v>
      </c>
      <c r="D2180" s="5" t="s">
        <v>694</v>
      </c>
      <c r="E2180" s="1">
        <v>0.35208333333333336</v>
      </c>
      <c r="F2180" s="1">
        <v>0.45833333333333331</v>
      </c>
      <c r="G2180" s="9">
        <f t="shared" si="220"/>
        <v>45565</v>
      </c>
      <c r="H2180" s="11">
        <f t="shared" si="221"/>
        <v>2.6</v>
      </c>
      <c r="I2180" s="10">
        <f t="shared" si="222"/>
        <v>2.6</v>
      </c>
      <c r="J2180" s="10">
        <f t="shared" si="223"/>
        <v>7.2</v>
      </c>
      <c r="K2180" s="10">
        <f t="shared" si="225"/>
        <v>18.400000000000002</v>
      </c>
      <c r="L2180" s="10">
        <f t="shared" si="224"/>
        <v>10.7</v>
      </c>
    </row>
    <row r="2181" spans="1:12" x14ac:dyDescent="0.25">
      <c r="A2181" s="7">
        <v>45567</v>
      </c>
      <c r="B2181" s="2" t="s">
        <v>579</v>
      </c>
      <c r="C2181" s="6">
        <v>2682</v>
      </c>
      <c r="D2181" s="5" t="s">
        <v>691</v>
      </c>
      <c r="E2181" s="1">
        <v>0.45833333333333331</v>
      </c>
      <c r="F2181" s="1">
        <v>0.49236111111111114</v>
      </c>
      <c r="G2181" s="9">
        <f t="shared" si="220"/>
        <v>45565</v>
      </c>
      <c r="H2181" s="11">
        <f t="shared" si="221"/>
        <v>0.8</v>
      </c>
      <c r="I2181" s="10">
        <f t="shared" si="222"/>
        <v>3.4000000000000004</v>
      </c>
      <c r="J2181" s="10">
        <f t="shared" si="223"/>
        <v>7.2</v>
      </c>
      <c r="K2181" s="10">
        <f t="shared" si="225"/>
        <v>19.2</v>
      </c>
      <c r="L2181" s="10">
        <f t="shared" si="224"/>
        <v>11.5</v>
      </c>
    </row>
    <row r="2182" spans="1:12" x14ac:dyDescent="0.25">
      <c r="A2182" s="7">
        <v>45567</v>
      </c>
      <c r="B2182" s="2" t="s">
        <v>579</v>
      </c>
      <c r="C2182" s="6">
        <v>2682</v>
      </c>
      <c r="D2182" s="5" t="s">
        <v>694</v>
      </c>
      <c r="E2182" s="1">
        <v>0.49236111111111114</v>
      </c>
      <c r="F2182" s="1">
        <v>0.57291666666666663</v>
      </c>
      <c r="G2182" s="9">
        <f t="shared" si="220"/>
        <v>45565</v>
      </c>
      <c r="H2182" s="11">
        <f t="shared" si="221"/>
        <v>1.9</v>
      </c>
      <c r="I2182" s="10">
        <f t="shared" si="222"/>
        <v>5.3</v>
      </c>
      <c r="J2182" s="10">
        <f t="shared" si="223"/>
        <v>7.2</v>
      </c>
      <c r="K2182" s="10">
        <f t="shared" si="225"/>
        <v>21.099999999999998</v>
      </c>
      <c r="L2182" s="10">
        <f t="shared" si="224"/>
        <v>13.4</v>
      </c>
    </row>
    <row r="2183" spans="1:12" x14ac:dyDescent="0.25">
      <c r="A2183" s="7">
        <v>45567</v>
      </c>
      <c r="B2183" s="2" t="s">
        <v>464</v>
      </c>
      <c r="C2183" s="6">
        <v>2431</v>
      </c>
      <c r="D2183" s="5" t="s">
        <v>695</v>
      </c>
      <c r="E2183" s="1">
        <v>0.57291666666666663</v>
      </c>
      <c r="F2183" s="1">
        <v>0.60555555555555551</v>
      </c>
      <c r="G2183" s="9">
        <f t="shared" si="220"/>
        <v>45565</v>
      </c>
      <c r="H2183" s="11">
        <f t="shared" si="221"/>
        <v>0.8</v>
      </c>
      <c r="I2183" s="10">
        <f t="shared" si="222"/>
        <v>6.1</v>
      </c>
      <c r="J2183" s="10">
        <f t="shared" si="223"/>
        <v>7.2</v>
      </c>
      <c r="K2183" s="10">
        <f t="shared" si="225"/>
        <v>21.900000000000002</v>
      </c>
      <c r="L2183" s="10">
        <f t="shared" si="224"/>
        <v>14.200000000000001</v>
      </c>
    </row>
    <row r="2184" spans="1:12" x14ac:dyDescent="0.25">
      <c r="A2184" s="7">
        <v>45567</v>
      </c>
      <c r="B2184" s="2" t="s">
        <v>579</v>
      </c>
      <c r="C2184" s="6">
        <v>2682</v>
      </c>
      <c r="D2184" s="5" t="s">
        <v>694</v>
      </c>
      <c r="E2184" s="1">
        <v>0.60555555555555551</v>
      </c>
      <c r="F2184" s="1">
        <v>0.64861111111111114</v>
      </c>
      <c r="G2184" s="9">
        <f t="shared" si="220"/>
        <v>45565</v>
      </c>
      <c r="H2184" s="11">
        <f t="shared" si="221"/>
        <v>1</v>
      </c>
      <c r="I2184" s="10">
        <f t="shared" si="222"/>
        <v>7.1</v>
      </c>
      <c r="J2184" s="10">
        <f t="shared" si="223"/>
        <v>7.2</v>
      </c>
      <c r="K2184" s="10">
        <f t="shared" si="225"/>
        <v>22.9</v>
      </c>
      <c r="L2184" s="10">
        <f t="shared" si="224"/>
        <v>15.2</v>
      </c>
    </row>
    <row r="2185" spans="1:12" x14ac:dyDescent="0.25">
      <c r="A2185" s="7">
        <v>45568</v>
      </c>
      <c r="B2185" s="2" t="s">
        <v>579</v>
      </c>
      <c r="C2185" s="6">
        <v>2682</v>
      </c>
      <c r="D2185" s="5" t="s">
        <v>696</v>
      </c>
      <c r="E2185" s="1">
        <v>0.33124999999999999</v>
      </c>
      <c r="F2185" s="1">
        <v>0.53125</v>
      </c>
      <c r="G2185" s="9">
        <f t="shared" si="220"/>
        <v>45565</v>
      </c>
      <c r="H2185" s="11">
        <f t="shared" si="221"/>
        <v>4.8</v>
      </c>
      <c r="I2185" s="10">
        <f t="shared" si="222"/>
        <v>4.8</v>
      </c>
      <c r="J2185" s="10">
        <f t="shared" si="223"/>
        <v>7.2</v>
      </c>
      <c r="K2185" s="10">
        <f t="shared" si="225"/>
        <v>27.7</v>
      </c>
      <c r="L2185" s="10">
        <f t="shared" si="224"/>
        <v>20</v>
      </c>
    </row>
    <row r="2186" spans="1:12" x14ac:dyDescent="0.25">
      <c r="A2186" s="7">
        <v>45568</v>
      </c>
      <c r="B2186" s="2" t="s">
        <v>579</v>
      </c>
      <c r="C2186" s="6">
        <v>2682</v>
      </c>
      <c r="D2186" s="5" t="s">
        <v>691</v>
      </c>
      <c r="E2186" s="1">
        <v>0.53125</v>
      </c>
      <c r="F2186" s="1">
        <v>0.56388888888888888</v>
      </c>
      <c r="G2186" s="9">
        <f t="shared" si="220"/>
        <v>45565</v>
      </c>
      <c r="H2186" s="11">
        <f t="shared" si="221"/>
        <v>0.8</v>
      </c>
      <c r="I2186" s="10">
        <f t="shared" si="222"/>
        <v>5.6</v>
      </c>
      <c r="J2186" s="10">
        <f t="shared" si="223"/>
        <v>7.2</v>
      </c>
      <c r="K2186" s="10">
        <f t="shared" si="225"/>
        <v>28.5</v>
      </c>
      <c r="L2186" s="10">
        <f t="shared" si="224"/>
        <v>20.8</v>
      </c>
    </row>
    <row r="2187" spans="1:12" x14ac:dyDescent="0.25">
      <c r="A2187" s="7">
        <v>45568</v>
      </c>
      <c r="B2187" s="2" t="s">
        <v>579</v>
      </c>
      <c r="C2187" s="6">
        <v>2682</v>
      </c>
      <c r="D2187" s="5" t="s">
        <v>696</v>
      </c>
      <c r="E2187" s="1">
        <v>0.56388888888888888</v>
      </c>
      <c r="F2187" s="1">
        <v>0.60763888888888884</v>
      </c>
      <c r="G2187" s="9">
        <f t="shared" si="220"/>
        <v>45565</v>
      </c>
      <c r="H2187" s="11">
        <f t="shared" si="221"/>
        <v>1.1000000000000001</v>
      </c>
      <c r="I2187" s="10">
        <f t="shared" si="222"/>
        <v>6.6999999999999993</v>
      </c>
      <c r="J2187" s="10">
        <f t="shared" si="223"/>
        <v>7.2</v>
      </c>
      <c r="K2187" s="10">
        <f t="shared" si="225"/>
        <v>29.6</v>
      </c>
      <c r="L2187" s="10">
        <f t="shared" si="224"/>
        <v>21.900000000000002</v>
      </c>
    </row>
    <row r="2188" spans="1:12" x14ac:dyDescent="0.25">
      <c r="A2188" s="7">
        <v>45569</v>
      </c>
      <c r="B2188" s="2" t="s">
        <v>579</v>
      </c>
      <c r="C2188" s="6">
        <v>2682</v>
      </c>
      <c r="D2188" s="5" t="s">
        <v>697</v>
      </c>
      <c r="E2188" s="1">
        <v>0.34305555555555556</v>
      </c>
      <c r="F2188" s="1">
        <v>0.39583333333333331</v>
      </c>
      <c r="G2188" s="9">
        <f t="shared" si="220"/>
        <v>45565</v>
      </c>
      <c r="H2188" s="11">
        <f t="shared" si="221"/>
        <v>1.3</v>
      </c>
      <c r="I2188" s="10">
        <f t="shared" si="222"/>
        <v>1.3</v>
      </c>
      <c r="J2188" s="10">
        <f t="shared" si="223"/>
        <v>7.2</v>
      </c>
      <c r="K2188" s="10">
        <f t="shared" si="225"/>
        <v>30.900000000000002</v>
      </c>
      <c r="L2188" s="10">
        <f t="shared" si="224"/>
        <v>23.2</v>
      </c>
    </row>
    <row r="2189" spans="1:12" x14ac:dyDescent="0.25">
      <c r="A2189" s="7">
        <v>45569</v>
      </c>
      <c r="B2189" s="2" t="s">
        <v>838</v>
      </c>
      <c r="C2189" s="6">
        <v>6185</v>
      </c>
      <c r="D2189" s="5" t="s">
        <v>698</v>
      </c>
      <c r="E2189" s="1">
        <v>0.39583333333333331</v>
      </c>
      <c r="F2189" s="1">
        <v>0.46319444444444446</v>
      </c>
      <c r="G2189" s="9">
        <f t="shared" si="220"/>
        <v>45565</v>
      </c>
      <c r="H2189" s="11">
        <f t="shared" si="221"/>
        <v>1.6</v>
      </c>
      <c r="I2189" s="10">
        <f t="shared" si="222"/>
        <v>2.9000000000000004</v>
      </c>
      <c r="J2189" s="10">
        <f t="shared" si="223"/>
        <v>7.2</v>
      </c>
      <c r="K2189" s="10">
        <f t="shared" si="225"/>
        <v>32.5</v>
      </c>
      <c r="L2189" s="10">
        <f t="shared" si="224"/>
        <v>24.8</v>
      </c>
    </row>
    <row r="2190" spans="1:12" x14ac:dyDescent="0.25">
      <c r="A2190" s="7">
        <v>45569</v>
      </c>
      <c r="B2190" s="2" t="s">
        <v>838</v>
      </c>
      <c r="C2190" s="6">
        <v>6185</v>
      </c>
      <c r="D2190" s="1" t="s">
        <v>663</v>
      </c>
      <c r="E2190" s="1">
        <v>0.46319444444444446</v>
      </c>
      <c r="F2190" s="1">
        <v>0.54166666666666663</v>
      </c>
      <c r="G2190" s="9">
        <f t="shared" si="220"/>
        <v>45565</v>
      </c>
      <c r="H2190" s="11">
        <f t="shared" si="221"/>
        <v>1.9</v>
      </c>
      <c r="I2190" s="10">
        <f t="shared" si="222"/>
        <v>4.8</v>
      </c>
      <c r="J2190" s="10">
        <f t="shared" si="223"/>
        <v>7.2</v>
      </c>
      <c r="K2190" s="10">
        <f t="shared" si="225"/>
        <v>34.4</v>
      </c>
      <c r="L2190" s="10">
        <f t="shared" si="224"/>
        <v>26.7</v>
      </c>
    </row>
    <row r="2191" spans="1:12" x14ac:dyDescent="0.25">
      <c r="A2191" s="7">
        <v>45569</v>
      </c>
      <c r="B2191" t="s">
        <v>6</v>
      </c>
      <c r="C2191" s="6" t="s">
        <v>416</v>
      </c>
      <c r="D2191" s="5" t="s">
        <v>699</v>
      </c>
      <c r="E2191" s="1">
        <v>0.54166666666666663</v>
      </c>
      <c r="F2191" s="1">
        <v>0.56597222222222221</v>
      </c>
      <c r="G2191" s="9">
        <f t="shared" si="220"/>
        <v>45565</v>
      </c>
      <c r="H2191" s="11">
        <f t="shared" si="221"/>
        <v>0.6</v>
      </c>
      <c r="I2191" s="10">
        <f t="shared" si="222"/>
        <v>5.3999999999999995</v>
      </c>
      <c r="J2191" s="10">
        <f t="shared" si="223"/>
        <v>7.2</v>
      </c>
      <c r="K2191" s="10">
        <f t="shared" si="225"/>
        <v>35</v>
      </c>
      <c r="L2191" s="10">
        <f t="shared" si="224"/>
        <v>27.3</v>
      </c>
    </row>
    <row r="2192" spans="1:12" x14ac:dyDescent="0.25">
      <c r="A2192" s="7">
        <v>45569</v>
      </c>
      <c r="B2192" s="2" t="s">
        <v>838</v>
      </c>
      <c r="C2192" s="6">
        <v>6185</v>
      </c>
      <c r="D2192" s="1" t="s">
        <v>663</v>
      </c>
      <c r="E2192" s="1">
        <v>0.56597222222222221</v>
      </c>
      <c r="F2192" s="1">
        <v>0.62708333333333333</v>
      </c>
      <c r="G2192" s="9">
        <f t="shared" si="220"/>
        <v>45565</v>
      </c>
      <c r="H2192" s="11">
        <f t="shared" si="221"/>
        <v>1.5</v>
      </c>
      <c r="I2192" s="10">
        <f t="shared" si="222"/>
        <v>6.9</v>
      </c>
      <c r="J2192" s="10">
        <f t="shared" si="223"/>
        <v>7.2</v>
      </c>
      <c r="K2192" s="10">
        <f t="shared" si="225"/>
        <v>36.5</v>
      </c>
      <c r="L2192" s="10">
        <f t="shared" si="224"/>
        <v>28.8</v>
      </c>
    </row>
    <row r="2193" spans="1:12" x14ac:dyDescent="0.25">
      <c r="A2193" s="7">
        <v>45572</v>
      </c>
      <c r="B2193" s="2" t="s">
        <v>838</v>
      </c>
      <c r="C2193" s="6">
        <v>6185</v>
      </c>
      <c r="D2193" s="5" t="s">
        <v>700</v>
      </c>
      <c r="E2193" s="1">
        <v>0.32916666666666666</v>
      </c>
      <c r="F2193" s="1">
        <v>0.39930555555555558</v>
      </c>
      <c r="G2193" s="9">
        <f t="shared" si="220"/>
        <v>45572</v>
      </c>
      <c r="H2193" s="11">
        <f t="shared" si="221"/>
        <v>1.7</v>
      </c>
      <c r="I2193" s="10">
        <f t="shared" si="222"/>
        <v>1.7</v>
      </c>
      <c r="J2193" s="10">
        <f t="shared" si="223"/>
        <v>7.2</v>
      </c>
      <c r="K2193" s="10">
        <f t="shared" si="225"/>
        <v>1.7</v>
      </c>
      <c r="L2193" s="10">
        <f t="shared" si="224"/>
        <v>30.5</v>
      </c>
    </row>
    <row r="2194" spans="1:12" x14ac:dyDescent="0.25">
      <c r="A2194" s="7">
        <v>45572</v>
      </c>
      <c r="B2194" s="2" t="s">
        <v>838</v>
      </c>
      <c r="C2194" s="6">
        <v>6185</v>
      </c>
      <c r="D2194" s="5" t="s">
        <v>701</v>
      </c>
      <c r="E2194" s="1">
        <v>0.39930555555555558</v>
      </c>
      <c r="F2194" s="1">
        <v>0.48125000000000001</v>
      </c>
      <c r="G2194" s="9">
        <f t="shared" si="220"/>
        <v>45572</v>
      </c>
      <c r="H2194" s="11">
        <f t="shared" si="221"/>
        <v>2</v>
      </c>
      <c r="I2194" s="10">
        <f t="shared" si="222"/>
        <v>3.7</v>
      </c>
      <c r="J2194" s="10">
        <f t="shared" si="223"/>
        <v>7.2</v>
      </c>
      <c r="K2194" s="10">
        <f t="shared" si="225"/>
        <v>3.7</v>
      </c>
      <c r="L2194" s="10">
        <f t="shared" si="224"/>
        <v>32.5</v>
      </c>
    </row>
    <row r="2195" spans="1:12" x14ac:dyDescent="0.25">
      <c r="A2195" s="7">
        <v>45572</v>
      </c>
      <c r="B2195" t="s">
        <v>6</v>
      </c>
      <c r="C2195" s="6" t="s">
        <v>416</v>
      </c>
      <c r="D2195" s="5" t="s">
        <v>693</v>
      </c>
      <c r="E2195" s="1">
        <v>0.49236111111111114</v>
      </c>
      <c r="F2195" s="1">
        <v>0.55694444444444446</v>
      </c>
      <c r="G2195" s="9">
        <f t="shared" si="220"/>
        <v>45572</v>
      </c>
      <c r="H2195" s="11">
        <f t="shared" si="221"/>
        <v>1.6</v>
      </c>
      <c r="I2195" s="10">
        <f t="shared" si="222"/>
        <v>5.3000000000000007</v>
      </c>
      <c r="J2195" s="10">
        <f t="shared" si="223"/>
        <v>7.2</v>
      </c>
      <c r="K2195" s="10">
        <f t="shared" si="225"/>
        <v>5.3000000000000007</v>
      </c>
      <c r="L2195" s="10">
        <f t="shared" si="224"/>
        <v>34.1</v>
      </c>
    </row>
    <row r="2196" spans="1:12" x14ac:dyDescent="0.25">
      <c r="A2196" s="7">
        <v>45572</v>
      </c>
      <c r="B2196" t="s">
        <v>6</v>
      </c>
      <c r="C2196" s="6" t="s">
        <v>416</v>
      </c>
      <c r="D2196" s="5" t="s">
        <v>702</v>
      </c>
      <c r="E2196" s="1">
        <v>0.55694444444444446</v>
      </c>
      <c r="F2196" s="1">
        <v>0.62569444444444444</v>
      </c>
      <c r="G2196" s="9">
        <f t="shared" si="220"/>
        <v>45572</v>
      </c>
      <c r="H2196" s="11">
        <f t="shared" si="221"/>
        <v>1.7</v>
      </c>
      <c r="I2196" s="10">
        <f t="shared" si="222"/>
        <v>7</v>
      </c>
      <c r="J2196" s="10">
        <f t="shared" si="223"/>
        <v>7.2</v>
      </c>
      <c r="K2196" s="10">
        <f t="shared" si="225"/>
        <v>7</v>
      </c>
      <c r="L2196" s="10">
        <f t="shared" si="224"/>
        <v>35.800000000000004</v>
      </c>
    </row>
    <row r="2197" spans="1:12" x14ac:dyDescent="0.25">
      <c r="A2197" s="7">
        <v>45572</v>
      </c>
      <c r="B2197" t="s">
        <v>6</v>
      </c>
      <c r="C2197" s="6" t="s">
        <v>416</v>
      </c>
      <c r="D2197" s="5" t="s">
        <v>703</v>
      </c>
      <c r="E2197" s="1">
        <v>0.62569444444444444</v>
      </c>
      <c r="F2197" s="1">
        <v>0.65625</v>
      </c>
      <c r="G2197" s="9">
        <f t="shared" si="220"/>
        <v>45572</v>
      </c>
      <c r="H2197" s="11">
        <f t="shared" si="221"/>
        <v>0.7</v>
      </c>
      <c r="I2197" s="10">
        <f t="shared" si="222"/>
        <v>7.7</v>
      </c>
      <c r="J2197" s="10">
        <f t="shared" si="223"/>
        <v>7.2</v>
      </c>
      <c r="K2197" s="10">
        <f t="shared" si="225"/>
        <v>7.7</v>
      </c>
      <c r="L2197" s="10">
        <f t="shared" si="224"/>
        <v>36.5</v>
      </c>
    </row>
    <row r="2198" spans="1:12" x14ac:dyDescent="0.25">
      <c r="A2198" s="7">
        <v>45573</v>
      </c>
      <c r="B2198" s="2" t="s">
        <v>838</v>
      </c>
      <c r="C2198" s="6">
        <v>6185</v>
      </c>
      <c r="D2198" s="5" t="s">
        <v>700</v>
      </c>
      <c r="E2198" s="1">
        <v>0.33333333333333331</v>
      </c>
      <c r="F2198" s="1">
        <v>0.42708333333333331</v>
      </c>
      <c r="G2198" s="9">
        <f t="shared" si="220"/>
        <v>45572</v>
      </c>
      <c r="H2198" s="11">
        <f t="shared" si="221"/>
        <v>2.2999999999999998</v>
      </c>
      <c r="I2198" s="10">
        <f t="shared" si="222"/>
        <v>2.2999999999999998</v>
      </c>
      <c r="J2198" s="10">
        <f t="shared" si="223"/>
        <v>7.2</v>
      </c>
      <c r="K2198" s="10">
        <f t="shared" si="225"/>
        <v>10</v>
      </c>
      <c r="L2198" s="10">
        <f t="shared" si="224"/>
        <v>38.799999999999997</v>
      </c>
    </row>
    <row r="2199" spans="1:12" x14ac:dyDescent="0.25">
      <c r="A2199" s="7">
        <v>45573</v>
      </c>
      <c r="B2199" s="2" t="s">
        <v>579</v>
      </c>
      <c r="C2199" s="6">
        <v>2682</v>
      </c>
      <c r="D2199" s="5" t="s">
        <v>704</v>
      </c>
      <c r="E2199" s="1">
        <v>0.42708333333333331</v>
      </c>
      <c r="F2199" s="1">
        <v>0.625</v>
      </c>
      <c r="G2199" s="9">
        <f t="shared" si="220"/>
        <v>45572</v>
      </c>
      <c r="H2199" s="11">
        <f t="shared" si="221"/>
        <v>4.8</v>
      </c>
      <c r="I2199" s="10">
        <f t="shared" si="222"/>
        <v>7.1</v>
      </c>
      <c r="J2199" s="10">
        <f t="shared" si="223"/>
        <v>7.2</v>
      </c>
      <c r="K2199" s="10">
        <f t="shared" si="225"/>
        <v>14.8</v>
      </c>
      <c r="L2199" s="10">
        <f t="shared" si="224"/>
        <v>43.599999999999994</v>
      </c>
    </row>
    <row r="2200" spans="1:12" x14ac:dyDescent="0.25">
      <c r="A2200" s="7">
        <v>45573</v>
      </c>
      <c r="B2200" t="s">
        <v>6</v>
      </c>
      <c r="C2200" s="6" t="s">
        <v>416</v>
      </c>
      <c r="D2200" s="5" t="s">
        <v>693</v>
      </c>
      <c r="E2200" s="1">
        <v>0.625</v>
      </c>
      <c r="F2200" s="1">
        <v>0.65416666666666667</v>
      </c>
      <c r="G2200" s="9">
        <f t="shared" si="220"/>
        <v>45572</v>
      </c>
      <c r="H2200" s="11">
        <f t="shared" si="221"/>
        <v>0.7</v>
      </c>
      <c r="I2200" s="10">
        <f t="shared" si="222"/>
        <v>7.8</v>
      </c>
      <c r="J2200" s="10">
        <f t="shared" si="223"/>
        <v>7.2</v>
      </c>
      <c r="K2200" s="10">
        <f t="shared" si="225"/>
        <v>15.5</v>
      </c>
      <c r="L2200" s="10">
        <f t="shared" si="224"/>
        <v>44.300000000000004</v>
      </c>
    </row>
    <row r="2201" spans="1:12" x14ac:dyDescent="0.25">
      <c r="A2201" s="7">
        <v>45574</v>
      </c>
      <c r="B2201" t="s">
        <v>6</v>
      </c>
      <c r="C2201" s="6" t="s">
        <v>416</v>
      </c>
      <c r="D2201" s="5" t="s">
        <v>693</v>
      </c>
      <c r="E2201" s="1">
        <v>0.32083333333333336</v>
      </c>
      <c r="F2201" s="1">
        <v>0.53749999999999998</v>
      </c>
      <c r="G2201" s="9">
        <f t="shared" si="220"/>
        <v>45572</v>
      </c>
      <c r="H2201" s="11">
        <f t="shared" si="221"/>
        <v>5.2</v>
      </c>
      <c r="I2201" s="10">
        <f t="shared" si="222"/>
        <v>5.2</v>
      </c>
      <c r="J2201" s="10">
        <f t="shared" si="223"/>
        <v>7.2</v>
      </c>
      <c r="K2201" s="10">
        <f t="shared" si="225"/>
        <v>20.7</v>
      </c>
      <c r="L2201" s="10">
        <f t="shared" si="224"/>
        <v>49.5</v>
      </c>
    </row>
    <row r="2202" spans="1:12" x14ac:dyDescent="0.25">
      <c r="A2202" s="7">
        <v>45574</v>
      </c>
      <c r="B2202" s="2" t="s">
        <v>838</v>
      </c>
      <c r="C2202" s="6">
        <v>6185</v>
      </c>
      <c r="D2202" s="5" t="s">
        <v>705</v>
      </c>
      <c r="E2202" s="1">
        <v>0.53749999999999998</v>
      </c>
      <c r="F2202" s="1">
        <v>0.61944444444444446</v>
      </c>
      <c r="G2202" s="9">
        <f t="shared" si="220"/>
        <v>45572</v>
      </c>
      <c r="H2202" s="11">
        <f t="shared" si="221"/>
        <v>2</v>
      </c>
      <c r="I2202" s="10">
        <f t="shared" si="222"/>
        <v>7.2</v>
      </c>
      <c r="J2202" s="10">
        <f t="shared" si="223"/>
        <v>7.2</v>
      </c>
      <c r="K2202" s="10">
        <f t="shared" si="225"/>
        <v>22.7</v>
      </c>
      <c r="L2202" s="10">
        <f t="shared" si="224"/>
        <v>51.5</v>
      </c>
    </row>
    <row r="2203" spans="1:12" x14ac:dyDescent="0.25">
      <c r="A2203" s="7">
        <v>45574</v>
      </c>
      <c r="B2203" t="s">
        <v>6</v>
      </c>
      <c r="C2203" s="6" t="s">
        <v>416</v>
      </c>
      <c r="D2203" s="5" t="s">
        <v>693</v>
      </c>
      <c r="E2203" s="1">
        <v>0.61944444444444446</v>
      </c>
      <c r="F2203" s="1">
        <v>0.66527777777777775</v>
      </c>
      <c r="G2203" s="9">
        <f t="shared" si="220"/>
        <v>45572</v>
      </c>
      <c r="H2203" s="11">
        <f t="shared" si="221"/>
        <v>1.1000000000000001</v>
      </c>
      <c r="I2203" s="10">
        <f t="shared" si="222"/>
        <v>8.3000000000000007</v>
      </c>
      <c r="J2203" s="10">
        <f t="shared" si="223"/>
        <v>7.2</v>
      </c>
      <c r="K2203" s="10">
        <f t="shared" si="225"/>
        <v>23.8</v>
      </c>
      <c r="L2203" s="10">
        <f t="shared" si="224"/>
        <v>52.6</v>
      </c>
    </row>
    <row r="2204" spans="1:12" x14ac:dyDescent="0.25">
      <c r="A2204" s="7">
        <v>45575</v>
      </c>
      <c r="B2204" t="s">
        <v>598</v>
      </c>
      <c r="C2204" s="6">
        <v>6004</v>
      </c>
      <c r="D2204" s="5" t="s">
        <v>574</v>
      </c>
      <c r="E2204" s="1">
        <v>0.34027777777777779</v>
      </c>
      <c r="F2204" s="1">
        <v>0.39583333333333331</v>
      </c>
      <c r="G2204" s="9">
        <f t="shared" si="220"/>
        <v>45572</v>
      </c>
      <c r="H2204" s="11">
        <f t="shared" si="221"/>
        <v>1.3</v>
      </c>
      <c r="I2204" s="10">
        <f t="shared" si="222"/>
        <v>1.3</v>
      </c>
      <c r="J2204" s="10">
        <f t="shared" si="223"/>
        <v>7.2</v>
      </c>
      <c r="K2204" s="10">
        <f t="shared" si="225"/>
        <v>25.1</v>
      </c>
      <c r="L2204" s="10">
        <f t="shared" si="224"/>
        <v>53.9</v>
      </c>
    </row>
    <row r="2205" spans="1:12" x14ac:dyDescent="0.25">
      <c r="A2205" s="7">
        <v>45575</v>
      </c>
      <c r="B2205" t="s">
        <v>6</v>
      </c>
      <c r="C2205" s="6" t="s">
        <v>416</v>
      </c>
      <c r="D2205" s="1" t="s">
        <v>398</v>
      </c>
      <c r="E2205" s="1">
        <v>0.39583333333333331</v>
      </c>
      <c r="F2205" s="1">
        <v>0.4375</v>
      </c>
      <c r="G2205" s="9">
        <f t="shared" si="220"/>
        <v>45572</v>
      </c>
      <c r="H2205" s="11">
        <f t="shared" si="221"/>
        <v>1</v>
      </c>
      <c r="I2205" s="10">
        <f t="shared" si="222"/>
        <v>2.2999999999999998</v>
      </c>
      <c r="J2205" s="10">
        <f t="shared" si="223"/>
        <v>7.2</v>
      </c>
      <c r="K2205" s="10">
        <f t="shared" si="225"/>
        <v>26.1</v>
      </c>
      <c r="L2205" s="10">
        <f t="shared" si="224"/>
        <v>54.9</v>
      </c>
    </row>
    <row r="2206" spans="1:12" x14ac:dyDescent="0.25">
      <c r="A2206" s="7">
        <v>45575</v>
      </c>
      <c r="B2206" s="2" t="s">
        <v>311</v>
      </c>
      <c r="C2206" s="6">
        <v>2008</v>
      </c>
      <c r="D2206" s="5" t="s">
        <v>604</v>
      </c>
      <c r="E2206" s="1">
        <v>0.4375</v>
      </c>
      <c r="F2206" s="1">
        <v>0.47916666666666669</v>
      </c>
      <c r="G2206" s="9">
        <f t="shared" si="220"/>
        <v>45572</v>
      </c>
      <c r="H2206" s="11">
        <f t="shared" si="221"/>
        <v>1</v>
      </c>
      <c r="I2206" s="10">
        <f t="shared" si="222"/>
        <v>3.3</v>
      </c>
      <c r="J2206" s="10">
        <f t="shared" si="223"/>
        <v>7.2</v>
      </c>
      <c r="K2206" s="10">
        <f t="shared" si="225"/>
        <v>27.1</v>
      </c>
      <c r="L2206" s="10">
        <f t="shared" si="224"/>
        <v>55.9</v>
      </c>
    </row>
    <row r="2207" spans="1:12" x14ac:dyDescent="0.25">
      <c r="A2207" s="7">
        <v>45575</v>
      </c>
      <c r="B2207" t="s">
        <v>598</v>
      </c>
      <c r="C2207" s="6">
        <v>6004</v>
      </c>
      <c r="D2207" s="5" t="s">
        <v>574</v>
      </c>
      <c r="E2207" s="1">
        <v>0.47916666666666669</v>
      </c>
      <c r="F2207" s="1">
        <v>0.5</v>
      </c>
      <c r="G2207" s="9">
        <f t="shared" si="220"/>
        <v>45572</v>
      </c>
      <c r="H2207" s="11">
        <f t="shared" si="221"/>
        <v>0.5</v>
      </c>
      <c r="I2207" s="10">
        <f t="shared" si="222"/>
        <v>3.8</v>
      </c>
      <c r="J2207" s="10">
        <f t="shared" si="223"/>
        <v>7.2</v>
      </c>
      <c r="K2207" s="10">
        <f t="shared" si="225"/>
        <v>27.6</v>
      </c>
      <c r="L2207" s="10">
        <f t="shared" si="224"/>
        <v>56.4</v>
      </c>
    </row>
    <row r="2208" spans="1:12" x14ac:dyDescent="0.25">
      <c r="A2208" s="7">
        <v>45575</v>
      </c>
      <c r="B2208" t="s">
        <v>6</v>
      </c>
      <c r="C2208" s="6" t="s">
        <v>416</v>
      </c>
      <c r="D2208" s="1" t="s">
        <v>706</v>
      </c>
      <c r="E2208" s="1">
        <v>0.5</v>
      </c>
      <c r="F2208" s="1">
        <v>0.52083333333333337</v>
      </c>
      <c r="G2208" s="9">
        <f t="shared" si="220"/>
        <v>45572</v>
      </c>
      <c r="H2208" s="11">
        <f t="shared" si="221"/>
        <v>0.5</v>
      </c>
      <c r="I2208" s="10">
        <f t="shared" si="222"/>
        <v>4.3</v>
      </c>
      <c r="J2208" s="10">
        <f t="shared" si="223"/>
        <v>7.2</v>
      </c>
      <c r="K2208" s="10">
        <f t="shared" si="225"/>
        <v>28.1</v>
      </c>
      <c r="L2208" s="10">
        <f t="shared" si="224"/>
        <v>56.9</v>
      </c>
    </row>
    <row r="2209" spans="1:12" x14ac:dyDescent="0.25">
      <c r="A2209" s="7">
        <v>45575</v>
      </c>
      <c r="B2209" t="s">
        <v>6</v>
      </c>
      <c r="C2209" s="6" t="s">
        <v>416</v>
      </c>
      <c r="D2209" s="1" t="s">
        <v>707</v>
      </c>
      <c r="E2209" s="1">
        <v>0.52083333333333337</v>
      </c>
      <c r="F2209" s="1">
        <v>0.54166666666666663</v>
      </c>
      <c r="G2209" s="9">
        <f t="shared" si="220"/>
        <v>45572</v>
      </c>
      <c r="H2209" s="11">
        <f t="shared" si="221"/>
        <v>0.5</v>
      </c>
      <c r="I2209" s="10">
        <f t="shared" si="222"/>
        <v>4.8</v>
      </c>
      <c r="J2209" s="10">
        <f t="shared" si="223"/>
        <v>7.2</v>
      </c>
      <c r="K2209" s="10">
        <f t="shared" si="225"/>
        <v>28.6</v>
      </c>
      <c r="L2209" s="10">
        <f t="shared" si="224"/>
        <v>57.4</v>
      </c>
    </row>
    <row r="2210" spans="1:12" x14ac:dyDescent="0.25">
      <c r="A2210" s="7">
        <v>45575</v>
      </c>
      <c r="B2210" t="s">
        <v>6</v>
      </c>
      <c r="C2210" s="6" t="s">
        <v>416</v>
      </c>
      <c r="D2210" s="1" t="s">
        <v>58</v>
      </c>
      <c r="E2210" s="1">
        <v>0.54166666666666663</v>
      </c>
      <c r="F2210" s="1">
        <v>0.58333333333333337</v>
      </c>
      <c r="G2210" s="9">
        <f t="shared" si="220"/>
        <v>45572</v>
      </c>
      <c r="H2210" s="11">
        <f t="shared" si="221"/>
        <v>1</v>
      </c>
      <c r="I2210" s="10">
        <f t="shared" si="222"/>
        <v>5.8</v>
      </c>
      <c r="J2210" s="10">
        <f t="shared" si="223"/>
        <v>7.2</v>
      </c>
      <c r="K2210" s="10">
        <f t="shared" si="225"/>
        <v>29.6</v>
      </c>
      <c r="L2210" s="10">
        <f t="shared" si="224"/>
        <v>58.4</v>
      </c>
    </row>
    <row r="2211" spans="1:12" x14ac:dyDescent="0.25">
      <c r="A2211" s="7">
        <v>45575</v>
      </c>
      <c r="B2211" t="s">
        <v>6</v>
      </c>
      <c r="C2211" s="6" t="s">
        <v>416</v>
      </c>
      <c r="D2211" s="5" t="s">
        <v>708</v>
      </c>
      <c r="E2211" s="1">
        <v>0.58333333333333337</v>
      </c>
      <c r="F2211" s="1">
        <v>0.60972222222222228</v>
      </c>
      <c r="G2211" s="9">
        <f t="shared" si="220"/>
        <v>45572</v>
      </c>
      <c r="H2211" s="11">
        <f t="shared" si="221"/>
        <v>0.6</v>
      </c>
      <c r="I2211" s="10">
        <f t="shared" si="222"/>
        <v>6.3999999999999995</v>
      </c>
      <c r="J2211" s="10">
        <f t="shared" si="223"/>
        <v>7.2</v>
      </c>
      <c r="K2211" s="10">
        <f t="shared" si="225"/>
        <v>30.200000000000003</v>
      </c>
      <c r="L2211" s="10">
        <f t="shared" si="224"/>
        <v>59</v>
      </c>
    </row>
    <row r="2212" spans="1:12" x14ac:dyDescent="0.25">
      <c r="A2212" s="7">
        <v>45576</v>
      </c>
      <c r="B2212" t="s">
        <v>598</v>
      </c>
      <c r="C2212" s="6">
        <v>6004</v>
      </c>
      <c r="D2212" s="5" t="s">
        <v>709</v>
      </c>
      <c r="E2212" s="1">
        <v>0.34722222222222221</v>
      </c>
      <c r="F2212" s="1">
        <v>0.50347222222222221</v>
      </c>
      <c r="G2212" s="9">
        <f t="shared" si="220"/>
        <v>45572</v>
      </c>
      <c r="H2212" s="11">
        <f t="shared" si="221"/>
        <v>3.8</v>
      </c>
      <c r="I2212" s="10">
        <f t="shared" si="222"/>
        <v>3.8</v>
      </c>
      <c r="J2212" s="10">
        <f t="shared" si="223"/>
        <v>7.2</v>
      </c>
      <c r="K2212" s="10">
        <f t="shared" si="225"/>
        <v>34</v>
      </c>
      <c r="L2212" s="10">
        <f t="shared" si="224"/>
        <v>62.8</v>
      </c>
    </row>
    <row r="2213" spans="1:12" x14ac:dyDescent="0.25">
      <c r="A2213" s="7">
        <v>45576</v>
      </c>
      <c r="B2213" t="s">
        <v>598</v>
      </c>
      <c r="C2213" s="6">
        <v>6004</v>
      </c>
      <c r="D2213" s="5" t="s">
        <v>709</v>
      </c>
      <c r="E2213" s="1">
        <v>0.52083333333333337</v>
      </c>
      <c r="F2213" s="1">
        <v>0.54166666666666663</v>
      </c>
      <c r="G2213" s="9">
        <f t="shared" si="220"/>
        <v>45572</v>
      </c>
      <c r="H2213" s="11">
        <f t="shared" si="221"/>
        <v>0.5</v>
      </c>
      <c r="I2213" s="10">
        <f t="shared" si="222"/>
        <v>4.3</v>
      </c>
      <c r="J2213" s="10">
        <f t="shared" si="223"/>
        <v>7.2</v>
      </c>
      <c r="K2213" s="10">
        <f t="shared" si="225"/>
        <v>34.5</v>
      </c>
      <c r="L2213" s="10">
        <f t="shared" si="224"/>
        <v>63.3</v>
      </c>
    </row>
    <row r="2214" spans="1:12" x14ac:dyDescent="0.25">
      <c r="A2214" s="7">
        <v>45576</v>
      </c>
      <c r="B2214" t="s">
        <v>6</v>
      </c>
      <c r="C2214" s="6" t="s">
        <v>416</v>
      </c>
      <c r="D2214" s="5" t="s">
        <v>374</v>
      </c>
      <c r="E2214" s="1">
        <v>0.54166666666666663</v>
      </c>
      <c r="F2214" s="1">
        <v>0.58263888888888893</v>
      </c>
      <c r="G2214" s="9">
        <f t="shared" si="220"/>
        <v>45572</v>
      </c>
      <c r="H2214" s="11">
        <f t="shared" si="221"/>
        <v>1</v>
      </c>
      <c r="I2214" s="10">
        <f t="shared" si="222"/>
        <v>5.3</v>
      </c>
      <c r="J2214" s="10">
        <f t="shared" si="223"/>
        <v>7.2</v>
      </c>
      <c r="K2214" s="10">
        <f t="shared" si="225"/>
        <v>35.5</v>
      </c>
      <c r="L2214" s="10">
        <f t="shared" si="224"/>
        <v>64.3</v>
      </c>
    </row>
    <row r="2215" spans="1:12" x14ac:dyDescent="0.25">
      <c r="A2215" s="7">
        <v>45576</v>
      </c>
      <c r="B2215" t="s">
        <v>598</v>
      </c>
      <c r="C2215" s="6">
        <v>6004</v>
      </c>
      <c r="D2215" s="5" t="s">
        <v>709</v>
      </c>
      <c r="E2215" s="1">
        <v>0.58263888888888893</v>
      </c>
      <c r="F2215" s="1">
        <v>0.62083333333333335</v>
      </c>
      <c r="G2215" s="9">
        <f t="shared" si="220"/>
        <v>45572</v>
      </c>
      <c r="H2215" s="11">
        <f t="shared" si="221"/>
        <v>0.9</v>
      </c>
      <c r="I2215" s="10">
        <f t="shared" si="222"/>
        <v>6.2</v>
      </c>
      <c r="J2215" s="10">
        <f t="shared" si="223"/>
        <v>7.2</v>
      </c>
      <c r="K2215" s="10">
        <f t="shared" si="225"/>
        <v>36.4</v>
      </c>
      <c r="L2215" s="10">
        <f t="shared" si="224"/>
        <v>65.2</v>
      </c>
    </row>
    <row r="2216" spans="1:12" x14ac:dyDescent="0.25">
      <c r="A2216" s="7">
        <v>45579</v>
      </c>
      <c r="B2216" t="s">
        <v>6</v>
      </c>
      <c r="C2216" s="6" t="s">
        <v>416</v>
      </c>
      <c r="D2216" s="1" t="s">
        <v>710</v>
      </c>
      <c r="E2216" s="1">
        <v>0.34513888888888888</v>
      </c>
      <c r="F2216" s="1">
        <v>0.66319444444444442</v>
      </c>
      <c r="G2216" s="9">
        <f t="shared" si="220"/>
        <v>45579</v>
      </c>
      <c r="H2216" s="11">
        <f t="shared" si="221"/>
        <v>7.6</v>
      </c>
      <c r="I2216" s="10">
        <f t="shared" si="222"/>
        <v>7.6</v>
      </c>
      <c r="J2216" s="10">
        <f t="shared" si="223"/>
        <v>7.2</v>
      </c>
      <c r="K2216" s="10">
        <f t="shared" si="225"/>
        <v>7.6</v>
      </c>
      <c r="L2216" s="10">
        <f t="shared" si="224"/>
        <v>72.8</v>
      </c>
    </row>
    <row r="2217" spans="1:12" x14ac:dyDescent="0.25">
      <c r="A2217" s="7">
        <v>45580</v>
      </c>
      <c r="B2217" t="s">
        <v>6</v>
      </c>
      <c r="C2217" s="6" t="s">
        <v>416</v>
      </c>
      <c r="D2217" s="1" t="s">
        <v>710</v>
      </c>
      <c r="E2217" s="1">
        <v>0.34791666666666665</v>
      </c>
      <c r="F2217" s="1">
        <v>0.52013888888888893</v>
      </c>
      <c r="G2217" s="9">
        <f t="shared" si="220"/>
        <v>45579</v>
      </c>
      <c r="H2217" s="11">
        <f t="shared" si="221"/>
        <v>4.0999999999999996</v>
      </c>
      <c r="I2217" s="10">
        <f t="shared" si="222"/>
        <v>4.0999999999999996</v>
      </c>
      <c r="J2217" s="10">
        <f t="shared" si="223"/>
        <v>7.2</v>
      </c>
      <c r="K2217" s="10">
        <f t="shared" si="225"/>
        <v>11.7</v>
      </c>
      <c r="L2217" s="10">
        <f t="shared" si="224"/>
        <v>76.899999999999991</v>
      </c>
    </row>
    <row r="2218" spans="1:12" x14ac:dyDescent="0.25">
      <c r="A2218" s="7">
        <v>45580</v>
      </c>
      <c r="B2218" s="2" t="s">
        <v>464</v>
      </c>
      <c r="C2218" s="6">
        <v>2431</v>
      </c>
      <c r="D2218" s="5" t="s">
        <v>600</v>
      </c>
      <c r="E2218" s="1">
        <v>0.53888888888888886</v>
      </c>
      <c r="F2218" s="1">
        <v>0.58750000000000002</v>
      </c>
      <c r="G2218" s="9">
        <f t="shared" si="220"/>
        <v>45579</v>
      </c>
      <c r="H2218" s="11">
        <f t="shared" si="221"/>
        <v>1.2</v>
      </c>
      <c r="I2218" s="10">
        <f t="shared" si="222"/>
        <v>5.3</v>
      </c>
      <c r="J2218" s="10">
        <f t="shared" si="223"/>
        <v>7.2</v>
      </c>
      <c r="K2218" s="10">
        <f t="shared" si="225"/>
        <v>12.899999999999999</v>
      </c>
      <c r="L2218" s="10">
        <f t="shared" si="224"/>
        <v>78.100000000000009</v>
      </c>
    </row>
    <row r="2219" spans="1:12" x14ac:dyDescent="0.25">
      <c r="A2219" s="7">
        <v>45580</v>
      </c>
      <c r="B2219" s="2" t="s">
        <v>579</v>
      </c>
      <c r="C2219" s="6">
        <v>2682</v>
      </c>
      <c r="D2219" s="5" t="s">
        <v>684</v>
      </c>
      <c r="E2219" s="1">
        <v>0.58750000000000002</v>
      </c>
      <c r="F2219" s="1">
        <v>0.66666666666666663</v>
      </c>
      <c r="G2219" s="9">
        <f t="shared" si="220"/>
        <v>45579</v>
      </c>
      <c r="H2219" s="11">
        <f t="shared" si="221"/>
        <v>1.9</v>
      </c>
      <c r="I2219" s="10">
        <f t="shared" si="222"/>
        <v>7.1999999999999993</v>
      </c>
      <c r="J2219" s="10">
        <f t="shared" si="223"/>
        <v>7.2</v>
      </c>
      <c r="K2219" s="10">
        <f t="shared" si="225"/>
        <v>14.8</v>
      </c>
      <c r="L2219" s="10">
        <f t="shared" si="224"/>
        <v>80</v>
      </c>
    </row>
    <row r="2220" spans="1:12" x14ac:dyDescent="0.25">
      <c r="A2220" s="7">
        <v>45580</v>
      </c>
      <c r="B2220" t="s">
        <v>6</v>
      </c>
      <c r="C2220" s="6" t="s">
        <v>416</v>
      </c>
      <c r="D2220" s="1" t="s">
        <v>710</v>
      </c>
      <c r="E2220" s="1">
        <v>0.66666666666666663</v>
      </c>
      <c r="F2220" s="1">
        <v>0.70277777777777772</v>
      </c>
      <c r="G2220" s="9">
        <f t="shared" si="220"/>
        <v>45579</v>
      </c>
      <c r="H2220" s="11">
        <f t="shared" si="221"/>
        <v>0.9</v>
      </c>
      <c r="I2220" s="10">
        <f t="shared" si="222"/>
        <v>8.1</v>
      </c>
      <c r="J2220" s="10">
        <f t="shared" si="223"/>
        <v>7.2</v>
      </c>
      <c r="K2220" s="10">
        <f t="shared" si="225"/>
        <v>15.700000000000001</v>
      </c>
      <c r="L2220" s="10">
        <f t="shared" si="224"/>
        <v>80.900000000000006</v>
      </c>
    </row>
    <row r="2221" spans="1:12" x14ac:dyDescent="0.25">
      <c r="A2221" s="7">
        <v>45581</v>
      </c>
      <c r="B2221" s="2" t="s">
        <v>579</v>
      </c>
      <c r="C2221" s="6">
        <v>2682</v>
      </c>
      <c r="D2221" s="5" t="s">
        <v>684</v>
      </c>
      <c r="E2221" s="1">
        <v>0.34791666666666665</v>
      </c>
      <c r="F2221" s="1">
        <v>0.45833333333333331</v>
      </c>
      <c r="G2221" s="9">
        <f t="shared" ref="G2221:G2284" si="226">IF(E2221&gt;0,INT((A2221-2)/7)*7+2,"")</f>
        <v>45579</v>
      </c>
      <c r="H2221" s="11">
        <f t="shared" ref="H2221:H2284" si="227">IF(E2221&gt;0,ROUND(24*(IF(F2221&gt;0,F2221,NowTime)-E2221),1),"")</f>
        <v>2.7</v>
      </c>
      <c r="I2221" s="10">
        <f t="shared" ref="I2221:I2284" si="228">IF(H2221="",H2221,H2221+IF(A2221=A2220,_xlfn.NUMBERVALUE(I2220),0))</f>
        <v>2.7</v>
      </c>
      <c r="J2221" s="10">
        <f t="shared" ref="J2221:J2284" si="229">IF(H2221="",H2221,7.2)</f>
        <v>7.2</v>
      </c>
      <c r="K2221" s="10">
        <f t="shared" si="225"/>
        <v>18.399999999999999</v>
      </c>
      <c r="L2221" s="10">
        <f t="shared" ref="L2221:L2284" si="230">IF(H2221="",H2221,H2221+IF(MONTH(A2221)=MONTH(A2220),_xlfn.NUMBERVALUE(L2220),0))</f>
        <v>83.600000000000009</v>
      </c>
    </row>
    <row r="2222" spans="1:12" x14ac:dyDescent="0.25">
      <c r="A2222" s="7">
        <v>45581</v>
      </c>
      <c r="B2222" t="s">
        <v>6</v>
      </c>
      <c r="C2222" s="6" t="s">
        <v>416</v>
      </c>
      <c r="D2222" s="1" t="s">
        <v>710</v>
      </c>
      <c r="E2222" s="1">
        <v>0.45833333333333331</v>
      </c>
      <c r="F2222" s="1">
        <v>0.50902777777777775</v>
      </c>
      <c r="G2222" s="9">
        <f t="shared" si="226"/>
        <v>45579</v>
      </c>
      <c r="H2222" s="11">
        <f t="shared" si="227"/>
        <v>1.2</v>
      </c>
      <c r="I2222" s="10">
        <f t="shared" si="228"/>
        <v>3.9000000000000004</v>
      </c>
      <c r="J2222" s="10">
        <f t="shared" si="229"/>
        <v>7.2</v>
      </c>
      <c r="K2222" s="10">
        <f t="shared" si="225"/>
        <v>19.599999999999998</v>
      </c>
      <c r="L2222" s="10">
        <f t="shared" si="230"/>
        <v>84.8</v>
      </c>
    </row>
    <row r="2223" spans="1:12" x14ac:dyDescent="0.25">
      <c r="A2223" s="7">
        <v>45581</v>
      </c>
      <c r="B2223" s="2" t="s">
        <v>579</v>
      </c>
      <c r="C2223" s="6">
        <v>2682</v>
      </c>
      <c r="D2223" s="5" t="s">
        <v>684</v>
      </c>
      <c r="E2223" s="1">
        <v>0.5229166666666667</v>
      </c>
      <c r="F2223" s="1">
        <v>0.63958333333333328</v>
      </c>
      <c r="G2223" s="9">
        <f t="shared" si="226"/>
        <v>45579</v>
      </c>
      <c r="H2223" s="11">
        <f t="shared" si="227"/>
        <v>2.8</v>
      </c>
      <c r="I2223" s="10">
        <f t="shared" si="228"/>
        <v>6.6999999999999993</v>
      </c>
      <c r="J2223" s="10">
        <f t="shared" si="229"/>
        <v>7.2</v>
      </c>
      <c r="K2223" s="10">
        <f t="shared" si="225"/>
        <v>22.400000000000002</v>
      </c>
      <c r="L2223" s="10">
        <f t="shared" si="230"/>
        <v>87.6</v>
      </c>
    </row>
    <row r="2224" spans="1:12" x14ac:dyDescent="0.25">
      <c r="A2224" s="7">
        <v>45582</v>
      </c>
      <c r="B2224" s="2" t="s">
        <v>579</v>
      </c>
      <c r="C2224" s="6">
        <v>2682</v>
      </c>
      <c r="D2224" s="5" t="s">
        <v>684</v>
      </c>
      <c r="E2224" s="1">
        <v>0.34791666666666665</v>
      </c>
      <c r="F2224" s="1">
        <v>0.45833333333333331</v>
      </c>
      <c r="G2224" s="9">
        <f t="shared" si="226"/>
        <v>45579</v>
      </c>
      <c r="H2224" s="11">
        <f t="shared" si="227"/>
        <v>2.7</v>
      </c>
      <c r="I2224" s="10">
        <f t="shared" si="228"/>
        <v>2.7</v>
      </c>
      <c r="J2224" s="10">
        <f t="shared" si="229"/>
        <v>7.2</v>
      </c>
      <c r="K2224" s="10">
        <f t="shared" si="225"/>
        <v>25.099999999999998</v>
      </c>
      <c r="L2224" s="10">
        <f t="shared" si="230"/>
        <v>90.3</v>
      </c>
    </row>
    <row r="2225" spans="1:12" x14ac:dyDescent="0.25">
      <c r="A2225" s="7">
        <v>45582</v>
      </c>
      <c r="B2225" s="2" t="s">
        <v>464</v>
      </c>
      <c r="C2225" s="6">
        <v>2431</v>
      </c>
      <c r="D2225" s="5" t="s">
        <v>600</v>
      </c>
      <c r="E2225" s="1">
        <v>0.45833333333333331</v>
      </c>
      <c r="F2225" s="1">
        <v>0.5</v>
      </c>
      <c r="G2225" s="9">
        <f t="shared" si="226"/>
        <v>45579</v>
      </c>
      <c r="H2225" s="11">
        <f t="shared" si="227"/>
        <v>1</v>
      </c>
      <c r="I2225" s="10">
        <f t="shared" si="228"/>
        <v>3.7</v>
      </c>
      <c r="J2225" s="10">
        <f t="shared" si="229"/>
        <v>7.2</v>
      </c>
      <c r="K2225" s="10">
        <f t="shared" si="225"/>
        <v>26.1</v>
      </c>
      <c r="L2225" s="10">
        <f t="shared" si="230"/>
        <v>91.3</v>
      </c>
    </row>
    <row r="2226" spans="1:12" x14ac:dyDescent="0.25">
      <c r="A2226" s="7">
        <v>45582</v>
      </c>
      <c r="B2226" s="2" t="s">
        <v>579</v>
      </c>
      <c r="C2226" s="6">
        <v>2682</v>
      </c>
      <c r="D2226" s="5" t="s">
        <v>684</v>
      </c>
      <c r="E2226" s="1">
        <v>0.52152777777777781</v>
      </c>
      <c r="F2226" s="1">
        <v>0.64583333333333337</v>
      </c>
      <c r="G2226" s="9">
        <f t="shared" si="226"/>
        <v>45579</v>
      </c>
      <c r="H2226" s="11">
        <f t="shared" si="227"/>
        <v>3</v>
      </c>
      <c r="I2226" s="10">
        <f t="shared" si="228"/>
        <v>6.7</v>
      </c>
      <c r="J2226" s="10">
        <f t="shared" si="229"/>
        <v>7.2</v>
      </c>
      <c r="K2226" s="10">
        <f t="shared" si="225"/>
        <v>29.1</v>
      </c>
      <c r="L2226" s="10">
        <f t="shared" si="230"/>
        <v>94.3</v>
      </c>
    </row>
    <row r="2227" spans="1:12" x14ac:dyDescent="0.25">
      <c r="A2227" s="7">
        <v>45582</v>
      </c>
      <c r="B2227" s="2" t="s">
        <v>588</v>
      </c>
      <c r="C2227" s="6">
        <v>2473</v>
      </c>
      <c r="D2227" s="5" t="s">
        <v>44</v>
      </c>
      <c r="E2227" s="1">
        <v>0.64583333333333337</v>
      </c>
      <c r="F2227" s="1">
        <v>0.68680555555555556</v>
      </c>
      <c r="G2227" s="9">
        <f t="shared" si="226"/>
        <v>45579</v>
      </c>
      <c r="H2227" s="11">
        <f t="shared" si="227"/>
        <v>1</v>
      </c>
      <c r="I2227" s="10">
        <f t="shared" si="228"/>
        <v>7.7</v>
      </c>
      <c r="J2227" s="10">
        <f t="shared" si="229"/>
        <v>7.2</v>
      </c>
      <c r="K2227" s="10">
        <f t="shared" si="225"/>
        <v>30.1</v>
      </c>
      <c r="L2227" s="10">
        <f t="shared" si="230"/>
        <v>95.3</v>
      </c>
    </row>
    <row r="2228" spans="1:12" x14ac:dyDescent="0.25">
      <c r="A2228" s="7">
        <v>45583</v>
      </c>
      <c r="B2228" s="2" t="s">
        <v>579</v>
      </c>
      <c r="C2228" s="6">
        <v>2682</v>
      </c>
      <c r="D2228" s="5" t="s">
        <v>711</v>
      </c>
      <c r="E2228" s="1">
        <v>0.33750000000000002</v>
      </c>
      <c r="F2228" s="1">
        <v>0.37569444444444444</v>
      </c>
      <c r="G2228" s="9">
        <f t="shared" si="226"/>
        <v>45579</v>
      </c>
      <c r="H2228" s="11">
        <f t="shared" si="227"/>
        <v>0.9</v>
      </c>
      <c r="I2228" s="10">
        <f t="shared" si="228"/>
        <v>0.9</v>
      </c>
      <c r="J2228" s="10">
        <f t="shared" si="229"/>
        <v>7.2</v>
      </c>
      <c r="K2228" s="10">
        <f t="shared" si="225"/>
        <v>31</v>
      </c>
      <c r="L2228" s="10">
        <f t="shared" si="230"/>
        <v>96.2</v>
      </c>
    </row>
    <row r="2229" spans="1:12" x14ac:dyDescent="0.25">
      <c r="A2229" s="7">
        <v>45583</v>
      </c>
      <c r="B2229" s="2" t="s">
        <v>579</v>
      </c>
      <c r="C2229" s="6">
        <v>2682</v>
      </c>
      <c r="D2229" s="5" t="s">
        <v>684</v>
      </c>
      <c r="E2229" s="1">
        <v>0.37569444444444444</v>
      </c>
      <c r="F2229" s="1">
        <v>0.48819444444444443</v>
      </c>
      <c r="G2229" s="9">
        <f t="shared" si="226"/>
        <v>45579</v>
      </c>
      <c r="H2229" s="11">
        <f t="shared" si="227"/>
        <v>2.7</v>
      </c>
      <c r="I2229" s="10">
        <f t="shared" si="228"/>
        <v>3.6</v>
      </c>
      <c r="J2229" s="10">
        <f t="shared" si="229"/>
        <v>7.2</v>
      </c>
      <c r="K2229" s="10">
        <f t="shared" si="225"/>
        <v>33.700000000000003</v>
      </c>
      <c r="L2229" s="10">
        <f t="shared" si="230"/>
        <v>98.9</v>
      </c>
    </row>
    <row r="2230" spans="1:12" x14ac:dyDescent="0.25">
      <c r="A2230" s="7">
        <v>45583</v>
      </c>
      <c r="B2230" s="2" t="s">
        <v>579</v>
      </c>
      <c r="C2230" s="6">
        <v>2682</v>
      </c>
      <c r="D2230" s="5" t="s">
        <v>684</v>
      </c>
      <c r="E2230" s="1">
        <v>0.51180555555555551</v>
      </c>
      <c r="F2230" s="1">
        <v>0.58958333333333335</v>
      </c>
      <c r="G2230" s="9">
        <f t="shared" si="226"/>
        <v>45579</v>
      </c>
      <c r="H2230" s="11">
        <f t="shared" si="227"/>
        <v>1.9</v>
      </c>
      <c r="I2230" s="10">
        <f t="shared" si="228"/>
        <v>5.5</v>
      </c>
      <c r="J2230" s="10">
        <f t="shared" si="229"/>
        <v>7.2</v>
      </c>
      <c r="K2230" s="10">
        <f t="shared" si="225"/>
        <v>35.6</v>
      </c>
      <c r="L2230" s="10">
        <f t="shared" si="230"/>
        <v>100.80000000000001</v>
      </c>
    </row>
    <row r="2231" spans="1:12" x14ac:dyDescent="0.25">
      <c r="A2231" s="7">
        <v>45583</v>
      </c>
      <c r="B2231" t="s">
        <v>6</v>
      </c>
      <c r="C2231" s="6" t="s">
        <v>416</v>
      </c>
      <c r="D2231" s="5" t="s">
        <v>259</v>
      </c>
      <c r="E2231" s="1">
        <v>0.58958333333333335</v>
      </c>
      <c r="F2231" s="1">
        <v>0.60555555555555551</v>
      </c>
      <c r="G2231" s="9">
        <f t="shared" si="226"/>
        <v>45579</v>
      </c>
      <c r="H2231" s="11">
        <f t="shared" si="227"/>
        <v>0.4</v>
      </c>
      <c r="I2231" s="10">
        <f t="shared" si="228"/>
        <v>5.9</v>
      </c>
      <c r="J2231" s="10">
        <f t="shared" si="229"/>
        <v>7.2</v>
      </c>
      <c r="K2231" s="10">
        <f t="shared" si="225"/>
        <v>36</v>
      </c>
      <c r="L2231" s="10">
        <f t="shared" si="230"/>
        <v>101.2</v>
      </c>
    </row>
    <row r="2232" spans="1:12" x14ac:dyDescent="0.25">
      <c r="A2232" s="7">
        <v>45583</v>
      </c>
      <c r="B2232" s="2" t="s">
        <v>579</v>
      </c>
      <c r="C2232" s="6">
        <v>2682</v>
      </c>
      <c r="D2232" s="5" t="s">
        <v>684</v>
      </c>
      <c r="E2232" s="1">
        <v>0.60555555555555551</v>
      </c>
      <c r="F2232" s="1">
        <v>0.6333333333333333</v>
      </c>
      <c r="G2232" s="9">
        <f t="shared" si="226"/>
        <v>45579</v>
      </c>
      <c r="H2232" s="11">
        <f t="shared" si="227"/>
        <v>0.7</v>
      </c>
      <c r="I2232" s="10">
        <f t="shared" si="228"/>
        <v>6.6000000000000005</v>
      </c>
      <c r="J2232" s="10">
        <f t="shared" si="229"/>
        <v>7.2</v>
      </c>
      <c r="K2232" s="10">
        <f t="shared" si="225"/>
        <v>36.700000000000003</v>
      </c>
      <c r="L2232" s="10">
        <f t="shared" si="230"/>
        <v>101.9</v>
      </c>
    </row>
    <row r="2233" spans="1:12" x14ac:dyDescent="0.25">
      <c r="A2233" s="7">
        <v>45586</v>
      </c>
      <c r="B2233" t="s">
        <v>6</v>
      </c>
      <c r="C2233" s="6" t="s">
        <v>416</v>
      </c>
      <c r="D2233" s="5" t="s">
        <v>104</v>
      </c>
      <c r="E2233" s="1">
        <v>0.33055555555555555</v>
      </c>
      <c r="F2233" s="1">
        <v>0.39583333333333331</v>
      </c>
      <c r="G2233" s="9">
        <f t="shared" si="226"/>
        <v>45586</v>
      </c>
      <c r="H2233" s="11">
        <f t="shared" si="227"/>
        <v>1.6</v>
      </c>
      <c r="I2233" s="10">
        <f t="shared" si="228"/>
        <v>1.6</v>
      </c>
      <c r="J2233" s="10">
        <f t="shared" si="229"/>
        <v>7.2</v>
      </c>
      <c r="K2233" s="10">
        <f t="shared" si="225"/>
        <v>1.6</v>
      </c>
      <c r="L2233" s="10">
        <f t="shared" si="230"/>
        <v>103.5</v>
      </c>
    </row>
    <row r="2234" spans="1:12" x14ac:dyDescent="0.25">
      <c r="A2234" s="7">
        <v>45586</v>
      </c>
      <c r="B2234" s="2" t="s">
        <v>838</v>
      </c>
      <c r="C2234" s="6">
        <v>6185</v>
      </c>
      <c r="D2234" s="5" t="s">
        <v>700</v>
      </c>
      <c r="E2234" s="1">
        <v>0.39583333333333331</v>
      </c>
      <c r="F2234" s="1">
        <v>0.47361111111111109</v>
      </c>
      <c r="G2234" s="9">
        <f t="shared" si="226"/>
        <v>45586</v>
      </c>
      <c r="H2234" s="11">
        <f t="shared" si="227"/>
        <v>1.9</v>
      </c>
      <c r="I2234" s="10">
        <f t="shared" si="228"/>
        <v>3.5</v>
      </c>
      <c r="J2234" s="10">
        <f t="shared" si="229"/>
        <v>7.2</v>
      </c>
      <c r="K2234" s="10">
        <f t="shared" si="225"/>
        <v>3.5</v>
      </c>
      <c r="L2234" s="10">
        <f t="shared" si="230"/>
        <v>105.4</v>
      </c>
    </row>
    <row r="2235" spans="1:12" x14ac:dyDescent="0.25">
      <c r="A2235" s="7">
        <v>45586</v>
      </c>
      <c r="B2235" s="2" t="s">
        <v>838</v>
      </c>
      <c r="C2235" s="6">
        <v>6185</v>
      </c>
      <c r="D2235" s="5" t="s">
        <v>700</v>
      </c>
      <c r="E2235" s="1">
        <v>0.48541666666666666</v>
      </c>
      <c r="F2235" s="1">
        <v>0.51944444444444449</v>
      </c>
      <c r="G2235" s="9">
        <f t="shared" si="226"/>
        <v>45586</v>
      </c>
      <c r="H2235" s="11">
        <f t="shared" si="227"/>
        <v>0.8</v>
      </c>
      <c r="I2235" s="10">
        <f t="shared" si="228"/>
        <v>4.3</v>
      </c>
      <c r="J2235" s="10">
        <f t="shared" si="229"/>
        <v>7.2</v>
      </c>
      <c r="K2235" s="10">
        <f t="shared" si="225"/>
        <v>4.3</v>
      </c>
      <c r="L2235" s="10">
        <f t="shared" si="230"/>
        <v>106.2</v>
      </c>
    </row>
    <row r="2236" spans="1:12" x14ac:dyDescent="0.25">
      <c r="A2236" s="7">
        <v>45586</v>
      </c>
      <c r="B2236" s="2" t="s">
        <v>838</v>
      </c>
      <c r="C2236" s="6">
        <v>6185</v>
      </c>
      <c r="D2236" s="5" t="s">
        <v>701</v>
      </c>
      <c r="E2236" s="1">
        <v>0.51944444444444449</v>
      </c>
      <c r="F2236" s="1">
        <v>0.56736111111111109</v>
      </c>
      <c r="G2236" s="9">
        <f t="shared" si="226"/>
        <v>45586</v>
      </c>
      <c r="H2236" s="11">
        <f t="shared" si="227"/>
        <v>1.2</v>
      </c>
      <c r="I2236" s="10">
        <f t="shared" si="228"/>
        <v>5.5</v>
      </c>
      <c r="J2236" s="10">
        <f t="shared" si="229"/>
        <v>7.2</v>
      </c>
      <c r="K2236" s="10">
        <f t="shared" si="225"/>
        <v>5.5</v>
      </c>
      <c r="L2236" s="10">
        <f t="shared" si="230"/>
        <v>107.4</v>
      </c>
    </row>
    <row r="2237" spans="1:12" x14ac:dyDescent="0.25">
      <c r="A2237" s="7">
        <v>45586</v>
      </c>
      <c r="B2237" s="2" t="s">
        <v>579</v>
      </c>
      <c r="C2237" s="6">
        <v>2682</v>
      </c>
      <c r="D2237" s="5" t="s">
        <v>684</v>
      </c>
      <c r="E2237" s="1">
        <v>0.56736111111111109</v>
      </c>
      <c r="F2237" s="1">
        <v>0.58333333333333337</v>
      </c>
      <c r="G2237" s="9">
        <f t="shared" si="226"/>
        <v>45586</v>
      </c>
      <c r="H2237" s="11">
        <f t="shared" si="227"/>
        <v>0.4</v>
      </c>
      <c r="I2237" s="10">
        <f t="shared" si="228"/>
        <v>5.9</v>
      </c>
      <c r="J2237" s="10">
        <f t="shared" si="229"/>
        <v>7.2</v>
      </c>
      <c r="K2237" s="10">
        <f t="shared" si="225"/>
        <v>5.9</v>
      </c>
      <c r="L2237" s="10">
        <f t="shared" si="230"/>
        <v>107.80000000000001</v>
      </c>
    </row>
    <row r="2238" spans="1:12" x14ac:dyDescent="0.25">
      <c r="A2238" s="7">
        <v>45586</v>
      </c>
      <c r="B2238" s="2" t="s">
        <v>464</v>
      </c>
      <c r="C2238" s="6">
        <v>2431</v>
      </c>
      <c r="D2238" s="5" t="s">
        <v>600</v>
      </c>
      <c r="E2238" s="1">
        <v>0.58333333333333337</v>
      </c>
      <c r="F2238" s="1">
        <v>0.625</v>
      </c>
      <c r="G2238" s="9">
        <f t="shared" si="226"/>
        <v>45586</v>
      </c>
      <c r="H2238" s="11">
        <f t="shared" si="227"/>
        <v>1</v>
      </c>
      <c r="I2238" s="10">
        <f t="shared" si="228"/>
        <v>6.9</v>
      </c>
      <c r="J2238" s="10">
        <f t="shared" si="229"/>
        <v>7.2</v>
      </c>
      <c r="K2238" s="10">
        <f t="shared" si="225"/>
        <v>6.9</v>
      </c>
      <c r="L2238" s="10">
        <f t="shared" si="230"/>
        <v>108.8</v>
      </c>
    </row>
    <row r="2239" spans="1:12" x14ac:dyDescent="0.25">
      <c r="A2239" s="7">
        <v>45586</v>
      </c>
      <c r="B2239" t="s">
        <v>598</v>
      </c>
      <c r="C2239" s="6">
        <v>6004</v>
      </c>
      <c r="D2239" s="5" t="s">
        <v>44</v>
      </c>
      <c r="E2239" s="1">
        <v>0.625</v>
      </c>
      <c r="F2239" s="1">
        <v>0.66111111111111109</v>
      </c>
      <c r="G2239" s="9">
        <f t="shared" si="226"/>
        <v>45586</v>
      </c>
      <c r="H2239" s="11">
        <f t="shared" si="227"/>
        <v>0.9</v>
      </c>
      <c r="I2239" s="10">
        <f t="shared" si="228"/>
        <v>7.8000000000000007</v>
      </c>
      <c r="J2239" s="10">
        <f t="shared" si="229"/>
        <v>7.2</v>
      </c>
      <c r="K2239" s="10">
        <f t="shared" si="225"/>
        <v>7.8000000000000007</v>
      </c>
      <c r="L2239" s="10">
        <f t="shared" si="230"/>
        <v>109.7</v>
      </c>
    </row>
    <row r="2240" spans="1:12" x14ac:dyDescent="0.25">
      <c r="A2240" s="7">
        <v>45587</v>
      </c>
      <c r="B2240" s="2" t="s">
        <v>838</v>
      </c>
      <c r="C2240" s="6">
        <v>6185</v>
      </c>
      <c r="D2240" s="5" t="s">
        <v>712</v>
      </c>
      <c r="E2240" s="1">
        <v>0.36319444444444443</v>
      </c>
      <c r="F2240" s="1">
        <v>0.41666666666666669</v>
      </c>
      <c r="G2240" s="9">
        <f t="shared" si="226"/>
        <v>45586</v>
      </c>
      <c r="H2240" s="11">
        <f t="shared" si="227"/>
        <v>1.3</v>
      </c>
      <c r="I2240" s="10">
        <f t="shared" si="228"/>
        <v>1.3</v>
      </c>
      <c r="J2240" s="10">
        <f t="shared" si="229"/>
        <v>7.2</v>
      </c>
      <c r="K2240" s="10">
        <f t="shared" si="225"/>
        <v>9.1</v>
      </c>
      <c r="L2240" s="10">
        <f t="shared" si="230"/>
        <v>111</v>
      </c>
    </row>
    <row r="2241" spans="1:12" x14ac:dyDescent="0.25">
      <c r="A2241" s="7">
        <v>45587</v>
      </c>
      <c r="B2241" s="2" t="s">
        <v>579</v>
      </c>
      <c r="C2241" s="6">
        <v>2682</v>
      </c>
      <c r="D2241" s="5" t="s">
        <v>684</v>
      </c>
      <c r="E2241" s="1">
        <v>0.41666666666666669</v>
      </c>
      <c r="F2241" s="1">
        <v>0.49652777777777779</v>
      </c>
      <c r="G2241" s="9">
        <f t="shared" si="226"/>
        <v>45586</v>
      </c>
      <c r="H2241" s="11">
        <f t="shared" si="227"/>
        <v>1.9</v>
      </c>
      <c r="I2241" s="10">
        <f t="shared" si="228"/>
        <v>3.2</v>
      </c>
      <c r="J2241" s="10">
        <f t="shared" si="229"/>
        <v>7.2</v>
      </c>
      <c r="K2241" s="10">
        <f t="shared" si="225"/>
        <v>11</v>
      </c>
      <c r="L2241" s="10">
        <f t="shared" si="230"/>
        <v>112.9</v>
      </c>
    </row>
    <row r="2242" spans="1:12" x14ac:dyDescent="0.25">
      <c r="A2242" s="7">
        <v>45587</v>
      </c>
      <c r="B2242" s="2" t="s">
        <v>579</v>
      </c>
      <c r="C2242" s="6">
        <v>2682</v>
      </c>
      <c r="D2242" s="5" t="s">
        <v>684</v>
      </c>
      <c r="E2242" s="1">
        <v>0.50694444444444442</v>
      </c>
      <c r="F2242" s="1">
        <v>0.54166666666666663</v>
      </c>
      <c r="G2242" s="9">
        <f t="shared" si="226"/>
        <v>45586</v>
      </c>
      <c r="H2242" s="11">
        <f t="shared" si="227"/>
        <v>0.8</v>
      </c>
      <c r="I2242" s="10">
        <f t="shared" si="228"/>
        <v>4</v>
      </c>
      <c r="J2242" s="10">
        <f t="shared" si="229"/>
        <v>7.2</v>
      </c>
      <c r="K2242" s="10">
        <f t="shared" si="225"/>
        <v>11.8</v>
      </c>
      <c r="L2242" s="10">
        <f t="shared" si="230"/>
        <v>113.7</v>
      </c>
    </row>
    <row r="2243" spans="1:12" x14ac:dyDescent="0.25">
      <c r="A2243" s="7">
        <v>45587</v>
      </c>
      <c r="B2243" t="s">
        <v>6</v>
      </c>
      <c r="C2243" s="6" t="s">
        <v>416</v>
      </c>
      <c r="D2243" s="5" t="s">
        <v>58</v>
      </c>
      <c r="E2243" s="1">
        <v>0.54166666666666663</v>
      </c>
      <c r="F2243" s="1">
        <v>0.57708333333333328</v>
      </c>
      <c r="G2243" s="9">
        <f t="shared" si="226"/>
        <v>45586</v>
      </c>
      <c r="H2243" s="11">
        <f t="shared" si="227"/>
        <v>0.9</v>
      </c>
      <c r="I2243" s="10">
        <f t="shared" si="228"/>
        <v>4.9000000000000004</v>
      </c>
      <c r="J2243" s="10">
        <f t="shared" si="229"/>
        <v>7.2</v>
      </c>
      <c r="K2243" s="10">
        <f t="shared" ref="K2243:K2306" si="231">IF(H2243="",H2243,H2243+IF(G2243=G2242,_xlfn.NUMBERVALUE(K2242),0))</f>
        <v>12.700000000000001</v>
      </c>
      <c r="L2243" s="10">
        <f t="shared" si="230"/>
        <v>114.60000000000001</v>
      </c>
    </row>
    <row r="2244" spans="1:12" x14ac:dyDescent="0.25">
      <c r="A2244" s="7">
        <v>45587</v>
      </c>
      <c r="B2244" s="2" t="s">
        <v>579</v>
      </c>
      <c r="C2244" s="6">
        <v>2682</v>
      </c>
      <c r="D2244" s="5" t="s">
        <v>684</v>
      </c>
      <c r="E2244" s="1">
        <v>0.57708333333333328</v>
      </c>
      <c r="F2244" s="1">
        <v>0.66666666666666663</v>
      </c>
      <c r="G2244" s="9">
        <f t="shared" si="226"/>
        <v>45586</v>
      </c>
      <c r="H2244" s="11">
        <f t="shared" si="227"/>
        <v>2.2000000000000002</v>
      </c>
      <c r="I2244" s="10">
        <f t="shared" si="228"/>
        <v>7.1000000000000005</v>
      </c>
      <c r="J2244" s="10">
        <f t="shared" si="229"/>
        <v>7.2</v>
      </c>
      <c r="K2244" s="10">
        <f t="shared" si="231"/>
        <v>14.899999999999999</v>
      </c>
      <c r="L2244" s="10">
        <f t="shared" si="230"/>
        <v>116.8</v>
      </c>
    </row>
    <row r="2245" spans="1:12" x14ac:dyDescent="0.25">
      <c r="A2245" s="7">
        <v>45587</v>
      </c>
      <c r="B2245" s="2" t="s">
        <v>588</v>
      </c>
      <c r="C2245" s="6">
        <v>2473</v>
      </c>
      <c r="D2245" s="5" t="s">
        <v>44</v>
      </c>
      <c r="E2245" s="1">
        <v>0.66666666666666663</v>
      </c>
      <c r="F2245" s="1">
        <v>0.72777777777777775</v>
      </c>
      <c r="G2245" s="9">
        <f t="shared" si="226"/>
        <v>45586</v>
      </c>
      <c r="H2245" s="11">
        <f t="shared" si="227"/>
        <v>1.5</v>
      </c>
      <c r="I2245" s="10">
        <f t="shared" si="228"/>
        <v>8.6</v>
      </c>
      <c r="J2245" s="10">
        <f t="shared" si="229"/>
        <v>7.2</v>
      </c>
      <c r="K2245" s="10">
        <f t="shared" si="231"/>
        <v>16.399999999999999</v>
      </c>
      <c r="L2245" s="10">
        <f t="shared" si="230"/>
        <v>118.3</v>
      </c>
    </row>
    <row r="2246" spans="1:12" x14ac:dyDescent="0.25">
      <c r="A2246" s="7">
        <v>45588</v>
      </c>
      <c r="B2246" t="s">
        <v>6</v>
      </c>
      <c r="C2246" s="6" t="s">
        <v>416</v>
      </c>
      <c r="D2246" s="5" t="s">
        <v>71</v>
      </c>
      <c r="E2246" s="1">
        <v>0.34652777777777777</v>
      </c>
      <c r="F2246" s="1">
        <v>0.38333333333333336</v>
      </c>
      <c r="G2246" s="9">
        <f t="shared" si="226"/>
        <v>45586</v>
      </c>
      <c r="H2246" s="11">
        <f t="shared" si="227"/>
        <v>0.9</v>
      </c>
      <c r="I2246" s="10">
        <f t="shared" si="228"/>
        <v>0.9</v>
      </c>
      <c r="J2246" s="10">
        <f t="shared" si="229"/>
        <v>7.2</v>
      </c>
      <c r="K2246" s="10">
        <f t="shared" si="231"/>
        <v>17.299999999999997</v>
      </c>
      <c r="L2246" s="10">
        <f t="shared" si="230"/>
        <v>119.2</v>
      </c>
    </row>
    <row r="2247" spans="1:12" x14ac:dyDescent="0.25">
      <c r="A2247" s="7">
        <v>45588</v>
      </c>
      <c r="B2247" s="2" t="s">
        <v>579</v>
      </c>
      <c r="C2247" s="6">
        <v>2682</v>
      </c>
      <c r="D2247" s="5" t="s">
        <v>684</v>
      </c>
      <c r="E2247" s="1">
        <v>0.38333333333333336</v>
      </c>
      <c r="F2247" s="1">
        <v>0.45416666666666666</v>
      </c>
      <c r="G2247" s="9">
        <f t="shared" si="226"/>
        <v>45586</v>
      </c>
      <c r="H2247" s="11">
        <f t="shared" si="227"/>
        <v>1.7</v>
      </c>
      <c r="I2247" s="10">
        <f t="shared" si="228"/>
        <v>2.6</v>
      </c>
      <c r="J2247" s="10">
        <f t="shared" si="229"/>
        <v>7.2</v>
      </c>
      <c r="K2247" s="10">
        <f t="shared" si="231"/>
        <v>19</v>
      </c>
      <c r="L2247" s="10">
        <f t="shared" si="230"/>
        <v>120.9</v>
      </c>
    </row>
    <row r="2248" spans="1:12" x14ac:dyDescent="0.25">
      <c r="A2248" s="7">
        <v>45588</v>
      </c>
      <c r="B2248" t="s">
        <v>6</v>
      </c>
      <c r="C2248" s="6" t="s">
        <v>416</v>
      </c>
      <c r="D2248" s="1" t="s">
        <v>707</v>
      </c>
      <c r="E2248" s="1">
        <v>0.45416666666666666</v>
      </c>
      <c r="F2248" s="1">
        <v>0.50347222222222221</v>
      </c>
      <c r="G2248" s="9">
        <f t="shared" si="226"/>
        <v>45586</v>
      </c>
      <c r="H2248" s="11">
        <f t="shared" si="227"/>
        <v>1.2</v>
      </c>
      <c r="I2248" s="10">
        <f t="shared" si="228"/>
        <v>3.8</v>
      </c>
      <c r="J2248" s="10">
        <f t="shared" si="229"/>
        <v>7.2</v>
      </c>
      <c r="K2248" s="10">
        <f t="shared" si="231"/>
        <v>20.2</v>
      </c>
      <c r="L2248" s="10">
        <f t="shared" si="230"/>
        <v>122.10000000000001</v>
      </c>
    </row>
    <row r="2249" spans="1:12" x14ac:dyDescent="0.25">
      <c r="A2249" s="7">
        <v>45588</v>
      </c>
      <c r="B2249" t="s">
        <v>6</v>
      </c>
      <c r="C2249" s="6" t="s">
        <v>416</v>
      </c>
      <c r="D2249" s="5" t="s">
        <v>713</v>
      </c>
      <c r="E2249" s="1">
        <v>0.51736111111111116</v>
      </c>
      <c r="F2249" s="1">
        <v>0.58333333333333337</v>
      </c>
      <c r="G2249" s="9">
        <f t="shared" si="226"/>
        <v>45586</v>
      </c>
      <c r="H2249" s="11">
        <f t="shared" si="227"/>
        <v>1.6</v>
      </c>
      <c r="I2249" s="10">
        <f t="shared" si="228"/>
        <v>5.4</v>
      </c>
      <c r="J2249" s="10">
        <f t="shared" si="229"/>
        <v>7.2</v>
      </c>
      <c r="K2249" s="10">
        <f t="shared" si="231"/>
        <v>21.8</v>
      </c>
      <c r="L2249" s="10">
        <f t="shared" si="230"/>
        <v>123.69999999999999</v>
      </c>
    </row>
    <row r="2250" spans="1:12" x14ac:dyDescent="0.25">
      <c r="A2250" s="7">
        <v>45588</v>
      </c>
      <c r="B2250" s="2" t="s">
        <v>838</v>
      </c>
      <c r="C2250" s="6">
        <v>6185</v>
      </c>
      <c r="D2250" s="5" t="s">
        <v>682</v>
      </c>
      <c r="E2250" s="1">
        <v>0.58333333333333337</v>
      </c>
      <c r="F2250" s="1">
        <v>0.62083333333333335</v>
      </c>
      <c r="G2250" s="9">
        <f t="shared" si="226"/>
        <v>45586</v>
      </c>
      <c r="H2250" s="11">
        <f t="shared" si="227"/>
        <v>0.9</v>
      </c>
      <c r="I2250" s="10">
        <f t="shared" si="228"/>
        <v>6.3000000000000007</v>
      </c>
      <c r="J2250" s="10">
        <f t="shared" si="229"/>
        <v>7.2</v>
      </c>
      <c r="K2250" s="10">
        <f t="shared" si="231"/>
        <v>22.7</v>
      </c>
      <c r="L2250" s="10">
        <f t="shared" si="230"/>
        <v>124.60000000000001</v>
      </c>
    </row>
    <row r="2251" spans="1:12" x14ac:dyDescent="0.25">
      <c r="A2251" s="7">
        <v>45588</v>
      </c>
      <c r="B2251" s="2" t="s">
        <v>579</v>
      </c>
      <c r="C2251" s="6">
        <v>2682</v>
      </c>
      <c r="D2251" s="5" t="s">
        <v>684</v>
      </c>
      <c r="E2251" s="1">
        <v>0.62083333333333335</v>
      </c>
      <c r="F2251" s="1">
        <v>0.64930555555555558</v>
      </c>
      <c r="G2251" s="9">
        <f t="shared" si="226"/>
        <v>45586</v>
      </c>
      <c r="H2251" s="11">
        <f t="shared" si="227"/>
        <v>0.7</v>
      </c>
      <c r="I2251" s="10">
        <f t="shared" si="228"/>
        <v>7</v>
      </c>
      <c r="J2251" s="10">
        <f t="shared" si="229"/>
        <v>7.2</v>
      </c>
      <c r="K2251" s="10">
        <f t="shared" si="231"/>
        <v>23.4</v>
      </c>
      <c r="L2251" s="10">
        <f t="shared" si="230"/>
        <v>125.3</v>
      </c>
    </row>
    <row r="2252" spans="1:12" x14ac:dyDescent="0.25">
      <c r="A2252" s="7">
        <v>45589</v>
      </c>
      <c r="B2252" s="2" t="s">
        <v>579</v>
      </c>
      <c r="C2252" s="6">
        <v>2682</v>
      </c>
      <c r="D2252" s="5" t="s">
        <v>684</v>
      </c>
      <c r="E2252" s="1">
        <v>0.32847222222222222</v>
      </c>
      <c r="F2252" s="1">
        <v>0.48888888888888887</v>
      </c>
      <c r="G2252" s="9">
        <f t="shared" si="226"/>
        <v>45586</v>
      </c>
      <c r="H2252" s="11">
        <f t="shared" si="227"/>
        <v>3.9</v>
      </c>
      <c r="I2252" s="10">
        <f t="shared" si="228"/>
        <v>3.9</v>
      </c>
      <c r="J2252" s="10">
        <f t="shared" si="229"/>
        <v>7.2</v>
      </c>
      <c r="K2252" s="10">
        <f t="shared" si="231"/>
        <v>27.299999999999997</v>
      </c>
      <c r="L2252" s="10">
        <f t="shared" si="230"/>
        <v>129.19999999999999</v>
      </c>
    </row>
    <row r="2253" spans="1:12" x14ac:dyDescent="0.25">
      <c r="A2253" s="7">
        <v>45589</v>
      </c>
      <c r="B2253" s="2" t="s">
        <v>579</v>
      </c>
      <c r="C2253" s="6">
        <v>2682</v>
      </c>
      <c r="D2253" s="5" t="s">
        <v>684</v>
      </c>
      <c r="E2253" s="1">
        <v>0.5</v>
      </c>
      <c r="F2253" s="1">
        <v>0.625</v>
      </c>
      <c r="G2253" s="9">
        <f t="shared" si="226"/>
        <v>45586</v>
      </c>
      <c r="H2253" s="11">
        <f t="shared" si="227"/>
        <v>3</v>
      </c>
      <c r="I2253" s="10">
        <f t="shared" si="228"/>
        <v>6.9</v>
      </c>
      <c r="J2253" s="10">
        <f t="shared" si="229"/>
        <v>7.2</v>
      </c>
      <c r="K2253" s="10">
        <f t="shared" si="231"/>
        <v>30.3</v>
      </c>
      <c r="L2253" s="10">
        <f t="shared" si="230"/>
        <v>132.19999999999999</v>
      </c>
    </row>
    <row r="2254" spans="1:12" x14ac:dyDescent="0.25">
      <c r="A2254" s="7">
        <v>45589</v>
      </c>
      <c r="B2254" t="s">
        <v>6</v>
      </c>
      <c r="C2254" s="6" t="s">
        <v>416</v>
      </c>
      <c r="D2254" s="5" t="s">
        <v>713</v>
      </c>
      <c r="E2254" s="1">
        <v>0.625</v>
      </c>
      <c r="F2254" s="1">
        <v>0.71736111111111112</v>
      </c>
      <c r="G2254" s="9">
        <f t="shared" si="226"/>
        <v>45586</v>
      </c>
      <c r="H2254" s="11">
        <f t="shared" si="227"/>
        <v>2.2000000000000002</v>
      </c>
      <c r="I2254" s="10">
        <f t="shared" si="228"/>
        <v>9.1000000000000014</v>
      </c>
      <c r="J2254" s="10">
        <f t="shared" si="229"/>
        <v>7.2</v>
      </c>
      <c r="K2254" s="10">
        <f t="shared" si="231"/>
        <v>32.5</v>
      </c>
      <c r="L2254" s="10">
        <f t="shared" si="230"/>
        <v>134.39999999999998</v>
      </c>
    </row>
    <row r="2255" spans="1:12" x14ac:dyDescent="0.25">
      <c r="A2255" s="7">
        <v>45590</v>
      </c>
      <c r="B2255" t="s">
        <v>6</v>
      </c>
      <c r="C2255" s="6" t="s">
        <v>416</v>
      </c>
      <c r="D2255" s="5" t="s">
        <v>714</v>
      </c>
      <c r="E2255" s="1">
        <v>0.33194444444444443</v>
      </c>
      <c r="F2255" s="1">
        <v>0.37291666666666667</v>
      </c>
      <c r="G2255" s="9">
        <f t="shared" si="226"/>
        <v>45586</v>
      </c>
      <c r="H2255" s="11">
        <f t="shared" si="227"/>
        <v>1</v>
      </c>
      <c r="I2255" s="10">
        <f t="shared" si="228"/>
        <v>1</v>
      </c>
      <c r="J2255" s="10">
        <f t="shared" si="229"/>
        <v>7.2</v>
      </c>
      <c r="K2255" s="10">
        <f t="shared" si="231"/>
        <v>33.5</v>
      </c>
      <c r="L2255" s="10">
        <f t="shared" si="230"/>
        <v>135.4</v>
      </c>
    </row>
    <row r="2256" spans="1:12" x14ac:dyDescent="0.25">
      <c r="A2256" s="7">
        <v>45590</v>
      </c>
      <c r="B2256" s="2" t="s">
        <v>579</v>
      </c>
      <c r="C2256" s="6">
        <v>2682</v>
      </c>
      <c r="D2256" s="5" t="s">
        <v>684</v>
      </c>
      <c r="E2256" s="1">
        <v>0.37291666666666667</v>
      </c>
      <c r="F2256" s="1">
        <v>0.39583333333333331</v>
      </c>
      <c r="G2256" s="9">
        <f t="shared" si="226"/>
        <v>45586</v>
      </c>
      <c r="H2256" s="11">
        <f t="shared" si="227"/>
        <v>0.5</v>
      </c>
      <c r="I2256" s="10">
        <f t="shared" si="228"/>
        <v>1.5</v>
      </c>
      <c r="J2256" s="10">
        <f t="shared" si="229"/>
        <v>7.2</v>
      </c>
      <c r="K2256" s="10">
        <f t="shared" si="231"/>
        <v>34</v>
      </c>
      <c r="L2256" s="10">
        <f t="shared" si="230"/>
        <v>135.9</v>
      </c>
    </row>
    <row r="2257" spans="1:12" x14ac:dyDescent="0.25">
      <c r="A2257" s="7">
        <v>45590</v>
      </c>
      <c r="B2257" t="s">
        <v>6</v>
      </c>
      <c r="C2257" s="6" t="s">
        <v>416</v>
      </c>
      <c r="D2257" s="5" t="s">
        <v>715</v>
      </c>
      <c r="E2257" s="1">
        <v>0.39583333333333331</v>
      </c>
      <c r="F2257" s="1">
        <v>0.44374999999999998</v>
      </c>
      <c r="G2257" s="9">
        <f t="shared" si="226"/>
        <v>45586</v>
      </c>
      <c r="H2257" s="11">
        <f t="shared" si="227"/>
        <v>1.2</v>
      </c>
      <c r="I2257" s="10">
        <f t="shared" si="228"/>
        <v>2.7</v>
      </c>
      <c r="J2257" s="10">
        <f t="shared" si="229"/>
        <v>7.2</v>
      </c>
      <c r="K2257" s="10">
        <f t="shared" si="231"/>
        <v>35.200000000000003</v>
      </c>
      <c r="L2257" s="10">
        <f t="shared" si="230"/>
        <v>137.1</v>
      </c>
    </row>
    <row r="2258" spans="1:12" x14ac:dyDescent="0.25">
      <c r="A2258" s="7">
        <v>45590</v>
      </c>
      <c r="B2258" s="2" t="s">
        <v>579</v>
      </c>
      <c r="C2258" s="6">
        <v>2682</v>
      </c>
      <c r="D2258" s="5" t="s">
        <v>684</v>
      </c>
      <c r="E2258" s="1">
        <v>0.44374999999999998</v>
      </c>
      <c r="F2258" s="1">
        <v>0.54166666666666663</v>
      </c>
      <c r="G2258" s="9">
        <f t="shared" si="226"/>
        <v>45586</v>
      </c>
      <c r="H2258" s="11">
        <f t="shared" si="227"/>
        <v>2.4</v>
      </c>
      <c r="I2258" s="10">
        <f t="shared" si="228"/>
        <v>5.0999999999999996</v>
      </c>
      <c r="J2258" s="10">
        <f t="shared" si="229"/>
        <v>7.2</v>
      </c>
      <c r="K2258" s="10">
        <f t="shared" si="231"/>
        <v>37.6</v>
      </c>
      <c r="L2258" s="10">
        <f t="shared" si="230"/>
        <v>139.5</v>
      </c>
    </row>
    <row r="2259" spans="1:12" x14ac:dyDescent="0.25">
      <c r="A2259" s="7">
        <v>45590</v>
      </c>
      <c r="B2259" t="s">
        <v>6</v>
      </c>
      <c r="C2259" s="6" t="s">
        <v>416</v>
      </c>
      <c r="D2259" s="5" t="s">
        <v>374</v>
      </c>
      <c r="E2259" s="1">
        <v>0.54166666666666663</v>
      </c>
      <c r="F2259" s="1">
        <v>0.56527777777777777</v>
      </c>
      <c r="G2259" s="9">
        <f t="shared" si="226"/>
        <v>45586</v>
      </c>
      <c r="H2259" s="11">
        <f t="shared" si="227"/>
        <v>0.6</v>
      </c>
      <c r="I2259" s="10">
        <f t="shared" si="228"/>
        <v>5.6999999999999993</v>
      </c>
      <c r="J2259" s="10">
        <f t="shared" si="229"/>
        <v>7.2</v>
      </c>
      <c r="K2259" s="10">
        <f t="shared" si="231"/>
        <v>38.200000000000003</v>
      </c>
      <c r="L2259" s="10">
        <f t="shared" si="230"/>
        <v>140.1</v>
      </c>
    </row>
    <row r="2260" spans="1:12" x14ac:dyDescent="0.25">
      <c r="A2260" s="7">
        <v>45593</v>
      </c>
      <c r="B2260" t="s">
        <v>7</v>
      </c>
      <c r="C2260" s="6" t="s">
        <v>22</v>
      </c>
      <c r="D2260" s="2" t="s">
        <v>716</v>
      </c>
      <c r="E2260" s="1">
        <v>0.40972222222222227</v>
      </c>
      <c r="F2260" s="1">
        <v>0.70833333333333337</v>
      </c>
      <c r="G2260" s="9">
        <f t="shared" si="226"/>
        <v>45593</v>
      </c>
      <c r="H2260" s="11">
        <f t="shared" si="227"/>
        <v>7.2</v>
      </c>
      <c r="I2260" s="10">
        <f t="shared" si="228"/>
        <v>7.2</v>
      </c>
      <c r="J2260" s="10">
        <f t="shared" si="229"/>
        <v>7.2</v>
      </c>
      <c r="K2260" s="10">
        <f t="shared" si="231"/>
        <v>7.2</v>
      </c>
      <c r="L2260" s="10">
        <f t="shared" si="230"/>
        <v>147.29999999999998</v>
      </c>
    </row>
    <row r="2261" spans="1:12" x14ac:dyDescent="0.25">
      <c r="A2261" s="7">
        <v>45594</v>
      </c>
      <c r="B2261" s="2" t="s">
        <v>579</v>
      </c>
      <c r="C2261" s="6">
        <v>2682</v>
      </c>
      <c r="D2261" s="5" t="s">
        <v>90</v>
      </c>
      <c r="E2261" s="1">
        <v>0.33958333333333335</v>
      </c>
      <c r="F2261" s="1">
        <v>0.39583333333333331</v>
      </c>
      <c r="G2261" s="9">
        <f t="shared" si="226"/>
        <v>45593</v>
      </c>
      <c r="H2261" s="11">
        <f t="shared" si="227"/>
        <v>1.4</v>
      </c>
      <c r="I2261" s="10">
        <f t="shared" si="228"/>
        <v>1.4</v>
      </c>
      <c r="J2261" s="10">
        <f t="shared" si="229"/>
        <v>7.2</v>
      </c>
      <c r="K2261" s="10">
        <f t="shared" si="231"/>
        <v>8.6</v>
      </c>
      <c r="L2261" s="10">
        <f t="shared" si="230"/>
        <v>148.70000000000002</v>
      </c>
    </row>
    <row r="2262" spans="1:12" x14ac:dyDescent="0.25">
      <c r="A2262" s="7">
        <v>45594</v>
      </c>
      <c r="B2262" t="s">
        <v>6</v>
      </c>
      <c r="C2262" s="6" t="s">
        <v>416</v>
      </c>
      <c r="D2262" s="5" t="s">
        <v>718</v>
      </c>
      <c r="E2262" s="1">
        <v>0.39583333333333331</v>
      </c>
      <c r="F2262" s="1">
        <v>0.41666666666666669</v>
      </c>
      <c r="G2262" s="9">
        <f t="shared" si="226"/>
        <v>45593</v>
      </c>
      <c r="H2262" s="11">
        <f t="shared" si="227"/>
        <v>0.5</v>
      </c>
      <c r="I2262" s="10">
        <f t="shared" si="228"/>
        <v>1.9</v>
      </c>
      <c r="J2262" s="10">
        <f t="shared" si="229"/>
        <v>7.2</v>
      </c>
      <c r="K2262" s="10">
        <f t="shared" si="231"/>
        <v>9.1</v>
      </c>
      <c r="L2262" s="10">
        <f t="shared" si="230"/>
        <v>149.19999999999999</v>
      </c>
    </row>
    <row r="2263" spans="1:12" x14ac:dyDescent="0.25">
      <c r="A2263" s="7">
        <v>45594</v>
      </c>
      <c r="B2263" s="2" t="s">
        <v>579</v>
      </c>
      <c r="C2263" s="6">
        <v>2682</v>
      </c>
      <c r="D2263" s="5" t="s">
        <v>90</v>
      </c>
      <c r="E2263" s="1">
        <v>0.41666666666666669</v>
      </c>
      <c r="F2263" s="1">
        <v>0.58263888888888893</v>
      </c>
      <c r="G2263" s="9">
        <f t="shared" si="226"/>
        <v>45593</v>
      </c>
      <c r="H2263" s="11">
        <f t="shared" si="227"/>
        <v>4</v>
      </c>
      <c r="I2263" s="10">
        <f t="shared" si="228"/>
        <v>5.9</v>
      </c>
      <c r="J2263" s="10">
        <f t="shared" si="229"/>
        <v>7.2</v>
      </c>
      <c r="K2263" s="10">
        <f t="shared" si="231"/>
        <v>13.1</v>
      </c>
      <c r="L2263" s="10">
        <f t="shared" si="230"/>
        <v>153.19999999999999</v>
      </c>
    </row>
    <row r="2264" spans="1:12" x14ac:dyDescent="0.25">
      <c r="A2264" s="7">
        <v>45594</v>
      </c>
      <c r="B2264" t="s">
        <v>6</v>
      </c>
      <c r="C2264" s="6" t="s">
        <v>416</v>
      </c>
      <c r="D2264" s="5" t="s">
        <v>717</v>
      </c>
      <c r="E2264" s="1">
        <v>0.58263888888888893</v>
      </c>
      <c r="F2264" s="1">
        <v>0.59791666666666665</v>
      </c>
      <c r="G2264" s="9">
        <f t="shared" si="226"/>
        <v>45593</v>
      </c>
      <c r="H2264" s="11">
        <f t="shared" si="227"/>
        <v>0.4</v>
      </c>
      <c r="I2264" s="10">
        <f t="shared" si="228"/>
        <v>6.3000000000000007</v>
      </c>
      <c r="J2264" s="10">
        <f t="shared" si="229"/>
        <v>7.2</v>
      </c>
      <c r="K2264" s="10">
        <f t="shared" si="231"/>
        <v>13.5</v>
      </c>
      <c r="L2264" s="10">
        <f t="shared" si="230"/>
        <v>153.6</v>
      </c>
    </row>
    <row r="2265" spans="1:12" x14ac:dyDescent="0.25">
      <c r="A2265" s="7">
        <v>45594</v>
      </c>
      <c r="B2265" s="2" t="s">
        <v>579</v>
      </c>
      <c r="C2265" s="6">
        <v>2682</v>
      </c>
      <c r="D2265" s="5" t="s">
        <v>90</v>
      </c>
      <c r="E2265" s="1">
        <v>0.59791666666666665</v>
      </c>
      <c r="F2265" s="1">
        <v>0.6430555555555556</v>
      </c>
      <c r="G2265" s="9">
        <f t="shared" si="226"/>
        <v>45593</v>
      </c>
      <c r="H2265" s="11">
        <f t="shared" si="227"/>
        <v>1.1000000000000001</v>
      </c>
      <c r="I2265" s="10">
        <f t="shared" si="228"/>
        <v>7.4</v>
      </c>
      <c r="J2265" s="10">
        <f t="shared" si="229"/>
        <v>7.2</v>
      </c>
      <c r="K2265" s="10">
        <f t="shared" si="231"/>
        <v>14.6</v>
      </c>
      <c r="L2265" s="10">
        <f t="shared" si="230"/>
        <v>154.69999999999999</v>
      </c>
    </row>
    <row r="2266" spans="1:12" x14ac:dyDescent="0.25">
      <c r="A2266" s="7">
        <v>45595</v>
      </c>
      <c r="B2266" s="2" t="s">
        <v>579</v>
      </c>
      <c r="C2266" s="6">
        <v>2682</v>
      </c>
      <c r="D2266" s="5" t="s">
        <v>90</v>
      </c>
      <c r="E2266" s="1">
        <v>0.31944444444444442</v>
      </c>
      <c r="F2266" s="1">
        <v>0.53472222222222221</v>
      </c>
      <c r="G2266" s="9">
        <f t="shared" si="226"/>
        <v>45593</v>
      </c>
      <c r="H2266" s="11">
        <f t="shared" si="227"/>
        <v>5.2</v>
      </c>
      <c r="I2266" s="10">
        <f t="shared" si="228"/>
        <v>5.2</v>
      </c>
      <c r="J2266" s="10">
        <f t="shared" si="229"/>
        <v>7.2</v>
      </c>
      <c r="K2266" s="10">
        <f t="shared" si="231"/>
        <v>19.8</v>
      </c>
      <c r="L2266" s="10">
        <f t="shared" si="230"/>
        <v>159.89999999999998</v>
      </c>
    </row>
    <row r="2267" spans="1:12" x14ac:dyDescent="0.25">
      <c r="A2267" s="7">
        <v>45595</v>
      </c>
      <c r="B2267" s="2" t="s">
        <v>579</v>
      </c>
      <c r="C2267" s="6">
        <v>2682</v>
      </c>
      <c r="D2267" s="5" t="s">
        <v>90</v>
      </c>
      <c r="E2267" s="1">
        <v>0.51875000000000004</v>
      </c>
      <c r="F2267" s="1">
        <v>0.62152777777777779</v>
      </c>
      <c r="G2267" s="9">
        <f t="shared" si="226"/>
        <v>45593</v>
      </c>
      <c r="H2267" s="11">
        <f t="shared" si="227"/>
        <v>2.5</v>
      </c>
      <c r="I2267" s="10">
        <f t="shared" si="228"/>
        <v>7.7</v>
      </c>
      <c r="J2267" s="10">
        <f t="shared" si="229"/>
        <v>7.2</v>
      </c>
      <c r="K2267" s="10">
        <f t="shared" si="231"/>
        <v>22.3</v>
      </c>
      <c r="L2267" s="10">
        <f t="shared" si="230"/>
        <v>162.4</v>
      </c>
    </row>
    <row r="2268" spans="1:12" x14ac:dyDescent="0.25">
      <c r="A2268" s="7">
        <v>45596</v>
      </c>
      <c r="B2268" s="2" t="s">
        <v>579</v>
      </c>
      <c r="C2268" s="6">
        <v>2682</v>
      </c>
      <c r="D2268" s="5" t="s">
        <v>90</v>
      </c>
      <c r="E2268" s="1">
        <v>0.33402777777777776</v>
      </c>
      <c r="F2268" s="1">
        <v>0.45833333333333331</v>
      </c>
      <c r="G2268" s="9">
        <f t="shared" si="226"/>
        <v>45593</v>
      </c>
      <c r="H2268" s="11">
        <f t="shared" si="227"/>
        <v>3</v>
      </c>
      <c r="I2268" s="10">
        <f t="shared" si="228"/>
        <v>3</v>
      </c>
      <c r="J2268" s="10">
        <f t="shared" si="229"/>
        <v>7.2</v>
      </c>
      <c r="K2268" s="10">
        <f t="shared" si="231"/>
        <v>25.3</v>
      </c>
      <c r="L2268" s="10">
        <f t="shared" si="230"/>
        <v>165.4</v>
      </c>
    </row>
    <row r="2269" spans="1:12" x14ac:dyDescent="0.25">
      <c r="A2269" s="7">
        <v>45596</v>
      </c>
      <c r="B2269" s="2" t="s">
        <v>464</v>
      </c>
      <c r="C2269" s="6">
        <v>2431</v>
      </c>
      <c r="D2269" s="5" t="s">
        <v>600</v>
      </c>
      <c r="E2269" s="1">
        <v>0.45833333333333331</v>
      </c>
      <c r="F2269" s="1">
        <v>0.50972222222222219</v>
      </c>
      <c r="G2269" s="9">
        <f t="shared" si="226"/>
        <v>45593</v>
      </c>
      <c r="H2269" s="11">
        <f t="shared" si="227"/>
        <v>1.2</v>
      </c>
      <c r="I2269" s="10">
        <f t="shared" si="228"/>
        <v>4.2</v>
      </c>
      <c r="J2269" s="10">
        <f t="shared" si="229"/>
        <v>7.2</v>
      </c>
      <c r="K2269" s="10">
        <f t="shared" si="231"/>
        <v>26.5</v>
      </c>
      <c r="L2269" s="10">
        <f t="shared" si="230"/>
        <v>166.6</v>
      </c>
    </row>
    <row r="2270" spans="1:12" x14ac:dyDescent="0.25">
      <c r="A2270" s="7">
        <v>45596</v>
      </c>
      <c r="B2270" s="2" t="s">
        <v>579</v>
      </c>
      <c r="C2270" s="6">
        <v>2682</v>
      </c>
      <c r="D2270" s="5" t="s">
        <v>90</v>
      </c>
      <c r="E2270" s="1">
        <v>0.52916666666666667</v>
      </c>
      <c r="F2270" s="1">
        <v>0.64027777777777772</v>
      </c>
      <c r="G2270" s="9">
        <f t="shared" si="226"/>
        <v>45593</v>
      </c>
      <c r="H2270" s="11">
        <f t="shared" si="227"/>
        <v>2.7</v>
      </c>
      <c r="I2270" s="10">
        <f t="shared" si="228"/>
        <v>6.9</v>
      </c>
      <c r="J2270" s="10">
        <f t="shared" si="229"/>
        <v>7.2</v>
      </c>
      <c r="K2270" s="10">
        <f t="shared" si="231"/>
        <v>29.2</v>
      </c>
      <c r="L2270" s="10">
        <f t="shared" si="230"/>
        <v>169.29999999999998</v>
      </c>
    </row>
    <row r="2271" spans="1:12" x14ac:dyDescent="0.25">
      <c r="A2271" s="7">
        <v>45597</v>
      </c>
      <c r="B2271" s="2" t="s">
        <v>579</v>
      </c>
      <c r="C2271" s="6">
        <v>2682</v>
      </c>
      <c r="D2271" s="5" t="s">
        <v>90</v>
      </c>
      <c r="E2271" s="1">
        <v>0.30763888888888891</v>
      </c>
      <c r="F2271" s="1">
        <v>0.625</v>
      </c>
      <c r="G2271" s="9">
        <f t="shared" si="226"/>
        <v>45593</v>
      </c>
      <c r="H2271" s="11">
        <f t="shared" si="227"/>
        <v>7.6</v>
      </c>
      <c r="I2271" s="10">
        <f t="shared" si="228"/>
        <v>7.6</v>
      </c>
      <c r="J2271" s="10">
        <f t="shared" si="229"/>
        <v>7.2</v>
      </c>
      <c r="K2271" s="10">
        <f t="shared" si="231"/>
        <v>36.799999999999997</v>
      </c>
      <c r="L2271" s="10">
        <f t="shared" si="230"/>
        <v>7.6</v>
      </c>
    </row>
    <row r="2272" spans="1:12" x14ac:dyDescent="0.25">
      <c r="A2272" s="7">
        <v>45597</v>
      </c>
      <c r="B2272" t="s">
        <v>6</v>
      </c>
      <c r="C2272" s="6" t="s">
        <v>416</v>
      </c>
      <c r="D2272" s="5" t="s">
        <v>58</v>
      </c>
      <c r="E2272" s="1">
        <v>0.625</v>
      </c>
      <c r="F2272" s="1">
        <v>0.65347222222222223</v>
      </c>
      <c r="G2272" s="9">
        <f t="shared" si="226"/>
        <v>45593</v>
      </c>
      <c r="H2272" s="11">
        <f t="shared" si="227"/>
        <v>0.7</v>
      </c>
      <c r="I2272" s="10">
        <f t="shared" si="228"/>
        <v>8.2999999999999989</v>
      </c>
      <c r="J2272" s="10">
        <f t="shared" si="229"/>
        <v>7.2</v>
      </c>
      <c r="K2272" s="10">
        <f t="shared" si="231"/>
        <v>37.5</v>
      </c>
      <c r="L2272" s="10">
        <f t="shared" si="230"/>
        <v>8.2999999999999989</v>
      </c>
    </row>
    <row r="2273" spans="1:12" x14ac:dyDescent="0.25">
      <c r="A2273" s="7">
        <v>45600</v>
      </c>
      <c r="B2273" s="2" t="s">
        <v>579</v>
      </c>
      <c r="C2273" s="6">
        <v>2682</v>
      </c>
      <c r="D2273" s="5" t="s">
        <v>90</v>
      </c>
      <c r="E2273" s="1">
        <v>0.33541666666666664</v>
      </c>
      <c r="F2273" s="1">
        <v>0.58125000000000004</v>
      </c>
      <c r="G2273" s="9">
        <f t="shared" si="226"/>
        <v>45600</v>
      </c>
      <c r="H2273" s="11">
        <f t="shared" si="227"/>
        <v>5.9</v>
      </c>
      <c r="I2273" s="10">
        <f t="shared" si="228"/>
        <v>5.9</v>
      </c>
      <c r="J2273" s="10">
        <f t="shared" si="229"/>
        <v>7.2</v>
      </c>
      <c r="K2273" s="10">
        <f t="shared" si="231"/>
        <v>5.9</v>
      </c>
      <c r="L2273" s="10">
        <f t="shared" si="230"/>
        <v>14.200000000000001</v>
      </c>
    </row>
    <row r="2274" spans="1:12" x14ac:dyDescent="0.25">
      <c r="A2274" s="7">
        <v>45600</v>
      </c>
      <c r="B2274" t="s">
        <v>6</v>
      </c>
      <c r="C2274" s="6" t="s">
        <v>416</v>
      </c>
      <c r="D2274" s="5" t="s">
        <v>71</v>
      </c>
      <c r="E2274" s="1">
        <v>0.58125000000000004</v>
      </c>
      <c r="F2274" s="1">
        <v>0.62291666666666667</v>
      </c>
      <c r="G2274" s="9">
        <f t="shared" si="226"/>
        <v>45600</v>
      </c>
      <c r="H2274" s="11">
        <f t="shared" si="227"/>
        <v>1</v>
      </c>
      <c r="I2274" s="10">
        <f t="shared" si="228"/>
        <v>6.9</v>
      </c>
      <c r="J2274" s="10">
        <f t="shared" si="229"/>
        <v>7.2</v>
      </c>
      <c r="K2274" s="10">
        <f t="shared" si="231"/>
        <v>6.9</v>
      </c>
      <c r="L2274" s="10">
        <f t="shared" si="230"/>
        <v>15.2</v>
      </c>
    </row>
    <row r="2275" spans="1:12" x14ac:dyDescent="0.25">
      <c r="A2275" s="7">
        <v>45601</v>
      </c>
      <c r="B2275" s="2" t="s">
        <v>579</v>
      </c>
      <c r="C2275" s="6">
        <v>2682</v>
      </c>
      <c r="D2275" s="5" t="s">
        <v>90</v>
      </c>
      <c r="E2275" s="1">
        <v>0.34305555555555556</v>
      </c>
      <c r="F2275" s="1">
        <v>0.4375</v>
      </c>
      <c r="G2275" s="9">
        <f t="shared" si="226"/>
        <v>45600</v>
      </c>
      <c r="H2275" s="11">
        <f t="shared" si="227"/>
        <v>2.2999999999999998</v>
      </c>
      <c r="I2275" s="10">
        <f t="shared" si="228"/>
        <v>2.2999999999999998</v>
      </c>
      <c r="J2275" s="10">
        <f t="shared" si="229"/>
        <v>7.2</v>
      </c>
      <c r="K2275" s="10">
        <f t="shared" si="231"/>
        <v>9.1999999999999993</v>
      </c>
      <c r="L2275" s="10">
        <f t="shared" si="230"/>
        <v>17.5</v>
      </c>
    </row>
    <row r="2276" spans="1:12" x14ac:dyDescent="0.25">
      <c r="A2276" s="7">
        <v>45601</v>
      </c>
      <c r="B2276" s="2" t="s">
        <v>579</v>
      </c>
      <c r="C2276" s="6">
        <v>2682</v>
      </c>
      <c r="D2276" s="5" t="s">
        <v>719</v>
      </c>
      <c r="E2276" s="1">
        <v>0.4375</v>
      </c>
      <c r="F2276" s="1">
        <v>0.49652777777777779</v>
      </c>
      <c r="G2276" s="9">
        <f t="shared" si="226"/>
        <v>45600</v>
      </c>
      <c r="H2276" s="11">
        <f t="shared" si="227"/>
        <v>1.4</v>
      </c>
      <c r="I2276" s="10">
        <f t="shared" si="228"/>
        <v>3.6999999999999997</v>
      </c>
      <c r="J2276" s="10">
        <f t="shared" si="229"/>
        <v>7.2</v>
      </c>
      <c r="K2276" s="10">
        <f t="shared" si="231"/>
        <v>10.6</v>
      </c>
      <c r="L2276" s="10">
        <f t="shared" si="230"/>
        <v>18.899999999999999</v>
      </c>
    </row>
    <row r="2277" spans="1:12" x14ac:dyDescent="0.25">
      <c r="A2277" s="7">
        <v>45601</v>
      </c>
      <c r="B2277" s="2" t="s">
        <v>838</v>
      </c>
      <c r="C2277" s="6">
        <v>6185</v>
      </c>
      <c r="D2277" s="5" t="s">
        <v>720</v>
      </c>
      <c r="E2277" s="1">
        <v>0.5229166666666667</v>
      </c>
      <c r="F2277" s="1">
        <v>0.62222222222222223</v>
      </c>
      <c r="G2277" s="9">
        <f t="shared" si="226"/>
        <v>45600</v>
      </c>
      <c r="H2277" s="11">
        <f t="shared" si="227"/>
        <v>2.4</v>
      </c>
      <c r="I2277" s="10">
        <f t="shared" si="228"/>
        <v>6.1</v>
      </c>
      <c r="J2277" s="10">
        <f t="shared" si="229"/>
        <v>7.2</v>
      </c>
      <c r="K2277" s="10">
        <f t="shared" si="231"/>
        <v>13</v>
      </c>
      <c r="L2277" s="10">
        <f t="shared" si="230"/>
        <v>21.299999999999997</v>
      </c>
    </row>
    <row r="2278" spans="1:12" x14ac:dyDescent="0.25">
      <c r="A2278" s="7">
        <v>45602</v>
      </c>
      <c r="B2278" s="2" t="s">
        <v>579</v>
      </c>
      <c r="C2278" s="6">
        <v>2682</v>
      </c>
      <c r="D2278" s="5" t="s">
        <v>90</v>
      </c>
      <c r="E2278" s="1">
        <v>0.34166666666666667</v>
      </c>
      <c r="F2278" s="1">
        <v>0.50486111111111109</v>
      </c>
      <c r="G2278" s="9">
        <f t="shared" si="226"/>
        <v>45600</v>
      </c>
      <c r="H2278" s="11">
        <f t="shared" si="227"/>
        <v>3.9</v>
      </c>
      <c r="I2278" s="10">
        <f t="shared" si="228"/>
        <v>3.9</v>
      </c>
      <c r="J2278" s="10">
        <f t="shared" si="229"/>
        <v>7.2</v>
      </c>
      <c r="K2278" s="10">
        <f t="shared" si="231"/>
        <v>16.899999999999999</v>
      </c>
      <c r="L2278" s="10">
        <f t="shared" si="230"/>
        <v>25.2</v>
      </c>
    </row>
    <row r="2279" spans="1:12" x14ac:dyDescent="0.25">
      <c r="A2279" s="7">
        <v>45602</v>
      </c>
      <c r="B2279" s="2" t="s">
        <v>579</v>
      </c>
      <c r="C2279" s="6">
        <v>2682</v>
      </c>
      <c r="D2279" s="5" t="s">
        <v>90</v>
      </c>
      <c r="E2279" s="1">
        <v>0.52083333333333337</v>
      </c>
      <c r="F2279" s="1">
        <v>0.66041666666666665</v>
      </c>
      <c r="G2279" s="9">
        <f t="shared" si="226"/>
        <v>45600</v>
      </c>
      <c r="H2279" s="11">
        <f t="shared" si="227"/>
        <v>3.4</v>
      </c>
      <c r="I2279" s="10">
        <f t="shared" si="228"/>
        <v>7.3</v>
      </c>
      <c r="J2279" s="10">
        <f t="shared" si="229"/>
        <v>7.2</v>
      </c>
      <c r="K2279" s="10">
        <f t="shared" si="231"/>
        <v>20.299999999999997</v>
      </c>
      <c r="L2279" s="10">
        <f t="shared" si="230"/>
        <v>28.599999999999998</v>
      </c>
    </row>
    <row r="2280" spans="1:12" x14ac:dyDescent="0.25">
      <c r="A2280" s="7">
        <v>45603</v>
      </c>
      <c r="B2280" s="2" t="s">
        <v>579</v>
      </c>
      <c r="C2280" s="6">
        <v>2682</v>
      </c>
      <c r="D2280" s="5" t="s">
        <v>44</v>
      </c>
      <c r="E2280" s="1">
        <v>0.31180555555555556</v>
      </c>
      <c r="F2280" s="1">
        <v>0.35416666666666669</v>
      </c>
      <c r="G2280" s="9">
        <f t="shared" si="226"/>
        <v>45600</v>
      </c>
      <c r="H2280" s="11">
        <f t="shared" si="227"/>
        <v>1</v>
      </c>
      <c r="I2280" s="10">
        <f t="shared" si="228"/>
        <v>1</v>
      </c>
      <c r="J2280" s="10">
        <f t="shared" si="229"/>
        <v>7.2</v>
      </c>
      <c r="K2280" s="10">
        <f t="shared" si="231"/>
        <v>21.3</v>
      </c>
      <c r="L2280" s="10">
        <f t="shared" si="230"/>
        <v>29.6</v>
      </c>
    </row>
    <row r="2281" spans="1:12" x14ac:dyDescent="0.25">
      <c r="A2281" s="7">
        <v>45603</v>
      </c>
      <c r="B2281" s="2" t="s">
        <v>579</v>
      </c>
      <c r="C2281" s="6">
        <v>2682</v>
      </c>
      <c r="D2281" s="1" t="s">
        <v>90</v>
      </c>
      <c r="E2281" s="1">
        <v>0.35416666666666669</v>
      </c>
      <c r="F2281" s="1">
        <v>0.45763888888888887</v>
      </c>
      <c r="G2281" s="9">
        <f t="shared" si="226"/>
        <v>45600</v>
      </c>
      <c r="H2281" s="11">
        <f t="shared" si="227"/>
        <v>2.5</v>
      </c>
      <c r="I2281" s="10">
        <f t="shared" si="228"/>
        <v>3.5</v>
      </c>
      <c r="J2281" s="10">
        <f t="shared" si="229"/>
        <v>7.2</v>
      </c>
      <c r="K2281" s="10">
        <f t="shared" si="231"/>
        <v>23.8</v>
      </c>
      <c r="L2281" s="10">
        <f t="shared" si="230"/>
        <v>32.1</v>
      </c>
    </row>
    <row r="2282" spans="1:12" x14ac:dyDescent="0.25">
      <c r="A2282" s="7">
        <v>45603</v>
      </c>
      <c r="B2282" s="2" t="s">
        <v>579</v>
      </c>
      <c r="C2282" s="6">
        <v>2682</v>
      </c>
      <c r="D2282" s="1" t="s">
        <v>90</v>
      </c>
      <c r="E2282" s="1">
        <v>0.48333333333333334</v>
      </c>
      <c r="F2282" s="1">
        <v>0.64236111111111116</v>
      </c>
      <c r="G2282" s="9">
        <f t="shared" si="226"/>
        <v>45600</v>
      </c>
      <c r="H2282" s="11">
        <f t="shared" si="227"/>
        <v>3.8</v>
      </c>
      <c r="I2282" s="10">
        <f t="shared" si="228"/>
        <v>7.3</v>
      </c>
      <c r="J2282" s="10">
        <f t="shared" si="229"/>
        <v>7.2</v>
      </c>
      <c r="K2282" s="10">
        <f t="shared" si="231"/>
        <v>27.6</v>
      </c>
      <c r="L2282" s="10">
        <f t="shared" si="230"/>
        <v>35.9</v>
      </c>
    </row>
    <row r="2283" spans="1:12" x14ac:dyDescent="0.25">
      <c r="A2283" s="7">
        <v>45604</v>
      </c>
      <c r="B2283" t="s">
        <v>6</v>
      </c>
      <c r="C2283" s="6" t="s">
        <v>416</v>
      </c>
      <c r="D2283" s="5" t="s">
        <v>721</v>
      </c>
      <c r="E2283" s="1">
        <v>0.34861111111111109</v>
      </c>
      <c r="F2283" s="1">
        <v>0.48888888888888887</v>
      </c>
      <c r="G2283" s="9">
        <f t="shared" si="226"/>
        <v>45600</v>
      </c>
      <c r="H2283" s="11">
        <f t="shared" si="227"/>
        <v>3.4</v>
      </c>
      <c r="I2283" s="10">
        <f t="shared" si="228"/>
        <v>3.4</v>
      </c>
      <c r="J2283" s="10">
        <f t="shared" si="229"/>
        <v>7.2</v>
      </c>
      <c r="K2283" s="10">
        <f t="shared" si="231"/>
        <v>31</v>
      </c>
      <c r="L2283" s="10">
        <f t="shared" si="230"/>
        <v>39.299999999999997</v>
      </c>
    </row>
    <row r="2284" spans="1:12" x14ac:dyDescent="0.25">
      <c r="A2284" s="7">
        <v>45604</v>
      </c>
      <c r="B2284" s="2" t="s">
        <v>838</v>
      </c>
      <c r="C2284" s="6">
        <v>6185</v>
      </c>
      <c r="D2284" s="5" t="s">
        <v>722</v>
      </c>
      <c r="E2284" s="1">
        <v>0.5</v>
      </c>
      <c r="F2284" s="1">
        <v>0.69097222222222221</v>
      </c>
      <c r="G2284" s="9">
        <f t="shared" si="226"/>
        <v>45600</v>
      </c>
      <c r="H2284" s="11">
        <f t="shared" si="227"/>
        <v>4.5999999999999996</v>
      </c>
      <c r="I2284" s="10">
        <f t="shared" si="228"/>
        <v>8</v>
      </c>
      <c r="J2284" s="10">
        <f t="shared" si="229"/>
        <v>7.2</v>
      </c>
      <c r="K2284" s="10">
        <f t="shared" si="231"/>
        <v>35.6</v>
      </c>
      <c r="L2284" s="10">
        <f t="shared" si="230"/>
        <v>43.9</v>
      </c>
    </row>
    <row r="2285" spans="1:12" x14ac:dyDescent="0.25">
      <c r="A2285" s="7">
        <v>45607</v>
      </c>
      <c r="B2285" t="s">
        <v>6</v>
      </c>
      <c r="C2285" s="6" t="s">
        <v>416</v>
      </c>
      <c r="D2285" s="5" t="s">
        <v>104</v>
      </c>
      <c r="E2285" s="1">
        <v>0.31666666666666665</v>
      </c>
      <c r="F2285" s="1">
        <v>0.37847222222222221</v>
      </c>
      <c r="G2285" s="9">
        <f t="shared" ref="G2285:G2348" si="232">IF(E2285&gt;0,INT((A2285-2)/7)*7+2,"")</f>
        <v>45607</v>
      </c>
      <c r="H2285" s="11">
        <f t="shared" ref="H2285:H2348" si="233">IF(E2285&gt;0,ROUND(24*(IF(F2285&gt;0,F2285,NowTime)-E2285),1),"")</f>
        <v>1.5</v>
      </c>
      <c r="I2285" s="10">
        <f t="shared" ref="I2285:I2348" si="234">IF(H2285="",H2285,H2285+IF(A2285=A2284,_xlfn.NUMBERVALUE(I2284),0))</f>
        <v>1.5</v>
      </c>
      <c r="J2285" s="10">
        <f t="shared" ref="J2285:J2348" si="235">IF(H2285="",H2285,7.2)</f>
        <v>7.2</v>
      </c>
      <c r="K2285" s="10">
        <f t="shared" si="231"/>
        <v>1.5</v>
      </c>
      <c r="L2285" s="10">
        <f t="shared" ref="L2285:L2348" si="236">IF(H2285="",H2285,H2285+IF(MONTH(A2285)=MONTH(A2284),_xlfn.NUMBERVALUE(L2284),0))</f>
        <v>45.4</v>
      </c>
    </row>
    <row r="2286" spans="1:12" x14ac:dyDescent="0.25">
      <c r="A2286" s="7">
        <v>45607</v>
      </c>
      <c r="B2286" s="2" t="s">
        <v>838</v>
      </c>
      <c r="C2286" s="6">
        <v>6185</v>
      </c>
      <c r="D2286" s="5" t="s">
        <v>723</v>
      </c>
      <c r="E2286" s="1">
        <v>0.37847222222222221</v>
      </c>
      <c r="F2286" s="1">
        <v>0.47499999999999998</v>
      </c>
      <c r="G2286" s="9">
        <f t="shared" si="232"/>
        <v>45607</v>
      </c>
      <c r="H2286" s="11">
        <f t="shared" si="233"/>
        <v>2.2999999999999998</v>
      </c>
      <c r="I2286" s="10">
        <f t="shared" si="234"/>
        <v>3.8</v>
      </c>
      <c r="J2286" s="10">
        <f t="shared" si="235"/>
        <v>7.2</v>
      </c>
      <c r="K2286" s="10">
        <f t="shared" si="231"/>
        <v>3.8</v>
      </c>
      <c r="L2286" s="10">
        <f t="shared" si="236"/>
        <v>47.699999999999996</v>
      </c>
    </row>
    <row r="2287" spans="1:12" x14ac:dyDescent="0.25">
      <c r="A2287" s="7">
        <v>45607</v>
      </c>
      <c r="B2287" s="2" t="s">
        <v>838</v>
      </c>
      <c r="C2287" s="6">
        <v>6185</v>
      </c>
      <c r="D2287" s="5" t="s">
        <v>723</v>
      </c>
      <c r="E2287" s="1">
        <v>0.49166666666666664</v>
      </c>
      <c r="F2287" s="1">
        <v>0.65347222222222223</v>
      </c>
      <c r="G2287" s="9">
        <f t="shared" si="232"/>
        <v>45607</v>
      </c>
      <c r="H2287" s="11">
        <f t="shared" si="233"/>
        <v>3.9</v>
      </c>
      <c r="I2287" s="10">
        <f t="shared" si="234"/>
        <v>7.6999999999999993</v>
      </c>
      <c r="J2287" s="10">
        <f t="shared" si="235"/>
        <v>7.2</v>
      </c>
      <c r="K2287" s="10">
        <f t="shared" si="231"/>
        <v>7.6999999999999993</v>
      </c>
      <c r="L2287" s="10">
        <f t="shared" si="236"/>
        <v>51.6</v>
      </c>
    </row>
    <row r="2288" spans="1:12" x14ac:dyDescent="0.25">
      <c r="A2288" s="7">
        <v>45608</v>
      </c>
      <c r="B2288" s="2" t="s">
        <v>579</v>
      </c>
      <c r="C2288" s="6">
        <v>2682</v>
      </c>
      <c r="D2288" s="5" t="s">
        <v>90</v>
      </c>
      <c r="E2288" s="1">
        <v>0.35069444444444442</v>
      </c>
      <c r="F2288" s="1">
        <v>0.49861111111111112</v>
      </c>
      <c r="G2288" s="9">
        <f t="shared" si="232"/>
        <v>45607</v>
      </c>
      <c r="H2288" s="11">
        <f t="shared" si="233"/>
        <v>3.6</v>
      </c>
      <c r="I2288" s="10">
        <f t="shared" si="234"/>
        <v>3.6</v>
      </c>
      <c r="J2288" s="10">
        <f t="shared" si="235"/>
        <v>7.2</v>
      </c>
      <c r="K2288" s="10">
        <f t="shared" si="231"/>
        <v>11.3</v>
      </c>
      <c r="L2288" s="10">
        <f t="shared" si="236"/>
        <v>55.2</v>
      </c>
    </row>
    <row r="2289" spans="1:12" x14ac:dyDescent="0.25">
      <c r="A2289" s="7">
        <v>45608</v>
      </c>
      <c r="B2289" s="2" t="s">
        <v>579</v>
      </c>
      <c r="C2289" s="6">
        <v>2682</v>
      </c>
      <c r="D2289" s="5" t="s">
        <v>90</v>
      </c>
      <c r="E2289" s="1">
        <v>0.50902777777777775</v>
      </c>
      <c r="F2289" s="1">
        <v>0.52500000000000002</v>
      </c>
      <c r="G2289" s="9">
        <f t="shared" si="232"/>
        <v>45607</v>
      </c>
      <c r="H2289" s="11">
        <f t="shared" si="233"/>
        <v>0.4</v>
      </c>
      <c r="I2289" s="10">
        <f t="shared" si="234"/>
        <v>4</v>
      </c>
      <c r="J2289" s="10">
        <f t="shared" si="235"/>
        <v>7.2</v>
      </c>
      <c r="K2289" s="10">
        <f t="shared" si="231"/>
        <v>11.700000000000001</v>
      </c>
      <c r="L2289" s="10">
        <f t="shared" si="236"/>
        <v>55.6</v>
      </c>
    </row>
    <row r="2290" spans="1:12" x14ac:dyDescent="0.25">
      <c r="A2290" s="7">
        <v>45608</v>
      </c>
      <c r="B2290" s="2" t="s">
        <v>838</v>
      </c>
      <c r="C2290" s="6">
        <v>6185</v>
      </c>
      <c r="D2290" s="5" t="s">
        <v>722</v>
      </c>
      <c r="E2290" s="1">
        <v>0.52500000000000002</v>
      </c>
      <c r="F2290" s="1">
        <v>0.66111111111111109</v>
      </c>
      <c r="G2290" s="9">
        <f t="shared" si="232"/>
        <v>45607</v>
      </c>
      <c r="H2290" s="11">
        <f t="shared" si="233"/>
        <v>3.3</v>
      </c>
      <c r="I2290" s="10">
        <f t="shared" si="234"/>
        <v>7.3</v>
      </c>
      <c r="J2290" s="10">
        <f t="shared" si="235"/>
        <v>7.2</v>
      </c>
      <c r="K2290" s="10">
        <f t="shared" si="231"/>
        <v>15</v>
      </c>
      <c r="L2290" s="10">
        <f t="shared" si="236"/>
        <v>58.9</v>
      </c>
    </row>
    <row r="2291" spans="1:12" x14ac:dyDescent="0.25">
      <c r="A2291" s="7">
        <v>45609</v>
      </c>
      <c r="B2291" s="2" t="s">
        <v>838</v>
      </c>
      <c r="C2291" s="6">
        <v>6185</v>
      </c>
      <c r="D2291" s="5" t="s">
        <v>724</v>
      </c>
      <c r="E2291" s="1">
        <v>0.34305555555555556</v>
      </c>
      <c r="F2291" s="1">
        <v>0.49513888888888891</v>
      </c>
      <c r="G2291" s="9">
        <f t="shared" si="232"/>
        <v>45607</v>
      </c>
      <c r="H2291" s="11">
        <f t="shared" si="233"/>
        <v>3.7</v>
      </c>
      <c r="I2291" s="10">
        <f t="shared" si="234"/>
        <v>3.7</v>
      </c>
      <c r="J2291" s="10">
        <f t="shared" si="235"/>
        <v>7.2</v>
      </c>
      <c r="K2291" s="10">
        <f t="shared" si="231"/>
        <v>18.7</v>
      </c>
      <c r="L2291" s="10">
        <f t="shared" si="236"/>
        <v>62.6</v>
      </c>
    </row>
    <row r="2292" spans="1:12" x14ac:dyDescent="0.25">
      <c r="A2292" s="7">
        <v>45609</v>
      </c>
      <c r="B2292" s="2" t="s">
        <v>838</v>
      </c>
      <c r="C2292" s="6">
        <v>6185</v>
      </c>
      <c r="D2292" s="5" t="s">
        <v>723</v>
      </c>
      <c r="E2292" s="1">
        <v>0.51597222222222228</v>
      </c>
      <c r="F2292" s="1">
        <v>0.62361111111111112</v>
      </c>
      <c r="G2292" s="9">
        <f t="shared" si="232"/>
        <v>45607</v>
      </c>
      <c r="H2292" s="11">
        <f t="shared" si="233"/>
        <v>2.6</v>
      </c>
      <c r="I2292" s="10">
        <f t="shared" si="234"/>
        <v>6.3000000000000007</v>
      </c>
      <c r="J2292" s="10">
        <f t="shared" si="235"/>
        <v>7.2</v>
      </c>
      <c r="K2292" s="10">
        <f t="shared" si="231"/>
        <v>21.3</v>
      </c>
      <c r="L2292" s="10">
        <f t="shared" si="236"/>
        <v>65.2</v>
      </c>
    </row>
    <row r="2293" spans="1:12" x14ac:dyDescent="0.25">
      <c r="A2293" s="7">
        <v>45610</v>
      </c>
      <c r="B2293" s="2" t="s">
        <v>838</v>
      </c>
      <c r="C2293" s="6">
        <v>6185</v>
      </c>
      <c r="D2293" s="5" t="s">
        <v>724</v>
      </c>
      <c r="E2293" s="1">
        <v>0.31041666666666667</v>
      </c>
      <c r="F2293" s="1">
        <v>0.42291666666666666</v>
      </c>
      <c r="G2293" s="9">
        <f t="shared" si="232"/>
        <v>45607</v>
      </c>
      <c r="H2293" s="11">
        <f t="shared" si="233"/>
        <v>2.7</v>
      </c>
      <c r="I2293" s="10">
        <f t="shared" si="234"/>
        <v>2.7</v>
      </c>
      <c r="J2293" s="10">
        <f t="shared" si="235"/>
        <v>7.2</v>
      </c>
      <c r="K2293" s="10">
        <f t="shared" si="231"/>
        <v>24</v>
      </c>
      <c r="L2293" s="10">
        <f t="shared" si="236"/>
        <v>67.900000000000006</v>
      </c>
    </row>
    <row r="2294" spans="1:12" x14ac:dyDescent="0.25">
      <c r="A2294" s="7">
        <v>45610</v>
      </c>
      <c r="B2294" s="2" t="s">
        <v>838</v>
      </c>
      <c r="C2294" s="6">
        <v>6185</v>
      </c>
      <c r="D2294" s="5" t="s">
        <v>723</v>
      </c>
      <c r="E2294" s="1">
        <v>0.42291666666666666</v>
      </c>
      <c r="F2294" s="1">
        <v>0.49583333333333335</v>
      </c>
      <c r="G2294" s="9">
        <f t="shared" si="232"/>
        <v>45607</v>
      </c>
      <c r="H2294" s="11">
        <f t="shared" si="233"/>
        <v>1.8</v>
      </c>
      <c r="I2294" s="10">
        <f t="shared" si="234"/>
        <v>4.5</v>
      </c>
      <c r="J2294" s="10">
        <f t="shared" si="235"/>
        <v>7.2</v>
      </c>
      <c r="K2294" s="10">
        <f t="shared" si="231"/>
        <v>25.8</v>
      </c>
      <c r="L2294" s="10">
        <f t="shared" si="236"/>
        <v>69.7</v>
      </c>
    </row>
    <row r="2295" spans="1:12" x14ac:dyDescent="0.25">
      <c r="A2295" s="7">
        <v>45610</v>
      </c>
      <c r="B2295" s="2" t="s">
        <v>838</v>
      </c>
      <c r="C2295" s="6">
        <v>6185</v>
      </c>
      <c r="D2295" s="5" t="s">
        <v>723</v>
      </c>
      <c r="E2295" s="1">
        <v>0.51041666666666663</v>
      </c>
      <c r="F2295" s="1">
        <v>0.67986111111111114</v>
      </c>
      <c r="G2295" s="9">
        <f t="shared" si="232"/>
        <v>45607</v>
      </c>
      <c r="H2295" s="11">
        <f t="shared" si="233"/>
        <v>4.0999999999999996</v>
      </c>
      <c r="I2295" s="10">
        <f t="shared" si="234"/>
        <v>8.6</v>
      </c>
      <c r="J2295" s="10">
        <f t="shared" si="235"/>
        <v>7.2</v>
      </c>
      <c r="K2295" s="10">
        <f t="shared" si="231"/>
        <v>29.9</v>
      </c>
      <c r="L2295" s="10">
        <f t="shared" si="236"/>
        <v>73.8</v>
      </c>
    </row>
    <row r="2296" spans="1:12" x14ac:dyDescent="0.25">
      <c r="A2296" s="7">
        <v>45611</v>
      </c>
      <c r="B2296" s="2" t="s">
        <v>838</v>
      </c>
      <c r="C2296" s="6">
        <v>6185</v>
      </c>
      <c r="D2296" s="5" t="s">
        <v>724</v>
      </c>
      <c r="E2296" s="1">
        <v>0.3</v>
      </c>
      <c r="F2296" s="1">
        <v>0.42430555555555555</v>
      </c>
      <c r="G2296" s="9">
        <f t="shared" si="232"/>
        <v>45607</v>
      </c>
      <c r="H2296" s="11">
        <f t="shared" si="233"/>
        <v>3</v>
      </c>
      <c r="I2296" s="10">
        <f t="shared" si="234"/>
        <v>3</v>
      </c>
      <c r="J2296" s="10">
        <f t="shared" si="235"/>
        <v>7.2</v>
      </c>
      <c r="K2296" s="10">
        <f t="shared" si="231"/>
        <v>32.9</v>
      </c>
      <c r="L2296" s="10">
        <f t="shared" si="236"/>
        <v>76.8</v>
      </c>
    </row>
    <row r="2297" spans="1:12" x14ac:dyDescent="0.25">
      <c r="A2297" s="7">
        <v>45611</v>
      </c>
      <c r="B2297" s="2" t="s">
        <v>838</v>
      </c>
      <c r="C2297" s="6">
        <v>6185</v>
      </c>
      <c r="D2297" s="5" t="s">
        <v>723</v>
      </c>
      <c r="E2297" s="1">
        <v>0.42430555555555555</v>
      </c>
      <c r="F2297" s="1">
        <v>0.5</v>
      </c>
      <c r="G2297" s="9">
        <f t="shared" si="232"/>
        <v>45607</v>
      </c>
      <c r="H2297" s="11">
        <f t="shared" si="233"/>
        <v>1.8</v>
      </c>
      <c r="I2297" s="10">
        <f t="shared" si="234"/>
        <v>4.8</v>
      </c>
      <c r="J2297" s="10">
        <f t="shared" si="235"/>
        <v>7.2</v>
      </c>
      <c r="K2297" s="10">
        <f t="shared" si="231"/>
        <v>34.699999999999996</v>
      </c>
      <c r="L2297" s="10">
        <f t="shared" si="236"/>
        <v>78.599999999999994</v>
      </c>
    </row>
    <row r="2298" spans="1:12" x14ac:dyDescent="0.25">
      <c r="A2298" s="7">
        <v>45611</v>
      </c>
      <c r="B2298" s="2" t="s">
        <v>838</v>
      </c>
      <c r="C2298" s="6">
        <v>6185</v>
      </c>
      <c r="D2298" s="5" t="s">
        <v>725</v>
      </c>
      <c r="E2298" s="1">
        <v>0.5</v>
      </c>
      <c r="F2298" s="1">
        <v>0.55833333333333335</v>
      </c>
      <c r="G2298" s="9">
        <f t="shared" si="232"/>
        <v>45607</v>
      </c>
      <c r="H2298" s="11">
        <f t="shared" si="233"/>
        <v>1.4</v>
      </c>
      <c r="I2298" s="10">
        <f t="shared" si="234"/>
        <v>6.1999999999999993</v>
      </c>
      <c r="J2298" s="10">
        <f t="shared" si="235"/>
        <v>7.2</v>
      </c>
      <c r="K2298" s="10">
        <f t="shared" si="231"/>
        <v>36.1</v>
      </c>
      <c r="L2298" s="10">
        <f t="shared" si="236"/>
        <v>80</v>
      </c>
    </row>
    <row r="2299" spans="1:12" x14ac:dyDescent="0.25">
      <c r="A2299" s="7">
        <v>45611</v>
      </c>
      <c r="B2299" s="2" t="s">
        <v>464</v>
      </c>
      <c r="C2299" s="6">
        <v>2431</v>
      </c>
      <c r="D2299" s="5" t="s">
        <v>726</v>
      </c>
      <c r="E2299" s="1">
        <v>0.55833333333333335</v>
      </c>
      <c r="F2299" s="1">
        <v>0.60277777777777775</v>
      </c>
      <c r="G2299" s="9">
        <f t="shared" si="232"/>
        <v>45607</v>
      </c>
      <c r="H2299" s="11">
        <f t="shared" si="233"/>
        <v>1.1000000000000001</v>
      </c>
      <c r="I2299" s="10">
        <f t="shared" si="234"/>
        <v>7.3000000000000007</v>
      </c>
      <c r="J2299" s="10">
        <f t="shared" si="235"/>
        <v>7.2</v>
      </c>
      <c r="K2299" s="10">
        <f t="shared" si="231"/>
        <v>37.200000000000003</v>
      </c>
      <c r="L2299" s="10">
        <f t="shared" si="236"/>
        <v>81.099999999999994</v>
      </c>
    </row>
    <row r="2300" spans="1:12" x14ac:dyDescent="0.25">
      <c r="A2300" s="7">
        <v>45614</v>
      </c>
      <c r="B2300" t="s">
        <v>6</v>
      </c>
      <c r="C2300" s="6" t="s">
        <v>416</v>
      </c>
      <c r="D2300" s="5" t="s">
        <v>727</v>
      </c>
      <c r="E2300" s="1">
        <v>0.32500000000000001</v>
      </c>
      <c r="F2300" s="1">
        <v>0.47013888888888888</v>
      </c>
      <c r="G2300" s="9">
        <f t="shared" si="232"/>
        <v>45614</v>
      </c>
      <c r="H2300" s="11">
        <f t="shared" si="233"/>
        <v>3.5</v>
      </c>
      <c r="I2300" s="10">
        <f t="shared" si="234"/>
        <v>3.5</v>
      </c>
      <c r="J2300" s="10">
        <f t="shared" si="235"/>
        <v>7.2</v>
      </c>
      <c r="K2300" s="10">
        <f t="shared" si="231"/>
        <v>3.5</v>
      </c>
      <c r="L2300" s="10">
        <f t="shared" si="236"/>
        <v>84.6</v>
      </c>
    </row>
    <row r="2301" spans="1:12" x14ac:dyDescent="0.25">
      <c r="A2301" s="7">
        <v>45614</v>
      </c>
      <c r="B2301" t="s">
        <v>6</v>
      </c>
      <c r="C2301" s="6" t="s">
        <v>416</v>
      </c>
      <c r="D2301" s="5" t="s">
        <v>727</v>
      </c>
      <c r="E2301" s="1">
        <v>0.48749999999999999</v>
      </c>
      <c r="F2301" s="1">
        <v>0.62291666666666667</v>
      </c>
      <c r="G2301" s="9">
        <f t="shared" si="232"/>
        <v>45614</v>
      </c>
      <c r="H2301" s="11">
        <f t="shared" si="233"/>
        <v>3.3</v>
      </c>
      <c r="I2301" s="10">
        <f t="shared" si="234"/>
        <v>6.8</v>
      </c>
      <c r="J2301" s="10">
        <f t="shared" si="235"/>
        <v>7.2</v>
      </c>
      <c r="K2301" s="10">
        <f t="shared" si="231"/>
        <v>6.8</v>
      </c>
      <c r="L2301" s="10">
        <f t="shared" si="236"/>
        <v>87.899999999999991</v>
      </c>
    </row>
    <row r="2302" spans="1:12" x14ac:dyDescent="0.25">
      <c r="A2302" s="7">
        <v>45614</v>
      </c>
      <c r="B2302" s="2" t="s">
        <v>588</v>
      </c>
      <c r="C2302" s="6">
        <v>2473</v>
      </c>
      <c r="D2302" s="5" t="s">
        <v>44</v>
      </c>
      <c r="E2302" s="1">
        <v>0.62291666666666667</v>
      </c>
      <c r="F2302" s="1">
        <v>0.67708333333333337</v>
      </c>
      <c r="G2302" s="9">
        <f t="shared" si="232"/>
        <v>45614</v>
      </c>
      <c r="H2302" s="11">
        <f t="shared" si="233"/>
        <v>1.3</v>
      </c>
      <c r="I2302" s="10">
        <f t="shared" si="234"/>
        <v>8.1</v>
      </c>
      <c r="J2302" s="10">
        <f t="shared" si="235"/>
        <v>7.2</v>
      </c>
      <c r="K2302" s="10">
        <f t="shared" si="231"/>
        <v>8.1</v>
      </c>
      <c r="L2302" s="10">
        <f t="shared" si="236"/>
        <v>89.2</v>
      </c>
    </row>
    <row r="2303" spans="1:12" x14ac:dyDescent="0.25">
      <c r="A2303" s="7">
        <v>45615</v>
      </c>
      <c r="B2303" t="s">
        <v>6</v>
      </c>
      <c r="C2303" s="6" t="s">
        <v>416</v>
      </c>
      <c r="D2303" s="5" t="s">
        <v>728</v>
      </c>
      <c r="E2303" s="1">
        <v>0.3347222222222222</v>
      </c>
      <c r="F2303" s="1">
        <v>0.77083333333333337</v>
      </c>
      <c r="G2303" s="9">
        <f t="shared" si="232"/>
        <v>45614</v>
      </c>
      <c r="H2303" s="11">
        <f t="shared" si="233"/>
        <v>10.5</v>
      </c>
      <c r="I2303" s="10">
        <f t="shared" si="234"/>
        <v>10.5</v>
      </c>
      <c r="J2303" s="10">
        <f t="shared" si="235"/>
        <v>7.2</v>
      </c>
      <c r="K2303" s="10">
        <f t="shared" si="231"/>
        <v>18.600000000000001</v>
      </c>
      <c r="L2303" s="10">
        <f t="shared" si="236"/>
        <v>99.7</v>
      </c>
    </row>
    <row r="2304" spans="1:12" x14ac:dyDescent="0.25">
      <c r="A2304" s="7">
        <v>45616</v>
      </c>
      <c r="B2304" t="s">
        <v>6</v>
      </c>
      <c r="C2304" s="6" t="s">
        <v>416</v>
      </c>
      <c r="D2304" s="5" t="s">
        <v>231</v>
      </c>
      <c r="E2304" s="1">
        <v>0.30902777777777779</v>
      </c>
      <c r="F2304" s="1">
        <v>0.6875</v>
      </c>
      <c r="G2304" s="9">
        <f t="shared" si="232"/>
        <v>45614</v>
      </c>
      <c r="H2304" s="11">
        <f t="shared" si="233"/>
        <v>9.1</v>
      </c>
      <c r="I2304" s="10">
        <f t="shared" si="234"/>
        <v>9.1</v>
      </c>
      <c r="J2304" s="10">
        <f t="shared" si="235"/>
        <v>7.2</v>
      </c>
      <c r="K2304" s="10">
        <f t="shared" si="231"/>
        <v>27.700000000000003</v>
      </c>
      <c r="L2304" s="10">
        <f t="shared" si="236"/>
        <v>108.8</v>
      </c>
    </row>
    <row r="2305" spans="1:12" x14ac:dyDescent="0.25">
      <c r="A2305" s="7">
        <v>45616</v>
      </c>
      <c r="B2305" t="s">
        <v>6</v>
      </c>
      <c r="C2305" s="6" t="s">
        <v>416</v>
      </c>
      <c r="D2305" s="5" t="s">
        <v>231</v>
      </c>
      <c r="E2305" s="1">
        <v>0.75</v>
      </c>
      <c r="F2305" s="1">
        <v>0.875</v>
      </c>
      <c r="G2305" s="9">
        <f t="shared" si="232"/>
        <v>45614</v>
      </c>
      <c r="H2305" s="11">
        <f t="shared" si="233"/>
        <v>3</v>
      </c>
      <c r="I2305" s="10">
        <f t="shared" si="234"/>
        <v>12.1</v>
      </c>
      <c r="J2305" s="10">
        <f t="shared" si="235"/>
        <v>7.2</v>
      </c>
      <c r="K2305" s="10">
        <f t="shared" si="231"/>
        <v>30.7</v>
      </c>
      <c r="L2305" s="10">
        <f t="shared" si="236"/>
        <v>111.8</v>
      </c>
    </row>
    <row r="2306" spans="1:12" x14ac:dyDescent="0.25">
      <c r="A2306" s="7">
        <v>45617</v>
      </c>
      <c r="B2306" t="s">
        <v>6</v>
      </c>
      <c r="C2306" s="6" t="s">
        <v>416</v>
      </c>
      <c r="D2306" s="5" t="s">
        <v>231</v>
      </c>
      <c r="E2306" s="1">
        <v>0.33958333333333335</v>
      </c>
      <c r="F2306" s="1">
        <v>0.63541666666666663</v>
      </c>
      <c r="G2306" s="9">
        <f t="shared" si="232"/>
        <v>45614</v>
      </c>
      <c r="H2306" s="11">
        <f t="shared" si="233"/>
        <v>7.1</v>
      </c>
      <c r="I2306" s="10">
        <f t="shared" si="234"/>
        <v>7.1</v>
      </c>
      <c r="J2306" s="10">
        <f t="shared" si="235"/>
        <v>7.2</v>
      </c>
      <c r="K2306" s="10">
        <f t="shared" si="231"/>
        <v>37.799999999999997</v>
      </c>
      <c r="L2306" s="10">
        <f t="shared" si="236"/>
        <v>118.89999999999999</v>
      </c>
    </row>
    <row r="2307" spans="1:12" x14ac:dyDescent="0.25">
      <c r="A2307" s="7">
        <v>45618</v>
      </c>
      <c r="B2307" t="s">
        <v>6</v>
      </c>
      <c r="C2307" s="6" t="s">
        <v>416</v>
      </c>
      <c r="D2307" s="5" t="s">
        <v>729</v>
      </c>
      <c r="E2307" s="1">
        <v>0.31805555555555554</v>
      </c>
      <c r="F2307" s="1">
        <v>0.43263888888888891</v>
      </c>
      <c r="G2307" s="9">
        <f t="shared" si="232"/>
        <v>45614</v>
      </c>
      <c r="H2307" s="11">
        <f t="shared" si="233"/>
        <v>2.8</v>
      </c>
      <c r="I2307" s="10">
        <f t="shared" si="234"/>
        <v>2.8</v>
      </c>
      <c r="J2307" s="10">
        <f t="shared" si="235"/>
        <v>7.2</v>
      </c>
      <c r="K2307" s="10">
        <f t="shared" ref="K2307:K2370" si="237">IF(H2307="",H2307,H2307+IF(G2307=G2306,_xlfn.NUMBERVALUE(K2306),0))</f>
        <v>40.599999999999994</v>
      </c>
      <c r="L2307" s="10">
        <f t="shared" si="236"/>
        <v>121.7</v>
      </c>
    </row>
    <row r="2308" spans="1:12" x14ac:dyDescent="0.25">
      <c r="A2308" s="7">
        <v>45618</v>
      </c>
      <c r="B2308" s="2" t="s">
        <v>579</v>
      </c>
      <c r="C2308" s="6">
        <v>2682</v>
      </c>
      <c r="D2308" s="5" t="s">
        <v>730</v>
      </c>
      <c r="E2308" s="1">
        <v>0.43263888888888891</v>
      </c>
      <c r="F2308" s="1">
        <v>0.45833333333333331</v>
      </c>
      <c r="G2308" s="9">
        <f t="shared" si="232"/>
        <v>45614</v>
      </c>
      <c r="H2308" s="11">
        <f t="shared" si="233"/>
        <v>0.6</v>
      </c>
      <c r="I2308" s="10">
        <f t="shared" si="234"/>
        <v>3.4</v>
      </c>
      <c r="J2308" s="10">
        <f t="shared" si="235"/>
        <v>7.2</v>
      </c>
      <c r="K2308" s="10">
        <f t="shared" si="237"/>
        <v>41.2</v>
      </c>
      <c r="L2308" s="10">
        <f t="shared" si="236"/>
        <v>122.3</v>
      </c>
    </row>
    <row r="2309" spans="1:12" x14ac:dyDescent="0.25">
      <c r="A2309" s="7">
        <v>45618</v>
      </c>
      <c r="B2309" s="2" t="s">
        <v>464</v>
      </c>
      <c r="C2309" s="6">
        <v>2431</v>
      </c>
      <c r="D2309" s="5" t="s">
        <v>726</v>
      </c>
      <c r="E2309" s="1">
        <v>0.45833333333333331</v>
      </c>
      <c r="F2309" s="1">
        <v>0.49930555555555556</v>
      </c>
      <c r="G2309" s="9">
        <f t="shared" si="232"/>
        <v>45614</v>
      </c>
      <c r="H2309" s="11">
        <f t="shared" si="233"/>
        <v>1</v>
      </c>
      <c r="I2309" s="10">
        <f t="shared" si="234"/>
        <v>4.4000000000000004</v>
      </c>
      <c r="J2309" s="10">
        <f t="shared" si="235"/>
        <v>7.2</v>
      </c>
      <c r="K2309" s="10">
        <f t="shared" si="237"/>
        <v>42.2</v>
      </c>
      <c r="L2309" s="10">
        <f t="shared" si="236"/>
        <v>123.3</v>
      </c>
    </row>
    <row r="2310" spans="1:12" x14ac:dyDescent="0.25">
      <c r="A2310" s="7">
        <v>45618</v>
      </c>
      <c r="B2310" s="2" t="s">
        <v>464</v>
      </c>
      <c r="C2310" s="6">
        <v>2431</v>
      </c>
      <c r="D2310" s="5" t="s">
        <v>731</v>
      </c>
      <c r="E2310" s="1">
        <v>0.5444444444444444</v>
      </c>
      <c r="F2310" s="1">
        <v>0.59166666666666667</v>
      </c>
      <c r="G2310" s="9">
        <f t="shared" si="232"/>
        <v>45614</v>
      </c>
      <c r="H2310" s="11">
        <f t="shared" si="233"/>
        <v>1.1000000000000001</v>
      </c>
      <c r="I2310" s="10">
        <f t="shared" si="234"/>
        <v>5.5</v>
      </c>
      <c r="J2310" s="10">
        <f t="shared" si="235"/>
        <v>7.2</v>
      </c>
      <c r="K2310" s="10">
        <f t="shared" si="237"/>
        <v>43.300000000000004</v>
      </c>
      <c r="L2310" s="10">
        <f t="shared" si="236"/>
        <v>124.39999999999999</v>
      </c>
    </row>
    <row r="2311" spans="1:12" x14ac:dyDescent="0.25">
      <c r="A2311" s="7">
        <v>45621</v>
      </c>
      <c r="B2311" t="s">
        <v>6</v>
      </c>
      <c r="C2311" s="6" t="s">
        <v>416</v>
      </c>
      <c r="D2311" s="5" t="s">
        <v>733</v>
      </c>
      <c r="E2311" s="1">
        <v>0.33958333333333335</v>
      </c>
      <c r="F2311" s="1">
        <v>0.45347222222222222</v>
      </c>
      <c r="G2311" s="9">
        <f t="shared" si="232"/>
        <v>45621</v>
      </c>
      <c r="H2311" s="11">
        <f t="shared" si="233"/>
        <v>2.7</v>
      </c>
      <c r="I2311" s="10">
        <f t="shared" si="234"/>
        <v>2.7</v>
      </c>
      <c r="J2311" s="10">
        <f t="shared" si="235"/>
        <v>7.2</v>
      </c>
      <c r="K2311" s="10">
        <f t="shared" si="237"/>
        <v>2.7</v>
      </c>
      <c r="L2311" s="10">
        <f t="shared" si="236"/>
        <v>127.10000000000001</v>
      </c>
    </row>
    <row r="2312" spans="1:12" x14ac:dyDescent="0.25">
      <c r="A2312" s="7">
        <v>45621</v>
      </c>
      <c r="B2312" t="s">
        <v>598</v>
      </c>
      <c r="C2312" s="6">
        <v>6004</v>
      </c>
      <c r="D2312" s="5" t="s">
        <v>734</v>
      </c>
      <c r="E2312" s="1">
        <v>0.47916666666666669</v>
      </c>
      <c r="F2312" s="1">
        <v>0.54861111111111116</v>
      </c>
      <c r="G2312" s="9">
        <f t="shared" si="232"/>
        <v>45621</v>
      </c>
      <c r="H2312" s="11">
        <f t="shared" si="233"/>
        <v>1.7</v>
      </c>
      <c r="I2312" s="10">
        <f t="shared" si="234"/>
        <v>4.4000000000000004</v>
      </c>
      <c r="J2312" s="10">
        <f t="shared" si="235"/>
        <v>7.2</v>
      </c>
      <c r="K2312" s="10">
        <f t="shared" si="237"/>
        <v>4.4000000000000004</v>
      </c>
      <c r="L2312" s="10">
        <f t="shared" si="236"/>
        <v>128.79999999999998</v>
      </c>
    </row>
    <row r="2313" spans="1:12" x14ac:dyDescent="0.25">
      <c r="A2313" s="7">
        <v>45621</v>
      </c>
      <c r="B2313" t="s">
        <v>6</v>
      </c>
      <c r="C2313" s="6" t="s">
        <v>416</v>
      </c>
      <c r="D2313" s="5" t="s">
        <v>732</v>
      </c>
      <c r="E2313" s="1">
        <v>0.5493055555555556</v>
      </c>
      <c r="F2313" s="1">
        <v>0.79166666666666663</v>
      </c>
      <c r="G2313" s="9">
        <f t="shared" si="232"/>
        <v>45621</v>
      </c>
      <c r="H2313" s="11">
        <f t="shared" si="233"/>
        <v>5.8</v>
      </c>
      <c r="I2313" s="10">
        <f t="shared" si="234"/>
        <v>10.199999999999999</v>
      </c>
      <c r="J2313" s="10">
        <f t="shared" si="235"/>
        <v>7.2</v>
      </c>
      <c r="K2313" s="10">
        <f t="shared" si="237"/>
        <v>10.199999999999999</v>
      </c>
      <c r="L2313" s="10">
        <f t="shared" si="236"/>
        <v>134.60000000000002</v>
      </c>
    </row>
    <row r="2314" spans="1:12" x14ac:dyDescent="0.25">
      <c r="A2314" s="7">
        <v>45622</v>
      </c>
      <c r="B2314" t="s">
        <v>6</v>
      </c>
      <c r="C2314" s="6" t="s">
        <v>416</v>
      </c>
      <c r="D2314" s="5" t="s">
        <v>735</v>
      </c>
      <c r="E2314" s="1">
        <v>0.39583333333333331</v>
      </c>
      <c r="F2314" s="1">
        <v>0.70833333333333337</v>
      </c>
      <c r="G2314" s="9">
        <f t="shared" si="232"/>
        <v>45621</v>
      </c>
      <c r="H2314" s="11">
        <f t="shared" si="233"/>
        <v>7.5</v>
      </c>
      <c r="I2314" s="10">
        <f t="shared" si="234"/>
        <v>7.5</v>
      </c>
      <c r="J2314" s="10">
        <f t="shared" si="235"/>
        <v>7.2</v>
      </c>
      <c r="K2314" s="10">
        <f t="shared" si="237"/>
        <v>17.7</v>
      </c>
      <c r="L2314" s="10">
        <f t="shared" si="236"/>
        <v>142.1</v>
      </c>
    </row>
    <row r="2315" spans="1:12" x14ac:dyDescent="0.25">
      <c r="A2315" s="7">
        <v>45623</v>
      </c>
      <c r="B2315" t="s">
        <v>6</v>
      </c>
      <c r="C2315" s="6" t="s">
        <v>416</v>
      </c>
      <c r="D2315" s="5" t="s">
        <v>735</v>
      </c>
      <c r="E2315" s="1">
        <v>0.35416666666666669</v>
      </c>
      <c r="F2315" s="1">
        <v>0.75</v>
      </c>
      <c r="G2315" s="9">
        <f t="shared" si="232"/>
        <v>45621</v>
      </c>
      <c r="H2315" s="11">
        <f t="shared" si="233"/>
        <v>9.5</v>
      </c>
      <c r="I2315" s="10">
        <f t="shared" si="234"/>
        <v>9.5</v>
      </c>
      <c r="J2315" s="10">
        <f t="shared" si="235"/>
        <v>7.2</v>
      </c>
      <c r="K2315" s="10">
        <f t="shared" si="237"/>
        <v>27.2</v>
      </c>
      <c r="L2315" s="10">
        <f t="shared" si="236"/>
        <v>151.6</v>
      </c>
    </row>
    <row r="2316" spans="1:12" x14ac:dyDescent="0.25">
      <c r="A2316" s="7">
        <v>45624</v>
      </c>
      <c r="B2316" t="s">
        <v>6</v>
      </c>
      <c r="C2316" s="6" t="s">
        <v>416</v>
      </c>
      <c r="D2316" s="5" t="s">
        <v>735</v>
      </c>
      <c r="E2316" s="1">
        <v>0.35416666666666669</v>
      </c>
      <c r="F2316" s="1">
        <v>0.86805555555555558</v>
      </c>
      <c r="G2316" s="9">
        <f t="shared" si="232"/>
        <v>45621</v>
      </c>
      <c r="H2316" s="11">
        <f t="shared" si="233"/>
        <v>12.3</v>
      </c>
      <c r="I2316" s="10">
        <f t="shared" si="234"/>
        <v>12.3</v>
      </c>
      <c r="J2316" s="10">
        <f t="shared" si="235"/>
        <v>7.2</v>
      </c>
      <c r="K2316" s="10">
        <f t="shared" si="237"/>
        <v>39.5</v>
      </c>
      <c r="L2316" s="10">
        <f t="shared" si="236"/>
        <v>163.9</v>
      </c>
    </row>
    <row r="2317" spans="1:12" x14ac:dyDescent="0.25">
      <c r="A2317" s="7">
        <v>45625</v>
      </c>
      <c r="B2317" t="s">
        <v>6</v>
      </c>
      <c r="C2317" s="6" t="s">
        <v>416</v>
      </c>
      <c r="D2317" s="5" t="s">
        <v>733</v>
      </c>
      <c r="E2317" s="1">
        <v>0.33402777777777776</v>
      </c>
      <c r="F2317" s="1">
        <v>0.45833333333333331</v>
      </c>
      <c r="G2317" s="9">
        <f t="shared" si="232"/>
        <v>45621</v>
      </c>
      <c r="H2317" s="11">
        <f t="shared" si="233"/>
        <v>3</v>
      </c>
      <c r="I2317" s="10">
        <f t="shared" si="234"/>
        <v>3</v>
      </c>
      <c r="J2317" s="10">
        <f t="shared" si="235"/>
        <v>7.2</v>
      </c>
      <c r="K2317" s="10">
        <f t="shared" si="237"/>
        <v>42.5</v>
      </c>
      <c r="L2317" s="10">
        <f t="shared" si="236"/>
        <v>166.9</v>
      </c>
    </row>
    <row r="2318" spans="1:12" x14ac:dyDescent="0.25">
      <c r="A2318" s="7">
        <v>45625</v>
      </c>
      <c r="B2318" s="2" t="s">
        <v>464</v>
      </c>
      <c r="C2318" s="6">
        <v>2431</v>
      </c>
      <c r="D2318" s="5" t="s">
        <v>726</v>
      </c>
      <c r="E2318" s="1">
        <v>0.45833333333333331</v>
      </c>
      <c r="F2318" s="1">
        <v>0.51666666666666672</v>
      </c>
      <c r="G2318" s="9">
        <f t="shared" si="232"/>
        <v>45621</v>
      </c>
      <c r="H2318" s="11">
        <f t="shared" si="233"/>
        <v>1.4</v>
      </c>
      <c r="I2318" s="10">
        <f t="shared" si="234"/>
        <v>4.4000000000000004</v>
      </c>
      <c r="J2318" s="10">
        <f t="shared" si="235"/>
        <v>7.2</v>
      </c>
      <c r="K2318" s="10">
        <f t="shared" si="237"/>
        <v>43.9</v>
      </c>
      <c r="L2318" s="10">
        <f t="shared" si="236"/>
        <v>168.3</v>
      </c>
    </row>
    <row r="2319" spans="1:12" x14ac:dyDescent="0.25">
      <c r="A2319" s="7">
        <v>45625</v>
      </c>
      <c r="B2319" t="s">
        <v>598</v>
      </c>
      <c r="C2319" s="6">
        <v>6004</v>
      </c>
      <c r="D2319" s="5" t="s">
        <v>734</v>
      </c>
      <c r="E2319" s="1">
        <v>0.53055555555555556</v>
      </c>
      <c r="F2319" s="1">
        <v>0.58333333333333337</v>
      </c>
      <c r="G2319" s="9">
        <f t="shared" si="232"/>
        <v>45621</v>
      </c>
      <c r="H2319" s="11">
        <f t="shared" si="233"/>
        <v>1.3</v>
      </c>
      <c r="I2319" s="10">
        <f t="shared" si="234"/>
        <v>5.7</v>
      </c>
      <c r="J2319" s="10">
        <f t="shared" si="235"/>
        <v>7.2</v>
      </c>
      <c r="K2319" s="10">
        <f t="shared" si="237"/>
        <v>45.199999999999996</v>
      </c>
      <c r="L2319" s="10">
        <f t="shared" si="236"/>
        <v>169.60000000000002</v>
      </c>
    </row>
    <row r="2320" spans="1:12" x14ac:dyDescent="0.25">
      <c r="A2320" s="7">
        <v>45625</v>
      </c>
      <c r="B2320" s="2" t="s">
        <v>311</v>
      </c>
      <c r="C2320" s="6">
        <v>2008</v>
      </c>
      <c r="D2320" s="5" t="s">
        <v>44</v>
      </c>
      <c r="E2320" s="1">
        <v>0.58333333333333337</v>
      </c>
      <c r="F2320" s="1">
        <v>0.63055555555555554</v>
      </c>
      <c r="G2320" s="9">
        <f t="shared" si="232"/>
        <v>45621</v>
      </c>
      <c r="H2320" s="11">
        <f t="shared" si="233"/>
        <v>1.1000000000000001</v>
      </c>
      <c r="I2320" s="10">
        <f t="shared" si="234"/>
        <v>6.8000000000000007</v>
      </c>
      <c r="J2320" s="10">
        <f t="shared" si="235"/>
        <v>7.2</v>
      </c>
      <c r="K2320" s="10">
        <f t="shared" si="237"/>
        <v>46.300000000000004</v>
      </c>
      <c r="L2320" s="10">
        <f t="shared" si="236"/>
        <v>170.7</v>
      </c>
    </row>
    <row r="2321" spans="1:12" x14ac:dyDescent="0.25">
      <c r="A2321" s="7">
        <v>45625</v>
      </c>
      <c r="B2321" t="s">
        <v>598</v>
      </c>
      <c r="C2321" s="6">
        <v>6004</v>
      </c>
      <c r="D2321" s="5" t="s">
        <v>734</v>
      </c>
      <c r="E2321" s="1">
        <v>0.63055555555555554</v>
      </c>
      <c r="F2321" s="1">
        <v>0.6430555555555556</v>
      </c>
      <c r="G2321" s="9">
        <f t="shared" si="232"/>
        <v>45621</v>
      </c>
      <c r="H2321" s="11">
        <f t="shared" si="233"/>
        <v>0.3</v>
      </c>
      <c r="I2321" s="10">
        <f t="shared" si="234"/>
        <v>7.1</v>
      </c>
      <c r="J2321" s="10">
        <f t="shared" si="235"/>
        <v>7.2</v>
      </c>
      <c r="K2321" s="10">
        <f t="shared" si="237"/>
        <v>46.599999999999994</v>
      </c>
      <c r="L2321" s="10">
        <f t="shared" si="236"/>
        <v>171</v>
      </c>
    </row>
    <row r="2322" spans="1:12" x14ac:dyDescent="0.25">
      <c r="A2322" s="7">
        <v>45628</v>
      </c>
      <c r="B2322" t="s">
        <v>6</v>
      </c>
      <c r="C2322" s="6" t="s">
        <v>416</v>
      </c>
      <c r="D2322" s="5" t="s">
        <v>104</v>
      </c>
      <c r="E2322" s="1">
        <v>0.33958333333333335</v>
      </c>
      <c r="F2322" s="1">
        <v>0.375</v>
      </c>
      <c r="G2322" s="9">
        <f t="shared" si="232"/>
        <v>45628</v>
      </c>
      <c r="H2322" s="11">
        <f t="shared" si="233"/>
        <v>0.9</v>
      </c>
      <c r="I2322" s="10">
        <f t="shared" si="234"/>
        <v>0.9</v>
      </c>
      <c r="J2322" s="10">
        <f t="shared" si="235"/>
        <v>7.2</v>
      </c>
      <c r="K2322" s="10">
        <f t="shared" si="237"/>
        <v>0.9</v>
      </c>
      <c r="L2322" s="10">
        <f t="shared" si="236"/>
        <v>0.9</v>
      </c>
    </row>
    <row r="2323" spans="1:12" x14ac:dyDescent="0.25">
      <c r="A2323" s="7">
        <v>45628</v>
      </c>
      <c r="B2323" s="2" t="s">
        <v>838</v>
      </c>
      <c r="C2323" s="6">
        <v>6185</v>
      </c>
      <c r="D2323" s="5" t="s">
        <v>736</v>
      </c>
      <c r="E2323" s="1">
        <v>0.375</v>
      </c>
      <c r="F2323" s="1">
        <v>0.41666666666666669</v>
      </c>
      <c r="G2323" s="9">
        <f t="shared" si="232"/>
        <v>45628</v>
      </c>
      <c r="H2323" s="11">
        <f t="shared" si="233"/>
        <v>1</v>
      </c>
      <c r="I2323" s="10">
        <f t="shared" si="234"/>
        <v>1.9</v>
      </c>
      <c r="J2323" s="10">
        <f t="shared" si="235"/>
        <v>7.2</v>
      </c>
      <c r="K2323" s="10">
        <f t="shared" si="237"/>
        <v>1.9</v>
      </c>
      <c r="L2323" s="10">
        <f t="shared" si="236"/>
        <v>1.9</v>
      </c>
    </row>
    <row r="2324" spans="1:12" x14ac:dyDescent="0.25">
      <c r="A2324" s="7">
        <v>45628</v>
      </c>
      <c r="B2324" s="2" t="s">
        <v>579</v>
      </c>
      <c r="C2324" s="6">
        <v>2682</v>
      </c>
      <c r="D2324" s="5" t="s">
        <v>737</v>
      </c>
      <c r="E2324" s="1">
        <v>0.41666666666666669</v>
      </c>
      <c r="F2324" s="1">
        <v>0.4375</v>
      </c>
      <c r="G2324" s="9">
        <f t="shared" si="232"/>
        <v>45628</v>
      </c>
      <c r="H2324" s="11">
        <f t="shared" si="233"/>
        <v>0.5</v>
      </c>
      <c r="I2324" s="10">
        <f t="shared" si="234"/>
        <v>2.4</v>
      </c>
      <c r="J2324" s="10">
        <f t="shared" si="235"/>
        <v>7.2</v>
      </c>
      <c r="K2324" s="10">
        <f t="shared" si="237"/>
        <v>2.4</v>
      </c>
      <c r="L2324" s="10">
        <f t="shared" si="236"/>
        <v>2.4</v>
      </c>
    </row>
    <row r="2325" spans="1:12" x14ac:dyDescent="0.25">
      <c r="A2325" s="7">
        <v>45628</v>
      </c>
      <c r="B2325" s="2" t="s">
        <v>464</v>
      </c>
      <c r="C2325" s="6">
        <v>2431</v>
      </c>
      <c r="D2325" s="5" t="s">
        <v>726</v>
      </c>
      <c r="E2325" s="1">
        <v>0.4375</v>
      </c>
      <c r="F2325" s="1">
        <v>0.47291666666666665</v>
      </c>
      <c r="G2325" s="9">
        <f t="shared" si="232"/>
        <v>45628</v>
      </c>
      <c r="H2325" s="11">
        <f t="shared" si="233"/>
        <v>0.9</v>
      </c>
      <c r="I2325" s="10">
        <f t="shared" si="234"/>
        <v>3.3</v>
      </c>
      <c r="J2325" s="10">
        <f t="shared" si="235"/>
        <v>7.2</v>
      </c>
      <c r="K2325" s="10">
        <f t="shared" si="237"/>
        <v>3.3</v>
      </c>
      <c r="L2325" s="10">
        <f t="shared" si="236"/>
        <v>3.3</v>
      </c>
    </row>
    <row r="2326" spans="1:12" x14ac:dyDescent="0.25">
      <c r="A2326" s="7">
        <v>45628</v>
      </c>
      <c r="B2326" s="2" t="s">
        <v>579</v>
      </c>
      <c r="C2326" s="6">
        <v>2682</v>
      </c>
      <c r="D2326" s="5" t="s">
        <v>737</v>
      </c>
      <c r="E2326" s="1">
        <v>0.47291666666666665</v>
      </c>
      <c r="F2326" s="1">
        <v>0.57638888888888884</v>
      </c>
      <c r="G2326" s="9">
        <f t="shared" si="232"/>
        <v>45628</v>
      </c>
      <c r="H2326" s="11">
        <f t="shared" si="233"/>
        <v>2.5</v>
      </c>
      <c r="I2326" s="10">
        <f t="shared" si="234"/>
        <v>5.8</v>
      </c>
      <c r="J2326" s="10">
        <f t="shared" si="235"/>
        <v>7.2</v>
      </c>
      <c r="K2326" s="10">
        <f t="shared" si="237"/>
        <v>5.8</v>
      </c>
      <c r="L2326" s="10">
        <f t="shared" si="236"/>
        <v>5.8</v>
      </c>
    </row>
    <row r="2327" spans="1:12" x14ac:dyDescent="0.25">
      <c r="A2327" s="7">
        <v>45628</v>
      </c>
      <c r="B2327" s="2" t="s">
        <v>838</v>
      </c>
      <c r="C2327" s="6">
        <v>6185</v>
      </c>
      <c r="D2327" s="5" t="s">
        <v>736</v>
      </c>
      <c r="E2327" s="1">
        <v>0.57638888888888884</v>
      </c>
      <c r="F2327" s="1">
        <v>0.625</v>
      </c>
      <c r="G2327" s="9">
        <f t="shared" si="232"/>
        <v>45628</v>
      </c>
      <c r="H2327" s="11">
        <f t="shared" si="233"/>
        <v>1.2</v>
      </c>
      <c r="I2327" s="10">
        <f t="shared" si="234"/>
        <v>7</v>
      </c>
      <c r="J2327" s="10">
        <f t="shared" si="235"/>
        <v>7.2</v>
      </c>
      <c r="K2327" s="10">
        <f t="shared" si="237"/>
        <v>7</v>
      </c>
      <c r="L2327" s="10">
        <f t="shared" si="236"/>
        <v>7</v>
      </c>
    </row>
    <row r="2328" spans="1:12" x14ac:dyDescent="0.25">
      <c r="A2328" s="7">
        <v>45628</v>
      </c>
      <c r="B2328" s="2" t="s">
        <v>588</v>
      </c>
      <c r="C2328" s="6">
        <v>2473</v>
      </c>
      <c r="D2328" s="5" t="s">
        <v>44</v>
      </c>
      <c r="E2328" s="1">
        <v>0.625</v>
      </c>
      <c r="F2328" s="1">
        <v>0.66805555555555551</v>
      </c>
      <c r="G2328" s="9">
        <f t="shared" si="232"/>
        <v>45628</v>
      </c>
      <c r="H2328" s="11">
        <f t="shared" si="233"/>
        <v>1</v>
      </c>
      <c r="I2328" s="10">
        <f t="shared" si="234"/>
        <v>8</v>
      </c>
      <c r="J2328" s="10">
        <f t="shared" si="235"/>
        <v>7.2</v>
      </c>
      <c r="K2328" s="10">
        <f t="shared" si="237"/>
        <v>8</v>
      </c>
      <c r="L2328" s="10">
        <f t="shared" si="236"/>
        <v>8</v>
      </c>
    </row>
    <row r="2329" spans="1:12" x14ac:dyDescent="0.25">
      <c r="A2329" s="7">
        <v>45629</v>
      </c>
      <c r="B2329" s="2" t="s">
        <v>838</v>
      </c>
      <c r="C2329" s="6">
        <v>6185</v>
      </c>
      <c r="D2329" s="5" t="s">
        <v>736</v>
      </c>
      <c r="E2329" s="1">
        <v>0.36458333333333331</v>
      </c>
      <c r="F2329" s="1">
        <v>0.42638888888888887</v>
      </c>
      <c r="G2329" s="9">
        <f t="shared" si="232"/>
        <v>45628</v>
      </c>
      <c r="H2329" s="11">
        <f t="shared" si="233"/>
        <v>1.5</v>
      </c>
      <c r="I2329" s="10">
        <f t="shared" si="234"/>
        <v>1.5</v>
      </c>
      <c r="J2329" s="10">
        <f t="shared" si="235"/>
        <v>7.2</v>
      </c>
      <c r="K2329" s="10">
        <f t="shared" si="237"/>
        <v>9.5</v>
      </c>
      <c r="L2329" s="10">
        <f t="shared" si="236"/>
        <v>9.5</v>
      </c>
    </row>
    <row r="2330" spans="1:12" x14ac:dyDescent="0.25">
      <c r="A2330" s="7">
        <v>45629</v>
      </c>
      <c r="B2330" t="s">
        <v>598</v>
      </c>
      <c r="C2330" s="6">
        <v>6004</v>
      </c>
      <c r="D2330" s="5" t="s">
        <v>734</v>
      </c>
      <c r="E2330" s="1">
        <v>0.42638888888888887</v>
      </c>
      <c r="F2330" s="1">
        <v>0.49166666666666664</v>
      </c>
      <c r="G2330" s="9">
        <f t="shared" si="232"/>
        <v>45628</v>
      </c>
      <c r="H2330" s="11">
        <f t="shared" si="233"/>
        <v>1.6</v>
      </c>
      <c r="I2330" s="10">
        <f t="shared" si="234"/>
        <v>3.1</v>
      </c>
      <c r="J2330" s="10">
        <f t="shared" si="235"/>
        <v>7.2</v>
      </c>
      <c r="K2330" s="10">
        <f t="shared" si="237"/>
        <v>11.1</v>
      </c>
      <c r="L2330" s="10">
        <f t="shared" si="236"/>
        <v>11.1</v>
      </c>
    </row>
    <row r="2331" spans="1:12" x14ac:dyDescent="0.25">
      <c r="A2331" s="7">
        <v>45629</v>
      </c>
      <c r="B2331" t="s">
        <v>6</v>
      </c>
      <c r="C2331" s="6" t="s">
        <v>416</v>
      </c>
      <c r="D2331" s="5" t="s">
        <v>747</v>
      </c>
      <c r="E2331" s="1">
        <v>0.49166666666666664</v>
      </c>
      <c r="F2331" s="1">
        <v>0.51388888888888884</v>
      </c>
      <c r="G2331" s="9">
        <f t="shared" si="232"/>
        <v>45628</v>
      </c>
      <c r="H2331" s="11">
        <f t="shared" si="233"/>
        <v>0.5</v>
      </c>
      <c r="I2331" s="10">
        <f t="shared" si="234"/>
        <v>3.6</v>
      </c>
      <c r="J2331" s="10">
        <f t="shared" si="235"/>
        <v>7.2</v>
      </c>
      <c r="K2331" s="10">
        <f t="shared" si="237"/>
        <v>11.6</v>
      </c>
      <c r="L2331" s="10">
        <f t="shared" si="236"/>
        <v>11.6</v>
      </c>
    </row>
    <row r="2332" spans="1:12" x14ac:dyDescent="0.25">
      <c r="A2332" s="7">
        <v>45629</v>
      </c>
      <c r="B2332" t="s">
        <v>6</v>
      </c>
      <c r="C2332" s="6" t="s">
        <v>416</v>
      </c>
      <c r="D2332" s="5" t="s">
        <v>747</v>
      </c>
      <c r="E2332" s="1">
        <v>0.54583333333333328</v>
      </c>
      <c r="F2332" s="1">
        <v>0.65625</v>
      </c>
      <c r="G2332" s="9">
        <f t="shared" si="232"/>
        <v>45628</v>
      </c>
      <c r="H2332" s="11">
        <f t="shared" si="233"/>
        <v>2.7</v>
      </c>
      <c r="I2332" s="10">
        <f t="shared" si="234"/>
        <v>6.3000000000000007</v>
      </c>
      <c r="J2332" s="10">
        <f t="shared" si="235"/>
        <v>7.2</v>
      </c>
      <c r="K2332" s="10">
        <f t="shared" si="237"/>
        <v>14.3</v>
      </c>
      <c r="L2332" s="10">
        <f t="shared" si="236"/>
        <v>14.3</v>
      </c>
    </row>
    <row r="2333" spans="1:12" x14ac:dyDescent="0.25">
      <c r="A2333" s="7">
        <v>45630</v>
      </c>
      <c r="B2333" t="s">
        <v>598</v>
      </c>
      <c r="C2333" s="6">
        <v>6004</v>
      </c>
      <c r="D2333" s="5" t="s">
        <v>734</v>
      </c>
      <c r="E2333" s="1">
        <v>0.32569444444444445</v>
      </c>
      <c r="F2333" s="1">
        <v>0.375</v>
      </c>
      <c r="G2333" s="9">
        <f t="shared" si="232"/>
        <v>45628</v>
      </c>
      <c r="H2333" s="11">
        <f t="shared" si="233"/>
        <v>1.2</v>
      </c>
      <c r="I2333" s="10">
        <f t="shared" si="234"/>
        <v>1.2</v>
      </c>
      <c r="J2333" s="10">
        <f t="shared" si="235"/>
        <v>7.2</v>
      </c>
      <c r="K2333" s="10">
        <f t="shared" si="237"/>
        <v>15.5</v>
      </c>
      <c r="L2333" s="10">
        <f t="shared" si="236"/>
        <v>15.5</v>
      </c>
    </row>
    <row r="2334" spans="1:12" x14ac:dyDescent="0.25">
      <c r="A2334" s="7">
        <v>45630</v>
      </c>
      <c r="B2334" t="s">
        <v>6</v>
      </c>
      <c r="C2334" s="6" t="s">
        <v>416</v>
      </c>
      <c r="D2334" s="5" t="s">
        <v>738</v>
      </c>
      <c r="E2334" s="1">
        <v>0.375</v>
      </c>
      <c r="F2334" s="1">
        <v>0.61111111111111116</v>
      </c>
      <c r="G2334" s="9">
        <f t="shared" si="232"/>
        <v>45628</v>
      </c>
      <c r="H2334" s="11">
        <f t="shared" si="233"/>
        <v>5.7</v>
      </c>
      <c r="I2334" s="10">
        <f t="shared" si="234"/>
        <v>6.9</v>
      </c>
      <c r="J2334" s="10">
        <f t="shared" si="235"/>
        <v>7.2</v>
      </c>
      <c r="K2334" s="10">
        <f t="shared" si="237"/>
        <v>21.2</v>
      </c>
      <c r="L2334" s="10">
        <f t="shared" si="236"/>
        <v>21.2</v>
      </c>
    </row>
    <row r="2335" spans="1:12" x14ac:dyDescent="0.25">
      <c r="A2335" s="7">
        <v>45631</v>
      </c>
      <c r="B2335" t="s">
        <v>598</v>
      </c>
      <c r="C2335" s="6">
        <v>6004</v>
      </c>
      <c r="D2335" s="5" t="s">
        <v>734</v>
      </c>
      <c r="E2335" s="1">
        <v>0.32916666666666666</v>
      </c>
      <c r="F2335" s="1">
        <v>0.46805555555555556</v>
      </c>
      <c r="G2335" s="9">
        <f t="shared" si="232"/>
        <v>45628</v>
      </c>
      <c r="H2335" s="11">
        <f t="shared" si="233"/>
        <v>3.3</v>
      </c>
      <c r="I2335" s="10">
        <f t="shared" si="234"/>
        <v>3.3</v>
      </c>
      <c r="J2335" s="10">
        <f t="shared" si="235"/>
        <v>7.2</v>
      </c>
      <c r="K2335" s="10">
        <f t="shared" si="237"/>
        <v>24.5</v>
      </c>
      <c r="L2335" s="10">
        <f t="shared" si="236"/>
        <v>24.5</v>
      </c>
    </row>
    <row r="2336" spans="1:12" x14ac:dyDescent="0.25">
      <c r="A2336" s="7">
        <v>45631</v>
      </c>
      <c r="B2336" s="2" t="s">
        <v>464</v>
      </c>
      <c r="C2336" s="6">
        <v>2431</v>
      </c>
      <c r="D2336" s="5" t="s">
        <v>726</v>
      </c>
      <c r="E2336" s="1">
        <v>0.47916666666666669</v>
      </c>
      <c r="F2336" s="1">
        <v>0.52083333333333337</v>
      </c>
      <c r="G2336" s="9">
        <f t="shared" si="232"/>
        <v>45628</v>
      </c>
      <c r="H2336" s="11">
        <f t="shared" si="233"/>
        <v>1</v>
      </c>
      <c r="I2336" s="10">
        <f t="shared" si="234"/>
        <v>4.3</v>
      </c>
      <c r="J2336" s="10">
        <f t="shared" si="235"/>
        <v>7.2</v>
      </c>
      <c r="K2336" s="10">
        <f t="shared" si="237"/>
        <v>25.5</v>
      </c>
      <c r="L2336" s="10">
        <f t="shared" si="236"/>
        <v>25.5</v>
      </c>
    </row>
    <row r="2337" spans="1:12" x14ac:dyDescent="0.25">
      <c r="A2337" s="7">
        <v>45631</v>
      </c>
      <c r="B2337" t="s">
        <v>6</v>
      </c>
      <c r="C2337" s="6" t="s">
        <v>416</v>
      </c>
      <c r="D2337" s="5" t="s">
        <v>103</v>
      </c>
      <c r="E2337" s="1">
        <v>0.52083333333333337</v>
      </c>
      <c r="F2337" s="1">
        <v>0.56527777777777777</v>
      </c>
      <c r="G2337" s="9">
        <f t="shared" si="232"/>
        <v>45628</v>
      </c>
      <c r="H2337" s="11">
        <f t="shared" si="233"/>
        <v>1.1000000000000001</v>
      </c>
      <c r="I2337" s="10">
        <f t="shared" si="234"/>
        <v>5.4</v>
      </c>
      <c r="J2337" s="10">
        <f t="shared" si="235"/>
        <v>7.2</v>
      </c>
      <c r="K2337" s="10">
        <f t="shared" si="237"/>
        <v>26.6</v>
      </c>
      <c r="L2337" s="10">
        <f t="shared" si="236"/>
        <v>26.6</v>
      </c>
    </row>
    <row r="2338" spans="1:12" x14ac:dyDescent="0.25">
      <c r="A2338" s="7">
        <v>45631</v>
      </c>
      <c r="B2338" t="s">
        <v>598</v>
      </c>
      <c r="C2338" s="6">
        <v>6004</v>
      </c>
      <c r="D2338" s="5" t="s">
        <v>734</v>
      </c>
      <c r="E2338" s="1">
        <v>0.56527777777777777</v>
      </c>
      <c r="F2338" s="1">
        <v>0.62083333333333335</v>
      </c>
      <c r="G2338" s="9">
        <f t="shared" si="232"/>
        <v>45628</v>
      </c>
      <c r="H2338" s="11">
        <f t="shared" si="233"/>
        <v>1.3</v>
      </c>
      <c r="I2338" s="10">
        <f t="shared" si="234"/>
        <v>6.7</v>
      </c>
      <c r="J2338" s="10">
        <f t="shared" si="235"/>
        <v>7.2</v>
      </c>
      <c r="K2338" s="10">
        <f t="shared" si="237"/>
        <v>27.900000000000002</v>
      </c>
      <c r="L2338" s="10">
        <f t="shared" si="236"/>
        <v>27.900000000000002</v>
      </c>
    </row>
    <row r="2339" spans="1:12" x14ac:dyDescent="0.25">
      <c r="A2339" s="7">
        <v>45632</v>
      </c>
      <c r="B2339" t="s">
        <v>598</v>
      </c>
      <c r="C2339" s="6">
        <v>6004</v>
      </c>
      <c r="D2339" s="5" t="s">
        <v>734</v>
      </c>
      <c r="E2339" s="1">
        <v>0.33888888888888891</v>
      </c>
      <c r="F2339" s="1">
        <v>0.47916666666666669</v>
      </c>
      <c r="G2339" s="9">
        <f t="shared" si="232"/>
        <v>45628</v>
      </c>
      <c r="H2339" s="11">
        <f t="shared" si="233"/>
        <v>3.4</v>
      </c>
      <c r="I2339" s="10">
        <f t="shared" si="234"/>
        <v>3.4</v>
      </c>
      <c r="J2339" s="10">
        <f t="shared" si="235"/>
        <v>7.2</v>
      </c>
      <c r="K2339" s="10">
        <f t="shared" si="237"/>
        <v>31.299999999999997</v>
      </c>
      <c r="L2339" s="10">
        <f t="shared" si="236"/>
        <v>31.299999999999997</v>
      </c>
    </row>
    <row r="2340" spans="1:12" x14ac:dyDescent="0.25">
      <c r="A2340" s="7">
        <v>45632</v>
      </c>
      <c r="B2340" t="s">
        <v>598</v>
      </c>
      <c r="C2340" s="6">
        <v>6004</v>
      </c>
      <c r="D2340" s="5" t="s">
        <v>739</v>
      </c>
      <c r="E2340" s="1">
        <v>0.47916666666666669</v>
      </c>
      <c r="F2340" s="1">
        <v>0.49930555555555556</v>
      </c>
      <c r="G2340" s="9">
        <f t="shared" si="232"/>
        <v>45628</v>
      </c>
      <c r="H2340" s="11">
        <f t="shared" si="233"/>
        <v>0.5</v>
      </c>
      <c r="I2340" s="10">
        <f t="shared" si="234"/>
        <v>3.9</v>
      </c>
      <c r="J2340" s="10">
        <f t="shared" si="235"/>
        <v>7.2</v>
      </c>
      <c r="K2340" s="10">
        <f t="shared" si="237"/>
        <v>31.8</v>
      </c>
      <c r="L2340" s="10">
        <f t="shared" si="236"/>
        <v>31.8</v>
      </c>
    </row>
    <row r="2341" spans="1:12" x14ac:dyDescent="0.25">
      <c r="A2341" s="7">
        <v>45632</v>
      </c>
      <c r="B2341" t="s">
        <v>598</v>
      </c>
      <c r="C2341" s="6">
        <v>6004</v>
      </c>
      <c r="D2341" s="5" t="s">
        <v>734</v>
      </c>
      <c r="E2341" s="1">
        <v>0.49930555555555556</v>
      </c>
      <c r="F2341" s="1">
        <v>0.62152777777777779</v>
      </c>
      <c r="G2341" s="9">
        <f t="shared" si="232"/>
        <v>45628</v>
      </c>
      <c r="H2341" s="11">
        <f t="shared" si="233"/>
        <v>2.9</v>
      </c>
      <c r="I2341" s="10">
        <f t="shared" si="234"/>
        <v>6.8</v>
      </c>
      <c r="J2341" s="10">
        <f t="shared" si="235"/>
        <v>7.2</v>
      </c>
      <c r="K2341" s="10">
        <f t="shared" si="237"/>
        <v>34.700000000000003</v>
      </c>
      <c r="L2341" s="10">
        <f t="shared" si="236"/>
        <v>34.700000000000003</v>
      </c>
    </row>
    <row r="2342" spans="1:12" x14ac:dyDescent="0.25">
      <c r="A2342" s="7">
        <v>45635</v>
      </c>
      <c r="B2342" t="s">
        <v>6</v>
      </c>
      <c r="C2342" s="6" t="s">
        <v>416</v>
      </c>
      <c r="D2342" s="5" t="s">
        <v>104</v>
      </c>
      <c r="E2342" s="1">
        <v>0.35416666666666669</v>
      </c>
      <c r="F2342" s="1">
        <v>0.41666666666666669</v>
      </c>
      <c r="G2342" s="9">
        <f t="shared" si="232"/>
        <v>45635</v>
      </c>
      <c r="H2342" s="11">
        <f t="shared" si="233"/>
        <v>1.5</v>
      </c>
      <c r="I2342" s="10">
        <f t="shared" si="234"/>
        <v>1.5</v>
      </c>
      <c r="J2342" s="10">
        <f t="shared" si="235"/>
        <v>7.2</v>
      </c>
      <c r="K2342" s="10">
        <f t="shared" si="237"/>
        <v>1.5</v>
      </c>
      <c r="L2342" s="10">
        <f t="shared" si="236"/>
        <v>36.200000000000003</v>
      </c>
    </row>
    <row r="2343" spans="1:12" x14ac:dyDescent="0.25">
      <c r="A2343" s="7">
        <v>45635</v>
      </c>
      <c r="B2343" s="2" t="s">
        <v>464</v>
      </c>
      <c r="C2343" s="6">
        <v>2431</v>
      </c>
      <c r="D2343" s="5" t="s">
        <v>726</v>
      </c>
      <c r="E2343" s="1">
        <v>0.41666666666666669</v>
      </c>
      <c r="F2343" s="1">
        <v>0.46666666666666667</v>
      </c>
      <c r="G2343" s="9">
        <f t="shared" si="232"/>
        <v>45635</v>
      </c>
      <c r="H2343" s="11">
        <f t="shared" si="233"/>
        <v>1.2</v>
      </c>
      <c r="I2343" s="10">
        <f t="shared" si="234"/>
        <v>2.7</v>
      </c>
      <c r="J2343" s="10">
        <f t="shared" si="235"/>
        <v>7.2</v>
      </c>
      <c r="K2343" s="10">
        <f t="shared" si="237"/>
        <v>2.7</v>
      </c>
      <c r="L2343" s="10">
        <f t="shared" si="236"/>
        <v>37.400000000000006</v>
      </c>
    </row>
    <row r="2344" spans="1:12" x14ac:dyDescent="0.25">
      <c r="A2344" s="7">
        <v>45635</v>
      </c>
      <c r="B2344" t="s">
        <v>598</v>
      </c>
      <c r="C2344" s="6">
        <v>6004</v>
      </c>
      <c r="D2344" s="5" t="s">
        <v>740</v>
      </c>
      <c r="E2344" s="1">
        <v>0.48541666666666666</v>
      </c>
      <c r="F2344" s="1">
        <v>0.62291666666666667</v>
      </c>
      <c r="G2344" s="9">
        <f t="shared" si="232"/>
        <v>45635</v>
      </c>
      <c r="H2344" s="11">
        <f t="shared" si="233"/>
        <v>3.3</v>
      </c>
      <c r="I2344" s="10">
        <f t="shared" si="234"/>
        <v>6</v>
      </c>
      <c r="J2344" s="10">
        <f t="shared" si="235"/>
        <v>7.2</v>
      </c>
      <c r="K2344" s="10">
        <f t="shared" si="237"/>
        <v>6</v>
      </c>
      <c r="L2344" s="10">
        <f t="shared" si="236"/>
        <v>40.699999999999996</v>
      </c>
    </row>
    <row r="2345" spans="1:12" x14ac:dyDescent="0.25">
      <c r="A2345" s="7">
        <v>45635</v>
      </c>
      <c r="B2345" s="2" t="s">
        <v>588</v>
      </c>
      <c r="C2345" s="6">
        <v>2473</v>
      </c>
      <c r="D2345" s="5" t="s">
        <v>44</v>
      </c>
      <c r="E2345" s="1">
        <v>0.62291666666666667</v>
      </c>
      <c r="F2345" s="1">
        <v>0.67291666666666672</v>
      </c>
      <c r="G2345" s="9">
        <f t="shared" si="232"/>
        <v>45635</v>
      </c>
      <c r="H2345" s="11">
        <f t="shared" si="233"/>
        <v>1.2</v>
      </c>
      <c r="I2345" s="10">
        <f t="shared" si="234"/>
        <v>7.2</v>
      </c>
      <c r="J2345" s="10">
        <f t="shared" si="235"/>
        <v>7.2</v>
      </c>
      <c r="K2345" s="10">
        <f t="shared" si="237"/>
        <v>7.2</v>
      </c>
      <c r="L2345" s="10">
        <f t="shared" si="236"/>
        <v>41.900000000000006</v>
      </c>
    </row>
    <row r="2346" spans="1:12" x14ac:dyDescent="0.25">
      <c r="A2346" s="7">
        <v>45636</v>
      </c>
      <c r="B2346" t="s">
        <v>598</v>
      </c>
      <c r="C2346" s="6">
        <v>6004</v>
      </c>
      <c r="D2346" s="5" t="s">
        <v>740</v>
      </c>
      <c r="E2346" s="1">
        <v>0.34375</v>
      </c>
      <c r="F2346" s="1">
        <v>0.4375</v>
      </c>
      <c r="G2346" s="9">
        <f t="shared" si="232"/>
        <v>45635</v>
      </c>
      <c r="H2346" s="11">
        <f t="shared" si="233"/>
        <v>2.2999999999999998</v>
      </c>
      <c r="I2346" s="10">
        <f t="shared" si="234"/>
        <v>2.2999999999999998</v>
      </c>
      <c r="J2346" s="10">
        <f t="shared" si="235"/>
        <v>7.2</v>
      </c>
      <c r="K2346" s="10">
        <f t="shared" si="237"/>
        <v>9.5</v>
      </c>
      <c r="L2346" s="10">
        <f t="shared" si="236"/>
        <v>44.199999999999996</v>
      </c>
    </row>
    <row r="2347" spans="1:12" x14ac:dyDescent="0.25">
      <c r="A2347" s="7">
        <v>45636</v>
      </c>
      <c r="B2347" s="2" t="s">
        <v>464</v>
      </c>
      <c r="C2347" s="6">
        <v>2431</v>
      </c>
      <c r="D2347" s="5" t="s">
        <v>726</v>
      </c>
      <c r="E2347" s="1">
        <v>0.4375</v>
      </c>
      <c r="F2347" s="1">
        <v>0.45833333333333331</v>
      </c>
      <c r="G2347" s="9">
        <f t="shared" si="232"/>
        <v>45635</v>
      </c>
      <c r="H2347" s="11">
        <f t="shared" si="233"/>
        <v>0.5</v>
      </c>
      <c r="I2347" s="10">
        <f t="shared" si="234"/>
        <v>2.8</v>
      </c>
      <c r="J2347" s="10">
        <f t="shared" si="235"/>
        <v>7.2</v>
      </c>
      <c r="K2347" s="10">
        <f t="shared" si="237"/>
        <v>10</v>
      </c>
      <c r="L2347" s="10">
        <f t="shared" si="236"/>
        <v>44.7</v>
      </c>
    </row>
    <row r="2348" spans="1:12" x14ac:dyDescent="0.25">
      <c r="A2348" s="7">
        <v>45636</v>
      </c>
      <c r="B2348" t="s">
        <v>598</v>
      </c>
      <c r="C2348" s="6">
        <v>6004</v>
      </c>
      <c r="D2348" s="5" t="s">
        <v>740</v>
      </c>
      <c r="E2348" s="1">
        <v>0.45833333333333331</v>
      </c>
      <c r="F2348" s="1">
        <v>0.63541666666666663</v>
      </c>
      <c r="G2348" s="9">
        <f t="shared" si="232"/>
        <v>45635</v>
      </c>
      <c r="H2348" s="11">
        <f t="shared" si="233"/>
        <v>4.3</v>
      </c>
      <c r="I2348" s="10">
        <f t="shared" si="234"/>
        <v>7.1</v>
      </c>
      <c r="J2348" s="10">
        <f t="shared" si="235"/>
        <v>7.2</v>
      </c>
      <c r="K2348" s="10">
        <f t="shared" si="237"/>
        <v>14.3</v>
      </c>
      <c r="L2348" s="10">
        <f t="shared" si="236"/>
        <v>49</v>
      </c>
    </row>
    <row r="2349" spans="1:12" x14ac:dyDescent="0.25">
      <c r="A2349" s="7">
        <v>45637</v>
      </c>
      <c r="B2349" t="s">
        <v>598</v>
      </c>
      <c r="C2349" s="6">
        <v>6004</v>
      </c>
      <c r="D2349" s="5" t="s">
        <v>740</v>
      </c>
      <c r="E2349" s="1">
        <v>0.31319444444444444</v>
      </c>
      <c r="F2349" s="1">
        <v>0.41666666666666669</v>
      </c>
      <c r="G2349" s="9">
        <f t="shared" ref="G2349:G2399" si="238">IF(E2349&gt;0,INT((A2349-2)/7)*7+2,"")</f>
        <v>45635</v>
      </c>
      <c r="H2349" s="11">
        <f t="shared" ref="H2349:H2399" si="239">IF(E2349&gt;0,ROUND(24*(IF(F2349&gt;0,F2349,NowTime)-E2349),1),"")</f>
        <v>2.5</v>
      </c>
      <c r="I2349" s="10">
        <f t="shared" ref="I2349:I2399" si="240">IF(H2349="",H2349,H2349+IF(A2349=A2348,_xlfn.NUMBERVALUE(I2348),0))</f>
        <v>2.5</v>
      </c>
      <c r="J2349" s="10">
        <f t="shared" ref="J2349:J2399" si="241">IF(H2349="",H2349,7.2)</f>
        <v>7.2</v>
      </c>
      <c r="K2349" s="10">
        <f t="shared" si="237"/>
        <v>16.8</v>
      </c>
      <c r="L2349" s="10">
        <f t="shared" ref="L2349:L2399" si="242">IF(H2349="",H2349,H2349+IF(MONTH(A2349)=MONTH(A2348),_xlfn.NUMBERVALUE(L2348),0))</f>
        <v>51.5</v>
      </c>
    </row>
    <row r="2350" spans="1:12" x14ac:dyDescent="0.25">
      <c r="A2350" s="7">
        <v>45637</v>
      </c>
      <c r="B2350" s="2" t="s">
        <v>464</v>
      </c>
      <c r="C2350" s="6">
        <v>2431</v>
      </c>
      <c r="D2350" s="5" t="s">
        <v>726</v>
      </c>
      <c r="E2350" s="1">
        <v>0.41666666666666669</v>
      </c>
      <c r="F2350" s="1">
        <v>0.4513888888888889</v>
      </c>
      <c r="G2350" s="9">
        <f t="shared" si="238"/>
        <v>45635</v>
      </c>
      <c r="H2350" s="11">
        <f t="shared" si="239"/>
        <v>0.8</v>
      </c>
      <c r="I2350" s="10">
        <f t="shared" si="240"/>
        <v>3.3</v>
      </c>
      <c r="J2350" s="10">
        <f t="shared" si="241"/>
        <v>7.2</v>
      </c>
      <c r="K2350" s="10">
        <f t="shared" si="237"/>
        <v>17.600000000000001</v>
      </c>
      <c r="L2350" s="10">
        <f t="shared" si="242"/>
        <v>52.3</v>
      </c>
    </row>
    <row r="2351" spans="1:12" x14ac:dyDescent="0.25">
      <c r="A2351" s="7">
        <v>45637</v>
      </c>
      <c r="B2351" t="s">
        <v>598</v>
      </c>
      <c r="C2351" s="6">
        <v>6004</v>
      </c>
      <c r="D2351" s="5" t="s">
        <v>740</v>
      </c>
      <c r="E2351" s="1">
        <v>0.4513888888888889</v>
      </c>
      <c r="F2351" s="1">
        <v>0.47083333333333333</v>
      </c>
      <c r="G2351" s="9">
        <f t="shared" si="238"/>
        <v>45635</v>
      </c>
      <c r="H2351" s="11">
        <f t="shared" si="239"/>
        <v>0.5</v>
      </c>
      <c r="I2351" s="10">
        <f t="shared" si="240"/>
        <v>3.8</v>
      </c>
      <c r="J2351" s="10">
        <f t="shared" si="241"/>
        <v>7.2</v>
      </c>
      <c r="K2351" s="10">
        <f t="shared" si="237"/>
        <v>18.100000000000001</v>
      </c>
      <c r="L2351" s="10">
        <f t="shared" si="242"/>
        <v>52.8</v>
      </c>
    </row>
    <row r="2352" spans="1:12" x14ac:dyDescent="0.25">
      <c r="A2352" s="7">
        <v>45637</v>
      </c>
      <c r="B2352" t="s">
        <v>598</v>
      </c>
      <c r="C2352" s="6">
        <v>6004</v>
      </c>
      <c r="D2352" s="5" t="s">
        <v>740</v>
      </c>
      <c r="E2352" s="1">
        <v>0.49236111111111114</v>
      </c>
      <c r="F2352" s="1">
        <v>0.58333333333333337</v>
      </c>
      <c r="G2352" s="9">
        <f t="shared" si="238"/>
        <v>45635</v>
      </c>
      <c r="H2352" s="11">
        <f t="shared" si="239"/>
        <v>2.2000000000000002</v>
      </c>
      <c r="I2352" s="10">
        <f t="shared" si="240"/>
        <v>6</v>
      </c>
      <c r="J2352" s="10">
        <f t="shared" si="241"/>
        <v>7.2</v>
      </c>
      <c r="K2352" s="10">
        <f t="shared" si="237"/>
        <v>20.3</v>
      </c>
      <c r="L2352" s="10">
        <f t="shared" si="242"/>
        <v>55</v>
      </c>
    </row>
    <row r="2353" spans="1:12" x14ac:dyDescent="0.25">
      <c r="A2353" s="7">
        <v>45637</v>
      </c>
      <c r="B2353" t="s">
        <v>6</v>
      </c>
      <c r="C2353" s="6" t="s">
        <v>416</v>
      </c>
      <c r="D2353" s="5" t="s">
        <v>58</v>
      </c>
      <c r="E2353" s="1">
        <v>0.58333333333333337</v>
      </c>
      <c r="F2353" s="1">
        <v>0.62222222222222223</v>
      </c>
      <c r="G2353" s="9">
        <f t="shared" si="238"/>
        <v>45635</v>
      </c>
      <c r="H2353" s="11">
        <f t="shared" si="239"/>
        <v>0.9</v>
      </c>
      <c r="I2353" s="10">
        <f t="shared" si="240"/>
        <v>6.9</v>
      </c>
      <c r="J2353" s="10">
        <f t="shared" si="241"/>
        <v>7.2</v>
      </c>
      <c r="K2353" s="10">
        <f t="shared" si="237"/>
        <v>21.2</v>
      </c>
      <c r="L2353" s="10">
        <f t="shared" si="242"/>
        <v>55.9</v>
      </c>
    </row>
    <row r="2354" spans="1:12" x14ac:dyDescent="0.25">
      <c r="A2354" s="7">
        <v>45638</v>
      </c>
      <c r="B2354" s="2" t="s">
        <v>838</v>
      </c>
      <c r="C2354" s="6">
        <v>6185</v>
      </c>
      <c r="D2354" s="5" t="s">
        <v>741</v>
      </c>
      <c r="E2354" s="1">
        <v>0.33124999999999999</v>
      </c>
      <c r="F2354" s="1">
        <v>0.50972222222222219</v>
      </c>
      <c r="G2354" s="9">
        <f t="shared" si="238"/>
        <v>45635</v>
      </c>
      <c r="H2354" s="11">
        <f t="shared" si="239"/>
        <v>4.3</v>
      </c>
      <c r="I2354" s="10">
        <f t="shared" si="240"/>
        <v>4.3</v>
      </c>
      <c r="J2354" s="10">
        <f t="shared" si="241"/>
        <v>7.2</v>
      </c>
      <c r="K2354" s="10">
        <f t="shared" si="237"/>
        <v>25.5</v>
      </c>
      <c r="L2354" s="10">
        <f t="shared" si="242"/>
        <v>60.199999999999996</v>
      </c>
    </row>
    <row r="2355" spans="1:12" x14ac:dyDescent="0.25">
      <c r="A2355" s="7">
        <v>45638</v>
      </c>
      <c r="B2355" t="s">
        <v>6</v>
      </c>
      <c r="C2355" s="6" t="s">
        <v>416</v>
      </c>
      <c r="D2355" s="5" t="s">
        <v>447</v>
      </c>
      <c r="E2355" s="1">
        <v>0.52777777777777779</v>
      </c>
      <c r="F2355" s="1">
        <v>0.60069444444444442</v>
      </c>
      <c r="G2355" s="9">
        <f t="shared" si="238"/>
        <v>45635</v>
      </c>
      <c r="H2355" s="11">
        <f t="shared" si="239"/>
        <v>1.8</v>
      </c>
      <c r="I2355" s="10">
        <f t="shared" si="240"/>
        <v>6.1</v>
      </c>
      <c r="J2355" s="10">
        <f t="shared" si="241"/>
        <v>7.2</v>
      </c>
      <c r="K2355" s="10">
        <f t="shared" si="237"/>
        <v>27.3</v>
      </c>
      <c r="L2355" s="10">
        <f t="shared" si="242"/>
        <v>62</v>
      </c>
    </row>
    <row r="2356" spans="1:12" x14ac:dyDescent="0.25">
      <c r="A2356" s="7">
        <v>45638</v>
      </c>
      <c r="B2356" t="s">
        <v>598</v>
      </c>
      <c r="C2356" s="6">
        <v>6004</v>
      </c>
      <c r="D2356" s="5" t="s">
        <v>740</v>
      </c>
      <c r="E2356" s="1">
        <v>0.60069444444444442</v>
      </c>
      <c r="F2356" s="1">
        <v>0.62152777777777779</v>
      </c>
      <c r="G2356" s="9">
        <f t="shared" si="238"/>
        <v>45635</v>
      </c>
      <c r="H2356" s="11">
        <f t="shared" si="239"/>
        <v>0.5</v>
      </c>
      <c r="I2356" s="10">
        <f t="shared" si="240"/>
        <v>6.6</v>
      </c>
      <c r="J2356" s="10">
        <f t="shared" si="241"/>
        <v>7.2</v>
      </c>
      <c r="K2356" s="10">
        <f t="shared" si="237"/>
        <v>27.8</v>
      </c>
      <c r="L2356" s="10">
        <f t="shared" si="242"/>
        <v>62.5</v>
      </c>
    </row>
    <row r="2357" spans="1:12" x14ac:dyDescent="0.25">
      <c r="A2357" s="7">
        <v>45639</v>
      </c>
      <c r="B2357" t="s">
        <v>598</v>
      </c>
      <c r="C2357" s="6">
        <v>6004</v>
      </c>
      <c r="D2357" s="5" t="s">
        <v>740</v>
      </c>
      <c r="E2357" s="1">
        <v>0.34513888888888888</v>
      </c>
      <c r="F2357" s="1">
        <v>0.53263888888888888</v>
      </c>
      <c r="G2357" s="9">
        <f t="shared" si="238"/>
        <v>45635</v>
      </c>
      <c r="H2357" s="11">
        <f t="shared" si="239"/>
        <v>4.5</v>
      </c>
      <c r="I2357" s="10">
        <f t="shared" si="240"/>
        <v>4.5</v>
      </c>
      <c r="J2357" s="10">
        <f t="shared" si="241"/>
        <v>7.2</v>
      </c>
      <c r="K2357" s="10">
        <f t="shared" si="237"/>
        <v>32.299999999999997</v>
      </c>
      <c r="L2357" s="10">
        <f t="shared" si="242"/>
        <v>67</v>
      </c>
    </row>
    <row r="2358" spans="1:12" x14ac:dyDescent="0.25">
      <c r="A2358" s="7">
        <v>45639</v>
      </c>
      <c r="B2358" s="2" t="s">
        <v>838</v>
      </c>
      <c r="C2358" s="6">
        <v>6185</v>
      </c>
      <c r="D2358" s="5" t="s">
        <v>351</v>
      </c>
      <c r="E2358" s="1">
        <v>0.53263888888888888</v>
      </c>
      <c r="F2358" s="1">
        <v>0.59513888888888888</v>
      </c>
      <c r="G2358" s="9">
        <f t="shared" si="238"/>
        <v>45635</v>
      </c>
      <c r="H2358" s="11">
        <f t="shared" si="239"/>
        <v>1.5</v>
      </c>
      <c r="I2358" s="10">
        <f t="shared" si="240"/>
        <v>6</v>
      </c>
      <c r="J2358" s="10">
        <f t="shared" si="241"/>
        <v>7.2</v>
      </c>
      <c r="K2358" s="10">
        <f t="shared" si="237"/>
        <v>33.799999999999997</v>
      </c>
      <c r="L2358" s="10">
        <f t="shared" si="242"/>
        <v>68.5</v>
      </c>
    </row>
    <row r="2359" spans="1:12" x14ac:dyDescent="0.25">
      <c r="A2359" s="7">
        <v>45639</v>
      </c>
      <c r="B2359" t="s">
        <v>598</v>
      </c>
      <c r="C2359" s="6">
        <v>6004</v>
      </c>
      <c r="D2359" s="5" t="s">
        <v>740</v>
      </c>
      <c r="E2359" s="1">
        <v>0.59513888888888888</v>
      </c>
      <c r="F2359" s="1">
        <v>0.6430555555555556</v>
      </c>
      <c r="G2359" s="9">
        <f t="shared" si="238"/>
        <v>45635</v>
      </c>
      <c r="H2359" s="11">
        <f t="shared" si="239"/>
        <v>1.2</v>
      </c>
      <c r="I2359" s="10">
        <f t="shared" si="240"/>
        <v>7.2</v>
      </c>
      <c r="J2359" s="10">
        <f t="shared" si="241"/>
        <v>7.2</v>
      </c>
      <c r="K2359" s="10">
        <f t="shared" si="237"/>
        <v>35</v>
      </c>
      <c r="L2359" s="10">
        <f t="shared" si="242"/>
        <v>69.7</v>
      </c>
    </row>
    <row r="2360" spans="1:12" x14ac:dyDescent="0.25">
      <c r="A2360" s="7">
        <v>45642</v>
      </c>
      <c r="B2360" t="s">
        <v>598</v>
      </c>
      <c r="C2360" s="6">
        <v>6004</v>
      </c>
      <c r="D2360" s="5" t="s">
        <v>740</v>
      </c>
      <c r="E2360" s="1">
        <v>0.32013888888888886</v>
      </c>
      <c r="F2360" s="1">
        <v>0.4826388888888889</v>
      </c>
      <c r="G2360" s="9">
        <f t="shared" si="238"/>
        <v>45642</v>
      </c>
      <c r="H2360" s="11">
        <f t="shared" si="239"/>
        <v>3.9</v>
      </c>
      <c r="I2360" s="10">
        <f t="shared" si="240"/>
        <v>3.9</v>
      </c>
      <c r="J2360" s="10">
        <f t="shared" si="241"/>
        <v>7.2</v>
      </c>
      <c r="K2360" s="10">
        <f t="shared" si="237"/>
        <v>3.9</v>
      </c>
      <c r="L2360" s="10">
        <f t="shared" si="242"/>
        <v>73.600000000000009</v>
      </c>
    </row>
    <row r="2361" spans="1:12" x14ac:dyDescent="0.25">
      <c r="A2361" s="7">
        <v>45642</v>
      </c>
      <c r="B2361" t="s">
        <v>598</v>
      </c>
      <c r="C2361" s="6">
        <v>6004</v>
      </c>
      <c r="D2361" s="5" t="s">
        <v>740</v>
      </c>
      <c r="E2361" s="1">
        <v>0.5131944444444444</v>
      </c>
      <c r="F2361" s="1">
        <v>0.60416666666666663</v>
      </c>
      <c r="G2361" s="9">
        <f t="shared" si="238"/>
        <v>45642</v>
      </c>
      <c r="H2361" s="11">
        <f t="shared" si="239"/>
        <v>2.2000000000000002</v>
      </c>
      <c r="I2361" s="10">
        <f t="shared" si="240"/>
        <v>6.1</v>
      </c>
      <c r="J2361" s="10">
        <f t="shared" si="241"/>
        <v>7.2</v>
      </c>
      <c r="K2361" s="10">
        <f t="shared" si="237"/>
        <v>6.1</v>
      </c>
      <c r="L2361" s="10">
        <f t="shared" si="242"/>
        <v>75.8</v>
      </c>
    </row>
    <row r="2362" spans="1:12" x14ac:dyDescent="0.25">
      <c r="A2362" s="7">
        <v>45642</v>
      </c>
      <c r="B2362" s="2" t="s">
        <v>588</v>
      </c>
      <c r="C2362" s="6">
        <v>2473</v>
      </c>
      <c r="D2362" s="5" t="s">
        <v>44</v>
      </c>
      <c r="E2362" s="1">
        <v>0.60416666666666663</v>
      </c>
      <c r="F2362" s="1">
        <v>0.65</v>
      </c>
      <c r="G2362" s="9">
        <f t="shared" si="238"/>
        <v>45642</v>
      </c>
      <c r="H2362" s="11">
        <f t="shared" si="239"/>
        <v>1.1000000000000001</v>
      </c>
      <c r="I2362" s="10">
        <f t="shared" si="240"/>
        <v>7.1999999999999993</v>
      </c>
      <c r="J2362" s="10">
        <f t="shared" si="241"/>
        <v>7.2</v>
      </c>
      <c r="K2362" s="10">
        <f t="shared" si="237"/>
        <v>7.1999999999999993</v>
      </c>
      <c r="L2362" s="10">
        <f t="shared" si="242"/>
        <v>76.899999999999991</v>
      </c>
    </row>
    <row r="2363" spans="1:12" x14ac:dyDescent="0.25">
      <c r="A2363" s="7">
        <v>45642</v>
      </c>
      <c r="B2363" t="s">
        <v>598</v>
      </c>
      <c r="C2363" s="6">
        <v>6004</v>
      </c>
      <c r="D2363" s="5" t="s">
        <v>740</v>
      </c>
      <c r="E2363" s="1">
        <v>0.65</v>
      </c>
      <c r="F2363" s="1">
        <v>0.65902777777777777</v>
      </c>
      <c r="G2363" s="9">
        <f t="shared" si="238"/>
        <v>45642</v>
      </c>
      <c r="H2363" s="11">
        <f t="shared" si="239"/>
        <v>0.2</v>
      </c>
      <c r="I2363" s="10">
        <f t="shared" si="240"/>
        <v>7.4</v>
      </c>
      <c r="J2363" s="10">
        <f t="shared" si="241"/>
        <v>7.2</v>
      </c>
      <c r="K2363" s="10">
        <f t="shared" si="237"/>
        <v>7.4</v>
      </c>
      <c r="L2363" s="10">
        <f t="shared" si="242"/>
        <v>77.100000000000009</v>
      </c>
    </row>
    <row r="2364" spans="1:12" x14ac:dyDescent="0.25">
      <c r="A2364" s="7">
        <v>45643</v>
      </c>
      <c r="B2364" t="s">
        <v>598</v>
      </c>
      <c r="C2364" s="6">
        <v>6004</v>
      </c>
      <c r="D2364" s="5" t="s">
        <v>740</v>
      </c>
      <c r="E2364" s="1">
        <v>0.33055555555555555</v>
      </c>
      <c r="F2364" s="1">
        <v>0.47222222222222221</v>
      </c>
      <c r="G2364" s="9">
        <f t="shared" si="238"/>
        <v>45642</v>
      </c>
      <c r="H2364" s="11">
        <f t="shared" si="239"/>
        <v>3.4</v>
      </c>
      <c r="I2364" s="10">
        <f t="shared" si="240"/>
        <v>3.4</v>
      </c>
      <c r="J2364" s="10">
        <f t="shared" si="241"/>
        <v>7.2</v>
      </c>
      <c r="K2364" s="10">
        <f t="shared" si="237"/>
        <v>10.8</v>
      </c>
      <c r="L2364" s="10">
        <f t="shared" si="242"/>
        <v>80.5</v>
      </c>
    </row>
    <row r="2365" spans="1:12" x14ac:dyDescent="0.25">
      <c r="A2365" s="7">
        <v>45643</v>
      </c>
      <c r="B2365" t="s">
        <v>598</v>
      </c>
      <c r="C2365" s="6">
        <v>6004</v>
      </c>
      <c r="D2365" s="5" t="s">
        <v>740</v>
      </c>
      <c r="E2365" s="1">
        <v>0.49305555555555558</v>
      </c>
      <c r="F2365" s="1">
        <v>0.58402777777777781</v>
      </c>
      <c r="G2365" s="9">
        <f t="shared" si="238"/>
        <v>45642</v>
      </c>
      <c r="H2365" s="11">
        <f t="shared" si="239"/>
        <v>2.2000000000000002</v>
      </c>
      <c r="I2365" s="10">
        <f t="shared" si="240"/>
        <v>5.6</v>
      </c>
      <c r="J2365" s="10">
        <f t="shared" si="241"/>
        <v>7.2</v>
      </c>
      <c r="K2365" s="10">
        <f t="shared" si="237"/>
        <v>13</v>
      </c>
      <c r="L2365" s="10">
        <f t="shared" si="242"/>
        <v>82.7</v>
      </c>
    </row>
    <row r="2366" spans="1:12" x14ac:dyDescent="0.25">
      <c r="A2366" s="7">
        <v>45643</v>
      </c>
      <c r="B2366" t="s">
        <v>6</v>
      </c>
      <c r="C2366" s="6" t="s">
        <v>416</v>
      </c>
      <c r="D2366" s="5" t="s">
        <v>71</v>
      </c>
      <c r="E2366" s="1">
        <v>0.58402777777777781</v>
      </c>
      <c r="F2366" s="1">
        <v>0.62916666666666665</v>
      </c>
      <c r="G2366" s="9">
        <f t="shared" si="238"/>
        <v>45642</v>
      </c>
      <c r="H2366" s="11">
        <f t="shared" si="239"/>
        <v>1.1000000000000001</v>
      </c>
      <c r="I2366" s="10">
        <f t="shared" si="240"/>
        <v>6.6999999999999993</v>
      </c>
      <c r="J2366" s="10">
        <f t="shared" si="241"/>
        <v>7.2</v>
      </c>
      <c r="K2366" s="10">
        <f t="shared" si="237"/>
        <v>14.1</v>
      </c>
      <c r="L2366" s="10">
        <f t="shared" si="242"/>
        <v>83.8</v>
      </c>
    </row>
    <row r="2367" spans="1:12" x14ac:dyDescent="0.25">
      <c r="A2367" s="7">
        <v>45644</v>
      </c>
      <c r="B2367" t="s">
        <v>598</v>
      </c>
      <c r="C2367" s="6">
        <v>6004</v>
      </c>
      <c r="D2367" s="5" t="s">
        <v>740</v>
      </c>
      <c r="E2367" s="1">
        <v>0.3215277777777778</v>
      </c>
      <c r="F2367" s="1">
        <v>0.45833333333333331</v>
      </c>
      <c r="G2367" s="9">
        <f t="shared" si="238"/>
        <v>45642</v>
      </c>
      <c r="H2367" s="11">
        <f t="shared" si="239"/>
        <v>3.3</v>
      </c>
      <c r="I2367" s="10">
        <f t="shared" si="240"/>
        <v>3.3</v>
      </c>
      <c r="J2367" s="10">
        <f t="shared" si="241"/>
        <v>7.2</v>
      </c>
      <c r="K2367" s="10">
        <f t="shared" si="237"/>
        <v>17.399999999999999</v>
      </c>
      <c r="L2367" s="10">
        <f t="shared" si="242"/>
        <v>87.1</v>
      </c>
    </row>
    <row r="2368" spans="1:12" x14ac:dyDescent="0.25">
      <c r="A2368" s="7">
        <v>45644</v>
      </c>
      <c r="B2368" s="2" t="s">
        <v>464</v>
      </c>
      <c r="C2368" s="6">
        <v>2431</v>
      </c>
      <c r="D2368" s="5" t="s">
        <v>726</v>
      </c>
      <c r="E2368" s="1">
        <v>0.45833333333333331</v>
      </c>
      <c r="F2368" s="1">
        <v>0.48333333333333334</v>
      </c>
      <c r="G2368" s="9">
        <f t="shared" si="238"/>
        <v>45642</v>
      </c>
      <c r="H2368" s="11">
        <f t="shared" si="239"/>
        <v>0.6</v>
      </c>
      <c r="I2368" s="10">
        <f t="shared" si="240"/>
        <v>3.9</v>
      </c>
      <c r="J2368" s="10">
        <f t="shared" si="241"/>
        <v>7.2</v>
      </c>
      <c r="K2368" s="10">
        <f t="shared" si="237"/>
        <v>18</v>
      </c>
      <c r="L2368" s="10">
        <f t="shared" si="242"/>
        <v>87.699999999999989</v>
      </c>
    </row>
    <row r="2369" spans="1:12" x14ac:dyDescent="0.25">
      <c r="A2369" s="7">
        <v>45644</v>
      </c>
      <c r="B2369" t="s">
        <v>598</v>
      </c>
      <c r="C2369" s="6">
        <v>6004</v>
      </c>
      <c r="D2369" s="5" t="s">
        <v>740</v>
      </c>
      <c r="E2369" s="1">
        <v>0.48333333333333334</v>
      </c>
      <c r="F2369" s="1">
        <v>0.49791666666666667</v>
      </c>
      <c r="G2369" s="9">
        <f t="shared" si="238"/>
        <v>45642</v>
      </c>
      <c r="H2369" s="11">
        <f t="shared" si="239"/>
        <v>0.4</v>
      </c>
      <c r="I2369" s="10">
        <f t="shared" si="240"/>
        <v>4.3</v>
      </c>
      <c r="J2369" s="10">
        <f t="shared" si="241"/>
        <v>7.2</v>
      </c>
      <c r="K2369" s="10">
        <f t="shared" si="237"/>
        <v>18.399999999999999</v>
      </c>
      <c r="L2369" s="10">
        <f t="shared" si="242"/>
        <v>88.100000000000009</v>
      </c>
    </row>
    <row r="2370" spans="1:12" x14ac:dyDescent="0.25">
      <c r="A2370" s="7">
        <v>45644</v>
      </c>
      <c r="B2370" t="s">
        <v>598</v>
      </c>
      <c r="C2370" s="6">
        <v>6004</v>
      </c>
      <c r="D2370" s="5" t="s">
        <v>740</v>
      </c>
      <c r="E2370" s="1">
        <v>0.5131944444444444</v>
      </c>
      <c r="F2370" s="1">
        <v>0.58402777777777781</v>
      </c>
      <c r="G2370" s="9">
        <f t="shared" si="238"/>
        <v>45642</v>
      </c>
      <c r="H2370" s="11">
        <f t="shared" si="239"/>
        <v>1.7</v>
      </c>
      <c r="I2370" s="10">
        <f t="shared" si="240"/>
        <v>6</v>
      </c>
      <c r="J2370" s="10">
        <f t="shared" si="241"/>
        <v>7.2</v>
      </c>
      <c r="K2370" s="10">
        <f t="shared" si="237"/>
        <v>20.099999999999998</v>
      </c>
      <c r="L2370" s="10">
        <f t="shared" si="242"/>
        <v>89.8</v>
      </c>
    </row>
    <row r="2371" spans="1:12" x14ac:dyDescent="0.25">
      <c r="A2371" s="7">
        <v>45644</v>
      </c>
      <c r="B2371" s="2" t="s">
        <v>838</v>
      </c>
      <c r="C2371" s="6">
        <v>6185</v>
      </c>
      <c r="D2371" s="5" t="s">
        <v>682</v>
      </c>
      <c r="E2371" s="1">
        <v>0.58402777777777781</v>
      </c>
      <c r="F2371" s="1">
        <v>0.625</v>
      </c>
      <c r="G2371" s="9">
        <f t="shared" si="238"/>
        <v>45642</v>
      </c>
      <c r="H2371" s="11">
        <f t="shared" si="239"/>
        <v>1</v>
      </c>
      <c r="I2371" s="10">
        <f t="shared" si="240"/>
        <v>7</v>
      </c>
      <c r="J2371" s="10">
        <f t="shared" si="241"/>
        <v>7.2</v>
      </c>
      <c r="K2371" s="10">
        <f t="shared" ref="K2371:K2399" si="243">IF(H2371="",H2371,H2371+IF(G2371=G2370,_xlfn.NUMBERVALUE(K2370),0))</f>
        <v>21.1</v>
      </c>
      <c r="L2371" s="10">
        <f t="shared" si="242"/>
        <v>90.8</v>
      </c>
    </row>
    <row r="2372" spans="1:12" x14ac:dyDescent="0.25">
      <c r="A2372" s="7">
        <v>45644</v>
      </c>
      <c r="B2372" t="s">
        <v>6</v>
      </c>
      <c r="C2372" s="6" t="s">
        <v>416</v>
      </c>
      <c r="D2372" s="5" t="s">
        <v>351</v>
      </c>
      <c r="E2372" s="1">
        <v>0.625</v>
      </c>
      <c r="F2372" s="1">
        <v>0.67152777777777772</v>
      </c>
      <c r="G2372" s="9">
        <f t="shared" si="238"/>
        <v>45642</v>
      </c>
      <c r="H2372" s="11">
        <f t="shared" si="239"/>
        <v>1.1000000000000001</v>
      </c>
      <c r="I2372" s="10">
        <f t="shared" si="240"/>
        <v>8.1</v>
      </c>
      <c r="J2372" s="10">
        <f t="shared" si="241"/>
        <v>7.2</v>
      </c>
      <c r="K2372" s="10">
        <f t="shared" si="243"/>
        <v>22.200000000000003</v>
      </c>
      <c r="L2372" s="10">
        <f t="shared" si="242"/>
        <v>91.899999999999991</v>
      </c>
    </row>
    <row r="2373" spans="1:12" x14ac:dyDescent="0.25">
      <c r="A2373" s="7">
        <v>45645</v>
      </c>
      <c r="B2373" t="s">
        <v>598</v>
      </c>
      <c r="C2373" s="6">
        <v>6004</v>
      </c>
      <c r="D2373" s="5" t="s">
        <v>587</v>
      </c>
      <c r="E2373" s="1">
        <v>0.33333333333333331</v>
      </c>
      <c r="F2373" s="1">
        <v>0.45902777777777776</v>
      </c>
      <c r="G2373" s="9">
        <f t="shared" si="238"/>
        <v>45642</v>
      </c>
      <c r="H2373" s="11">
        <f t="shared" si="239"/>
        <v>3</v>
      </c>
      <c r="I2373" s="10">
        <f t="shared" si="240"/>
        <v>3</v>
      </c>
      <c r="J2373" s="10">
        <f t="shared" si="241"/>
        <v>7.2</v>
      </c>
      <c r="K2373" s="10">
        <f t="shared" si="243"/>
        <v>25.2</v>
      </c>
      <c r="L2373" s="10">
        <f t="shared" si="242"/>
        <v>94.9</v>
      </c>
    </row>
    <row r="2374" spans="1:12" x14ac:dyDescent="0.25">
      <c r="A2374" s="7">
        <v>45645</v>
      </c>
      <c r="B2374" t="s">
        <v>598</v>
      </c>
      <c r="C2374" s="6">
        <v>6004</v>
      </c>
      <c r="D2374" s="5" t="s">
        <v>587</v>
      </c>
      <c r="E2374" s="1">
        <v>0.47708333333333336</v>
      </c>
      <c r="F2374" s="1">
        <v>0.5</v>
      </c>
      <c r="G2374" s="9">
        <f t="shared" si="238"/>
        <v>45642</v>
      </c>
      <c r="H2374" s="11">
        <f t="shared" si="239"/>
        <v>0.5</v>
      </c>
      <c r="I2374" s="10">
        <f t="shared" si="240"/>
        <v>3.5</v>
      </c>
      <c r="J2374" s="10">
        <f t="shared" si="241"/>
        <v>7.2</v>
      </c>
      <c r="K2374" s="10">
        <f t="shared" si="243"/>
        <v>25.7</v>
      </c>
      <c r="L2374" s="10">
        <f t="shared" si="242"/>
        <v>95.4</v>
      </c>
    </row>
    <row r="2375" spans="1:12" x14ac:dyDescent="0.25">
      <c r="A2375" s="7">
        <v>45645</v>
      </c>
      <c r="B2375" t="s">
        <v>6</v>
      </c>
      <c r="C2375" s="6" t="s">
        <v>416</v>
      </c>
      <c r="D2375" s="5" t="s">
        <v>234</v>
      </c>
      <c r="E2375" s="1">
        <v>0.5</v>
      </c>
      <c r="F2375" s="1">
        <v>0.53402777777777777</v>
      </c>
      <c r="G2375" s="9">
        <f t="shared" si="238"/>
        <v>45642</v>
      </c>
      <c r="H2375" s="11">
        <f t="shared" si="239"/>
        <v>0.8</v>
      </c>
      <c r="I2375" s="10">
        <f t="shared" si="240"/>
        <v>4.3</v>
      </c>
      <c r="J2375" s="10">
        <f t="shared" si="241"/>
        <v>7.2</v>
      </c>
      <c r="K2375" s="10">
        <f t="shared" si="243"/>
        <v>26.5</v>
      </c>
      <c r="L2375" s="10">
        <f t="shared" si="242"/>
        <v>96.2</v>
      </c>
    </row>
    <row r="2376" spans="1:12" x14ac:dyDescent="0.25">
      <c r="A2376" s="7">
        <v>45645</v>
      </c>
      <c r="B2376" t="s">
        <v>598</v>
      </c>
      <c r="C2376" s="6">
        <v>6004</v>
      </c>
      <c r="D2376" s="5" t="s">
        <v>587</v>
      </c>
      <c r="E2376" s="1">
        <v>0.53402777777777777</v>
      </c>
      <c r="F2376" s="1">
        <v>0.62083333333333335</v>
      </c>
      <c r="G2376" s="9">
        <f t="shared" si="238"/>
        <v>45642</v>
      </c>
      <c r="H2376" s="11">
        <f t="shared" si="239"/>
        <v>2.1</v>
      </c>
      <c r="I2376" s="10">
        <f t="shared" si="240"/>
        <v>6.4</v>
      </c>
      <c r="J2376" s="10">
        <f t="shared" si="241"/>
        <v>7.2</v>
      </c>
      <c r="K2376" s="10">
        <f t="shared" si="243"/>
        <v>28.6</v>
      </c>
      <c r="L2376" s="10">
        <f t="shared" si="242"/>
        <v>98.3</v>
      </c>
    </row>
    <row r="2377" spans="1:12" x14ac:dyDescent="0.25">
      <c r="A2377" s="7">
        <v>45646</v>
      </c>
      <c r="B2377" t="s">
        <v>7</v>
      </c>
      <c r="C2377" s="6" t="s">
        <v>22</v>
      </c>
      <c r="D2377" s="2" t="s">
        <v>742</v>
      </c>
      <c r="E2377" s="1">
        <v>0.40972222222222227</v>
      </c>
      <c r="F2377" s="1">
        <v>0.70833333333333337</v>
      </c>
      <c r="G2377" s="9">
        <f t="shared" si="238"/>
        <v>45642</v>
      </c>
      <c r="H2377" s="11">
        <f t="shared" si="239"/>
        <v>7.2</v>
      </c>
      <c r="I2377" s="10">
        <f t="shared" si="240"/>
        <v>7.2</v>
      </c>
      <c r="J2377" s="10">
        <f t="shared" si="241"/>
        <v>7.2</v>
      </c>
      <c r="K2377" s="10">
        <f t="shared" si="243"/>
        <v>35.800000000000004</v>
      </c>
      <c r="L2377" s="10">
        <f t="shared" si="242"/>
        <v>105.5</v>
      </c>
    </row>
    <row r="2378" spans="1:12" x14ac:dyDescent="0.25">
      <c r="A2378" s="7">
        <v>45649</v>
      </c>
      <c r="B2378" t="s">
        <v>7</v>
      </c>
      <c r="C2378" s="6" t="s">
        <v>22</v>
      </c>
      <c r="D2378" s="2" t="s">
        <v>742</v>
      </c>
      <c r="E2378" s="1">
        <v>0.40972222222222227</v>
      </c>
      <c r="F2378" s="1">
        <v>0.70833333333333337</v>
      </c>
      <c r="G2378" s="9">
        <f t="shared" si="238"/>
        <v>45649</v>
      </c>
      <c r="H2378" s="11">
        <f t="shared" si="239"/>
        <v>7.2</v>
      </c>
      <c r="I2378" s="10">
        <f t="shared" si="240"/>
        <v>7.2</v>
      </c>
      <c r="J2378" s="10">
        <f t="shared" si="241"/>
        <v>7.2</v>
      </c>
      <c r="K2378" s="10">
        <f t="shared" si="243"/>
        <v>7.2</v>
      </c>
      <c r="L2378" s="10">
        <f t="shared" si="242"/>
        <v>112.7</v>
      </c>
    </row>
    <row r="2379" spans="1:12" x14ac:dyDescent="0.25">
      <c r="A2379" s="7">
        <v>45650</v>
      </c>
      <c r="B2379" t="s">
        <v>7</v>
      </c>
      <c r="C2379" s="6" t="s">
        <v>22</v>
      </c>
      <c r="D2379" s="2" t="s">
        <v>742</v>
      </c>
      <c r="E2379" s="1">
        <v>0.40972222222222227</v>
      </c>
      <c r="F2379" s="1">
        <v>0.70833333333333337</v>
      </c>
      <c r="G2379" s="9">
        <f t="shared" si="238"/>
        <v>45649</v>
      </c>
      <c r="H2379" s="11">
        <f t="shared" si="239"/>
        <v>7.2</v>
      </c>
      <c r="I2379" s="10">
        <f t="shared" si="240"/>
        <v>7.2</v>
      </c>
      <c r="J2379" s="10">
        <f t="shared" si="241"/>
        <v>7.2</v>
      </c>
      <c r="K2379" s="10">
        <f t="shared" si="243"/>
        <v>14.4</v>
      </c>
      <c r="L2379" s="10">
        <f t="shared" si="242"/>
        <v>119.9</v>
      </c>
    </row>
    <row r="2380" spans="1:12" x14ac:dyDescent="0.25">
      <c r="A2380" s="7">
        <v>45651</v>
      </c>
      <c r="B2380" t="s">
        <v>7</v>
      </c>
      <c r="C2380" s="6" t="s">
        <v>22</v>
      </c>
      <c r="D2380" s="2" t="s">
        <v>743</v>
      </c>
      <c r="E2380" s="1">
        <v>0.40972222222222227</v>
      </c>
      <c r="F2380" s="1">
        <v>0.70833333333333337</v>
      </c>
      <c r="G2380" s="9">
        <f t="shared" si="238"/>
        <v>45649</v>
      </c>
      <c r="H2380" s="11">
        <f t="shared" si="239"/>
        <v>7.2</v>
      </c>
      <c r="I2380" s="10">
        <f t="shared" si="240"/>
        <v>7.2</v>
      </c>
      <c r="J2380" s="10">
        <f t="shared" si="241"/>
        <v>7.2</v>
      </c>
      <c r="K2380" s="10">
        <f t="shared" si="243"/>
        <v>21.6</v>
      </c>
      <c r="L2380" s="10">
        <f t="shared" si="242"/>
        <v>127.10000000000001</v>
      </c>
    </row>
    <row r="2381" spans="1:12" x14ac:dyDescent="0.25">
      <c r="A2381" s="7">
        <v>45652</v>
      </c>
      <c r="B2381" t="s">
        <v>7</v>
      </c>
      <c r="C2381" s="6" t="s">
        <v>22</v>
      </c>
      <c r="D2381" s="2" t="s">
        <v>745</v>
      </c>
      <c r="E2381" s="1">
        <v>0.40972222222222227</v>
      </c>
      <c r="F2381" s="1">
        <v>0.70833333333333337</v>
      </c>
      <c r="G2381" s="9">
        <f t="shared" si="238"/>
        <v>45649</v>
      </c>
      <c r="H2381" s="11">
        <f t="shared" si="239"/>
        <v>7.2</v>
      </c>
      <c r="I2381" s="10">
        <f t="shared" si="240"/>
        <v>7.2</v>
      </c>
      <c r="J2381" s="10">
        <f t="shared" si="241"/>
        <v>7.2</v>
      </c>
      <c r="K2381" s="10">
        <f t="shared" si="243"/>
        <v>28.8</v>
      </c>
      <c r="L2381" s="10">
        <f t="shared" si="242"/>
        <v>134.29999999999998</v>
      </c>
    </row>
    <row r="2382" spans="1:12" x14ac:dyDescent="0.25">
      <c r="A2382" s="7">
        <v>45653</v>
      </c>
      <c r="B2382" t="s">
        <v>7</v>
      </c>
      <c r="C2382" s="6" t="s">
        <v>22</v>
      </c>
      <c r="D2382" s="2" t="s">
        <v>746</v>
      </c>
      <c r="E2382" s="1">
        <v>0.40972222222222227</v>
      </c>
      <c r="F2382" s="1">
        <v>0.70833333333333337</v>
      </c>
      <c r="G2382" s="9">
        <f t="shared" si="238"/>
        <v>45649</v>
      </c>
      <c r="H2382" s="11">
        <f t="shared" si="239"/>
        <v>7.2</v>
      </c>
      <c r="I2382" s="10">
        <f t="shared" si="240"/>
        <v>7.2</v>
      </c>
      <c r="J2382" s="10">
        <f t="shared" si="241"/>
        <v>7.2</v>
      </c>
      <c r="K2382" s="10">
        <f t="shared" si="243"/>
        <v>36</v>
      </c>
      <c r="L2382" s="10">
        <f t="shared" si="242"/>
        <v>141.5</v>
      </c>
    </row>
    <row r="2383" spans="1:12" x14ac:dyDescent="0.25">
      <c r="A2383" s="7">
        <v>45656</v>
      </c>
      <c r="B2383" t="s">
        <v>7</v>
      </c>
      <c r="C2383" s="6" t="s">
        <v>22</v>
      </c>
      <c r="D2383" s="2" t="s">
        <v>746</v>
      </c>
      <c r="E2383" s="1">
        <v>0.40972222222222227</v>
      </c>
      <c r="F2383" s="1">
        <v>0.70833333333333337</v>
      </c>
      <c r="G2383" s="9">
        <f t="shared" si="238"/>
        <v>45656</v>
      </c>
      <c r="H2383" s="11">
        <f t="shared" si="239"/>
        <v>7.2</v>
      </c>
      <c r="I2383" s="10">
        <f t="shared" si="240"/>
        <v>7.2</v>
      </c>
      <c r="J2383" s="10">
        <f t="shared" si="241"/>
        <v>7.2</v>
      </c>
      <c r="K2383" s="10">
        <f t="shared" si="243"/>
        <v>7.2</v>
      </c>
      <c r="L2383" s="10">
        <f t="shared" si="242"/>
        <v>148.69999999999999</v>
      </c>
    </row>
    <row r="2384" spans="1:12" x14ac:dyDescent="0.25">
      <c r="A2384" s="7">
        <v>45657</v>
      </c>
      <c r="B2384" t="s">
        <v>7</v>
      </c>
      <c r="C2384" s="6" t="s">
        <v>22</v>
      </c>
      <c r="D2384" s="2" t="s">
        <v>742</v>
      </c>
      <c r="E2384" s="1">
        <v>0.40972222222222227</v>
      </c>
      <c r="F2384" s="1">
        <v>0.70833333333333337</v>
      </c>
      <c r="G2384" s="9">
        <f t="shared" si="238"/>
        <v>45656</v>
      </c>
      <c r="H2384" s="11">
        <f t="shared" si="239"/>
        <v>7.2</v>
      </c>
      <c r="I2384" s="10">
        <f t="shared" si="240"/>
        <v>7.2</v>
      </c>
      <c r="J2384" s="10">
        <f t="shared" si="241"/>
        <v>7.2</v>
      </c>
      <c r="K2384" s="10">
        <f t="shared" si="243"/>
        <v>14.4</v>
      </c>
      <c r="L2384" s="10">
        <f t="shared" si="242"/>
        <v>155.89999999999998</v>
      </c>
    </row>
    <row r="2385" spans="1:12" x14ac:dyDescent="0.25">
      <c r="A2385" s="7">
        <v>45658</v>
      </c>
      <c r="B2385" t="s">
        <v>7</v>
      </c>
      <c r="C2385" s="6" t="s">
        <v>22</v>
      </c>
      <c r="D2385" s="2" t="s">
        <v>744</v>
      </c>
      <c r="E2385" s="1">
        <v>0.40972222222222227</v>
      </c>
      <c r="F2385" s="1">
        <v>0.70833333333333337</v>
      </c>
      <c r="G2385" s="9">
        <f t="shared" si="238"/>
        <v>45656</v>
      </c>
      <c r="H2385" s="11">
        <f t="shared" si="239"/>
        <v>7.2</v>
      </c>
      <c r="I2385" s="10">
        <f t="shared" si="240"/>
        <v>7.2</v>
      </c>
      <c r="J2385" s="10">
        <f t="shared" si="241"/>
        <v>7.2</v>
      </c>
      <c r="K2385" s="10">
        <f t="shared" si="243"/>
        <v>21.6</v>
      </c>
      <c r="L2385" s="10">
        <f t="shared" si="242"/>
        <v>7.2</v>
      </c>
    </row>
    <row r="2386" spans="1:12" x14ac:dyDescent="0.25">
      <c r="A2386" s="7">
        <v>45659</v>
      </c>
      <c r="B2386" t="s">
        <v>7</v>
      </c>
      <c r="C2386" s="6" t="s">
        <v>22</v>
      </c>
      <c r="D2386" s="2" t="s">
        <v>744</v>
      </c>
      <c r="E2386" s="1">
        <v>0.40972222222222227</v>
      </c>
      <c r="F2386" s="1">
        <v>0.70833333333333337</v>
      </c>
      <c r="G2386" s="9">
        <f t="shared" si="238"/>
        <v>45656</v>
      </c>
      <c r="H2386" s="11">
        <f t="shared" si="239"/>
        <v>7.2</v>
      </c>
      <c r="I2386" s="10">
        <f t="shared" si="240"/>
        <v>7.2</v>
      </c>
      <c r="J2386" s="10">
        <f t="shared" si="241"/>
        <v>7.2</v>
      </c>
      <c r="K2386" s="10">
        <f t="shared" si="243"/>
        <v>28.8</v>
      </c>
      <c r="L2386" s="10">
        <f t="shared" si="242"/>
        <v>14.4</v>
      </c>
    </row>
    <row r="2387" spans="1:12" x14ac:dyDescent="0.25">
      <c r="A2387" s="7">
        <v>45660</v>
      </c>
      <c r="B2387" t="s">
        <v>7</v>
      </c>
      <c r="C2387" s="6" t="s">
        <v>22</v>
      </c>
      <c r="D2387" s="2" t="s">
        <v>742</v>
      </c>
      <c r="E2387" s="1">
        <v>0.40972222222222227</v>
      </c>
      <c r="F2387" s="1">
        <v>0.70833333333333337</v>
      </c>
      <c r="G2387" s="9">
        <f t="shared" si="238"/>
        <v>45656</v>
      </c>
      <c r="H2387" s="11">
        <f t="shared" si="239"/>
        <v>7.2</v>
      </c>
      <c r="I2387" s="10">
        <f t="shared" si="240"/>
        <v>7.2</v>
      </c>
      <c r="J2387" s="10">
        <f t="shared" si="241"/>
        <v>7.2</v>
      </c>
      <c r="K2387" s="10">
        <f t="shared" si="243"/>
        <v>36</v>
      </c>
      <c r="L2387" s="10">
        <f t="shared" si="242"/>
        <v>21.6</v>
      </c>
    </row>
    <row r="2388" spans="1:12" x14ac:dyDescent="0.25">
      <c r="A2388" s="7">
        <v>45663</v>
      </c>
      <c r="B2388" t="s">
        <v>7</v>
      </c>
      <c r="C2388" s="6" t="s">
        <v>22</v>
      </c>
      <c r="D2388" s="2" t="s">
        <v>742</v>
      </c>
      <c r="E2388" s="1">
        <v>0.40972222222222227</v>
      </c>
      <c r="F2388" s="1">
        <v>0.70833333333333337</v>
      </c>
      <c r="G2388" s="9">
        <f t="shared" si="238"/>
        <v>45663</v>
      </c>
      <c r="H2388" s="11">
        <f t="shared" si="239"/>
        <v>7.2</v>
      </c>
      <c r="I2388" s="10">
        <f t="shared" si="240"/>
        <v>7.2</v>
      </c>
      <c r="J2388" s="10">
        <f t="shared" si="241"/>
        <v>7.2</v>
      </c>
      <c r="K2388" s="10">
        <f t="shared" si="243"/>
        <v>7.2</v>
      </c>
      <c r="L2388" s="10">
        <f t="shared" si="242"/>
        <v>28.8</v>
      </c>
    </row>
    <row r="2389" spans="1:12" x14ac:dyDescent="0.25">
      <c r="A2389" s="7">
        <v>45664</v>
      </c>
      <c r="B2389" t="s">
        <v>7</v>
      </c>
      <c r="C2389" s="6" t="s">
        <v>22</v>
      </c>
      <c r="D2389" s="2" t="s">
        <v>742</v>
      </c>
      <c r="E2389" s="1">
        <v>0.40972222222222227</v>
      </c>
      <c r="F2389" s="1">
        <v>0.70833333333333337</v>
      </c>
      <c r="G2389" s="9">
        <f t="shared" si="238"/>
        <v>45663</v>
      </c>
      <c r="H2389" s="11">
        <f t="shared" si="239"/>
        <v>7.2</v>
      </c>
      <c r="I2389" s="10">
        <f t="shared" si="240"/>
        <v>7.2</v>
      </c>
      <c r="J2389" s="10">
        <f t="shared" si="241"/>
        <v>7.2</v>
      </c>
      <c r="K2389" s="10">
        <f t="shared" si="243"/>
        <v>14.4</v>
      </c>
      <c r="L2389" s="10">
        <f t="shared" si="242"/>
        <v>36</v>
      </c>
    </row>
    <row r="2390" spans="1:12" x14ac:dyDescent="0.25">
      <c r="A2390" s="7">
        <v>45665</v>
      </c>
      <c r="B2390" t="s">
        <v>7</v>
      </c>
      <c r="C2390" s="6" t="s">
        <v>22</v>
      </c>
      <c r="D2390" s="2" t="s">
        <v>742</v>
      </c>
      <c r="E2390" s="1">
        <v>0.40972222222222227</v>
      </c>
      <c r="F2390" s="1">
        <v>0.70833333333333337</v>
      </c>
      <c r="G2390" s="9">
        <f t="shared" si="238"/>
        <v>45663</v>
      </c>
      <c r="H2390" s="11">
        <f t="shared" si="239"/>
        <v>7.2</v>
      </c>
      <c r="I2390" s="10">
        <f t="shared" si="240"/>
        <v>7.2</v>
      </c>
      <c r="J2390" s="10">
        <f t="shared" si="241"/>
        <v>7.2</v>
      </c>
      <c r="K2390" s="10">
        <f t="shared" si="243"/>
        <v>21.6</v>
      </c>
      <c r="L2390" s="10">
        <f t="shared" si="242"/>
        <v>43.2</v>
      </c>
    </row>
    <row r="2391" spans="1:12" x14ac:dyDescent="0.25">
      <c r="A2391" s="7">
        <v>45666</v>
      </c>
      <c r="B2391" t="s">
        <v>7</v>
      </c>
      <c r="C2391" s="6" t="s">
        <v>22</v>
      </c>
      <c r="D2391" s="2" t="s">
        <v>742</v>
      </c>
      <c r="E2391" s="1">
        <v>0.40972222222222227</v>
      </c>
      <c r="F2391" s="1">
        <v>0.70833333333333337</v>
      </c>
      <c r="G2391" s="9">
        <f t="shared" si="238"/>
        <v>45663</v>
      </c>
      <c r="H2391" s="11">
        <f t="shared" si="239"/>
        <v>7.2</v>
      </c>
      <c r="I2391" s="10">
        <f t="shared" si="240"/>
        <v>7.2</v>
      </c>
      <c r="J2391" s="10">
        <f t="shared" si="241"/>
        <v>7.2</v>
      </c>
      <c r="K2391" s="10">
        <f t="shared" si="243"/>
        <v>28.8</v>
      </c>
      <c r="L2391" s="10">
        <f t="shared" si="242"/>
        <v>50.400000000000006</v>
      </c>
    </row>
    <row r="2392" spans="1:12" x14ac:dyDescent="0.25">
      <c r="A2392" s="7">
        <v>45667</v>
      </c>
      <c r="B2392" t="s">
        <v>7</v>
      </c>
      <c r="C2392" s="6" t="s">
        <v>22</v>
      </c>
      <c r="D2392" s="2" t="s">
        <v>742</v>
      </c>
      <c r="E2392" s="1">
        <v>0.40972222222222227</v>
      </c>
      <c r="F2392" s="1">
        <v>0.70833333333333337</v>
      </c>
      <c r="G2392" s="9">
        <f t="shared" si="238"/>
        <v>45663</v>
      </c>
      <c r="H2392" s="11">
        <f t="shared" si="239"/>
        <v>7.2</v>
      </c>
      <c r="I2392" s="10">
        <f t="shared" si="240"/>
        <v>7.2</v>
      </c>
      <c r="J2392" s="10">
        <f t="shared" si="241"/>
        <v>7.2</v>
      </c>
      <c r="K2392" s="10">
        <f t="shared" si="243"/>
        <v>36</v>
      </c>
      <c r="L2392" s="10">
        <f t="shared" si="242"/>
        <v>57.6</v>
      </c>
    </row>
    <row r="2393" spans="1:12" x14ac:dyDescent="0.25">
      <c r="A2393" s="7">
        <v>45670</v>
      </c>
      <c r="B2393" t="s">
        <v>6</v>
      </c>
      <c r="C2393" s="6" t="s">
        <v>416</v>
      </c>
      <c r="D2393" s="5" t="s">
        <v>104</v>
      </c>
      <c r="E2393" s="1">
        <v>0.33263888888888887</v>
      </c>
      <c r="F2393" s="1">
        <v>0.41666666666666669</v>
      </c>
      <c r="G2393" s="9">
        <f t="shared" si="238"/>
        <v>45670</v>
      </c>
      <c r="H2393" s="11">
        <f t="shared" si="239"/>
        <v>2</v>
      </c>
      <c r="I2393" s="10">
        <f t="shared" si="240"/>
        <v>2</v>
      </c>
      <c r="J2393" s="10">
        <f t="shared" si="241"/>
        <v>7.2</v>
      </c>
      <c r="K2393" s="10">
        <f t="shared" si="243"/>
        <v>2</v>
      </c>
      <c r="L2393" s="10">
        <f t="shared" si="242"/>
        <v>59.6</v>
      </c>
    </row>
    <row r="2394" spans="1:12" x14ac:dyDescent="0.25">
      <c r="A2394" s="7">
        <v>45670</v>
      </c>
      <c r="B2394" s="2" t="s">
        <v>464</v>
      </c>
      <c r="C2394" s="6">
        <v>2431</v>
      </c>
      <c r="D2394" s="5" t="s">
        <v>748</v>
      </c>
      <c r="E2394" s="1">
        <v>0.41666666666666669</v>
      </c>
      <c r="F2394" s="1">
        <v>0.46111111111111114</v>
      </c>
      <c r="G2394" s="9">
        <f t="shared" si="238"/>
        <v>45670</v>
      </c>
      <c r="H2394" s="11">
        <f t="shared" si="239"/>
        <v>1.1000000000000001</v>
      </c>
      <c r="I2394" s="10">
        <f t="shared" si="240"/>
        <v>3.1</v>
      </c>
      <c r="J2394" s="10">
        <f t="shared" si="241"/>
        <v>7.2</v>
      </c>
      <c r="K2394" s="10">
        <f t="shared" si="243"/>
        <v>3.1</v>
      </c>
      <c r="L2394" s="10">
        <f t="shared" si="242"/>
        <v>60.7</v>
      </c>
    </row>
    <row r="2395" spans="1:12" x14ac:dyDescent="0.25">
      <c r="A2395" s="7">
        <v>45670</v>
      </c>
      <c r="B2395" s="2" t="s">
        <v>838</v>
      </c>
      <c r="C2395" s="6">
        <v>6185</v>
      </c>
      <c r="D2395" s="5" t="s">
        <v>749</v>
      </c>
      <c r="E2395" s="1">
        <v>0.46111111111111114</v>
      </c>
      <c r="F2395" s="1">
        <v>0.5083333333333333</v>
      </c>
      <c r="G2395" s="9">
        <f t="shared" si="238"/>
        <v>45670</v>
      </c>
      <c r="H2395" s="11">
        <f t="shared" si="239"/>
        <v>1.1000000000000001</v>
      </c>
      <c r="I2395" s="10">
        <f t="shared" si="240"/>
        <v>4.2</v>
      </c>
      <c r="J2395" s="10">
        <f t="shared" si="241"/>
        <v>7.2</v>
      </c>
      <c r="K2395" s="10">
        <f t="shared" si="243"/>
        <v>4.2</v>
      </c>
      <c r="L2395" s="10">
        <f t="shared" si="242"/>
        <v>61.800000000000004</v>
      </c>
    </row>
    <row r="2396" spans="1:12" x14ac:dyDescent="0.25">
      <c r="A2396" s="7">
        <v>45670</v>
      </c>
      <c r="B2396" s="2" t="s">
        <v>838</v>
      </c>
      <c r="C2396" s="6">
        <v>6185</v>
      </c>
      <c r="D2396" s="5" t="s">
        <v>749</v>
      </c>
      <c r="E2396" s="1">
        <v>0.51736111111111116</v>
      </c>
      <c r="F2396" s="1">
        <v>0.54166666666666663</v>
      </c>
      <c r="G2396" s="9">
        <f t="shared" si="238"/>
        <v>45670</v>
      </c>
      <c r="H2396" s="11">
        <f t="shared" si="239"/>
        <v>0.6</v>
      </c>
      <c r="I2396" s="10">
        <f t="shared" si="240"/>
        <v>4.8</v>
      </c>
      <c r="J2396" s="10">
        <f t="shared" si="241"/>
        <v>7.2</v>
      </c>
      <c r="K2396" s="10">
        <f t="shared" si="243"/>
        <v>4.8</v>
      </c>
      <c r="L2396" s="10">
        <f t="shared" si="242"/>
        <v>62.4</v>
      </c>
    </row>
    <row r="2397" spans="1:12" x14ac:dyDescent="0.25">
      <c r="A2397" s="7">
        <v>45670</v>
      </c>
      <c r="B2397" s="2" t="s">
        <v>464</v>
      </c>
      <c r="C2397" s="6">
        <v>2431</v>
      </c>
      <c r="D2397" s="5" t="s">
        <v>750</v>
      </c>
      <c r="E2397" s="1">
        <v>0.54166666666666663</v>
      </c>
      <c r="F2397" s="1">
        <v>0.60902777777777772</v>
      </c>
      <c r="G2397" s="9">
        <f t="shared" si="238"/>
        <v>45670</v>
      </c>
      <c r="H2397" s="11">
        <f t="shared" si="239"/>
        <v>1.6</v>
      </c>
      <c r="I2397" s="10">
        <f t="shared" si="240"/>
        <v>6.4</v>
      </c>
      <c r="J2397" s="10">
        <f t="shared" si="241"/>
        <v>7.2</v>
      </c>
      <c r="K2397" s="10">
        <f t="shared" si="243"/>
        <v>6.4</v>
      </c>
      <c r="L2397" s="10">
        <f t="shared" si="242"/>
        <v>64</v>
      </c>
    </row>
    <row r="2398" spans="1:12" x14ac:dyDescent="0.25">
      <c r="A2398" s="7">
        <v>45670</v>
      </c>
      <c r="B2398" s="2" t="s">
        <v>838</v>
      </c>
      <c r="C2398" s="6">
        <v>6185</v>
      </c>
      <c r="D2398" s="5" t="s">
        <v>751</v>
      </c>
      <c r="E2398" s="1">
        <v>0.60902777777777772</v>
      </c>
      <c r="F2398" s="1">
        <v>0.66527777777777775</v>
      </c>
      <c r="G2398" s="9">
        <f t="shared" si="238"/>
        <v>45670</v>
      </c>
      <c r="H2398" s="11">
        <f t="shared" si="239"/>
        <v>1.4</v>
      </c>
      <c r="I2398" s="10">
        <f t="shared" si="240"/>
        <v>7.8000000000000007</v>
      </c>
      <c r="J2398" s="10">
        <f t="shared" si="241"/>
        <v>7.2</v>
      </c>
      <c r="K2398" s="10">
        <f t="shared" si="243"/>
        <v>7.8000000000000007</v>
      </c>
      <c r="L2398" s="10">
        <f t="shared" si="242"/>
        <v>65.400000000000006</v>
      </c>
    </row>
    <row r="2399" spans="1:12" x14ac:dyDescent="0.25">
      <c r="A2399" s="7">
        <v>45671</v>
      </c>
      <c r="B2399" t="s">
        <v>598</v>
      </c>
      <c r="C2399" s="6">
        <v>6004</v>
      </c>
      <c r="D2399" s="5" t="s">
        <v>752</v>
      </c>
      <c r="E2399" s="1">
        <v>0.31736111111111109</v>
      </c>
      <c r="F2399" s="1">
        <v>0.47499999999999998</v>
      </c>
      <c r="G2399" s="9">
        <f t="shared" si="238"/>
        <v>45670</v>
      </c>
      <c r="H2399" s="11">
        <f t="shared" si="239"/>
        <v>3.8</v>
      </c>
      <c r="I2399" s="10">
        <f t="shared" si="240"/>
        <v>3.8</v>
      </c>
      <c r="J2399" s="10">
        <f t="shared" si="241"/>
        <v>7.2</v>
      </c>
      <c r="K2399" s="10">
        <f t="shared" si="243"/>
        <v>11.6</v>
      </c>
      <c r="L2399" s="10">
        <f t="shared" si="242"/>
        <v>69.2</v>
      </c>
    </row>
    <row r="2400" spans="1:12" x14ac:dyDescent="0.25">
      <c r="A2400" s="7">
        <v>45671</v>
      </c>
      <c r="B2400" t="s">
        <v>598</v>
      </c>
      <c r="C2400" s="6">
        <v>6004</v>
      </c>
      <c r="D2400" s="5" t="s">
        <v>752</v>
      </c>
      <c r="E2400" s="1">
        <v>0.49236111111111114</v>
      </c>
      <c r="F2400" s="1">
        <v>0.62708333333333333</v>
      </c>
      <c r="G2400" s="9">
        <f t="shared" ref="G2400:G2427" si="244">IF(E2400&gt;0,INT((A2400-2)/7)*7+2,"")</f>
        <v>45670</v>
      </c>
      <c r="H2400" s="11">
        <f t="shared" ref="H2400:H2427" si="245">IF(E2400&gt;0,ROUND(24*(IF(F2400&gt;0,F2400,NowTime)-E2400),1),"")</f>
        <v>3.2</v>
      </c>
      <c r="I2400" s="10">
        <f t="shared" ref="I2400:I2427" si="246">IF(H2400="",H2400,H2400+IF(A2400=A2399,_xlfn.NUMBERVALUE(I2399),0))</f>
        <v>7</v>
      </c>
      <c r="J2400" s="10">
        <f t="shared" ref="J2400:J2427" si="247">IF(H2400="",H2400,7.2)</f>
        <v>7.2</v>
      </c>
      <c r="K2400" s="10">
        <f t="shared" ref="K2400:K2427" si="248">IF(H2400="",H2400,H2400+IF(G2400=G2399,_xlfn.NUMBERVALUE(K2399),0))</f>
        <v>14.8</v>
      </c>
      <c r="L2400" s="10">
        <f t="shared" ref="L2400:L2427" si="249">IF(H2400="",H2400,H2400+IF(MONTH(A2400)=MONTH(A2399),_xlfn.NUMBERVALUE(L2399),0))</f>
        <v>72.400000000000006</v>
      </c>
    </row>
    <row r="2401" spans="1:12" x14ac:dyDescent="0.25">
      <c r="A2401" s="7">
        <v>45672</v>
      </c>
      <c r="B2401" t="s">
        <v>7</v>
      </c>
      <c r="C2401" s="6" t="s">
        <v>22</v>
      </c>
      <c r="D2401" s="2" t="s">
        <v>742</v>
      </c>
      <c r="E2401" s="1">
        <v>0.40972222222222227</v>
      </c>
      <c r="F2401" s="1">
        <v>0.70833333333333337</v>
      </c>
      <c r="G2401" s="9">
        <f t="shared" si="244"/>
        <v>45670</v>
      </c>
      <c r="H2401" s="11">
        <f t="shared" si="245"/>
        <v>7.2</v>
      </c>
      <c r="I2401" s="10">
        <f t="shared" si="246"/>
        <v>7.2</v>
      </c>
      <c r="J2401" s="10">
        <f t="shared" si="247"/>
        <v>7.2</v>
      </c>
      <c r="K2401" s="10">
        <f t="shared" si="248"/>
        <v>22</v>
      </c>
      <c r="L2401" s="10">
        <f t="shared" si="249"/>
        <v>79.600000000000009</v>
      </c>
    </row>
    <row r="2402" spans="1:12" x14ac:dyDescent="0.25">
      <c r="A2402" s="7">
        <v>45673</v>
      </c>
      <c r="B2402" s="2" t="s">
        <v>411</v>
      </c>
      <c r="C2402" s="6">
        <v>8828</v>
      </c>
      <c r="D2402" s="5" t="s">
        <v>753</v>
      </c>
      <c r="E2402" s="1">
        <v>0.3298611111111111</v>
      </c>
      <c r="F2402" s="1">
        <v>0.66666666666666663</v>
      </c>
      <c r="G2402" s="9">
        <f t="shared" si="244"/>
        <v>45670</v>
      </c>
      <c r="H2402" s="11">
        <f t="shared" si="245"/>
        <v>8.1</v>
      </c>
      <c r="I2402" s="10">
        <f t="shared" si="246"/>
        <v>8.1</v>
      </c>
      <c r="J2402" s="10">
        <f t="shared" si="247"/>
        <v>7.2</v>
      </c>
      <c r="K2402" s="10">
        <f t="shared" si="248"/>
        <v>30.1</v>
      </c>
      <c r="L2402" s="10">
        <f t="shared" si="249"/>
        <v>87.699999999999989</v>
      </c>
    </row>
    <row r="2403" spans="1:12" x14ac:dyDescent="0.25">
      <c r="A2403" s="7">
        <v>45674</v>
      </c>
      <c r="B2403" s="2" t="s">
        <v>551</v>
      </c>
      <c r="C2403" s="6">
        <v>6184</v>
      </c>
      <c r="D2403" s="5" t="s">
        <v>754</v>
      </c>
      <c r="E2403" s="1">
        <v>0.34861111111111109</v>
      </c>
      <c r="F2403" s="1">
        <v>0.47708333333333336</v>
      </c>
      <c r="G2403" s="9">
        <f t="shared" si="244"/>
        <v>45670</v>
      </c>
      <c r="H2403" s="11">
        <f t="shared" si="245"/>
        <v>3.1</v>
      </c>
      <c r="I2403" s="10">
        <f t="shared" si="246"/>
        <v>3.1</v>
      </c>
      <c r="J2403" s="10">
        <f t="shared" si="247"/>
        <v>7.2</v>
      </c>
      <c r="K2403" s="10">
        <f t="shared" si="248"/>
        <v>33.200000000000003</v>
      </c>
      <c r="L2403" s="10">
        <f t="shared" si="249"/>
        <v>90.8</v>
      </c>
    </row>
    <row r="2404" spans="1:12" x14ac:dyDescent="0.25">
      <c r="A2404" s="7">
        <v>45674</v>
      </c>
      <c r="B2404" s="2" t="s">
        <v>551</v>
      </c>
      <c r="C2404" s="6">
        <v>6184</v>
      </c>
      <c r="D2404" s="5" t="s">
        <v>754</v>
      </c>
      <c r="E2404" s="1">
        <v>0.4909722222222222</v>
      </c>
      <c r="F2404" s="1">
        <v>0.68125000000000002</v>
      </c>
      <c r="G2404" s="9">
        <f t="shared" si="244"/>
        <v>45670</v>
      </c>
      <c r="H2404" s="11">
        <f t="shared" si="245"/>
        <v>4.5999999999999996</v>
      </c>
      <c r="I2404" s="10">
        <f t="shared" si="246"/>
        <v>7.6999999999999993</v>
      </c>
      <c r="J2404" s="10">
        <f t="shared" si="247"/>
        <v>7.2</v>
      </c>
      <c r="K2404" s="10">
        <f t="shared" si="248"/>
        <v>37.800000000000004</v>
      </c>
      <c r="L2404" s="10">
        <f t="shared" si="249"/>
        <v>95.399999999999991</v>
      </c>
    </row>
    <row r="2405" spans="1:12" x14ac:dyDescent="0.25">
      <c r="A2405" s="7">
        <v>45677</v>
      </c>
      <c r="B2405" t="s">
        <v>6</v>
      </c>
      <c r="C2405" s="6" t="s">
        <v>416</v>
      </c>
      <c r="D2405" s="5" t="s">
        <v>335</v>
      </c>
      <c r="E2405" s="1">
        <v>0.3263888888888889</v>
      </c>
      <c r="F2405" s="1">
        <v>0.5</v>
      </c>
      <c r="G2405" s="9">
        <f t="shared" si="244"/>
        <v>45677</v>
      </c>
      <c r="H2405" s="11">
        <f t="shared" si="245"/>
        <v>4.2</v>
      </c>
      <c r="I2405" s="10">
        <f t="shared" si="246"/>
        <v>4.2</v>
      </c>
      <c r="J2405" s="10">
        <f t="shared" si="247"/>
        <v>7.2</v>
      </c>
      <c r="K2405" s="10">
        <f t="shared" si="248"/>
        <v>4.2</v>
      </c>
      <c r="L2405" s="10">
        <f t="shared" si="249"/>
        <v>99.600000000000009</v>
      </c>
    </row>
    <row r="2406" spans="1:12" x14ac:dyDescent="0.25">
      <c r="A2406" s="7">
        <v>45677</v>
      </c>
      <c r="B2406" t="s">
        <v>6</v>
      </c>
      <c r="C2406" s="6" t="s">
        <v>416</v>
      </c>
      <c r="D2406" s="5" t="s">
        <v>335</v>
      </c>
      <c r="E2406" s="1">
        <v>0.51388888888888884</v>
      </c>
      <c r="F2406" s="1">
        <v>0.63055555555555554</v>
      </c>
      <c r="G2406" s="9">
        <f t="shared" si="244"/>
        <v>45677</v>
      </c>
      <c r="H2406" s="11">
        <f t="shared" si="245"/>
        <v>2.8</v>
      </c>
      <c r="I2406" s="10">
        <f t="shared" si="246"/>
        <v>7</v>
      </c>
      <c r="J2406" s="10">
        <f t="shared" si="247"/>
        <v>7.2</v>
      </c>
      <c r="K2406" s="10">
        <f t="shared" si="248"/>
        <v>7</v>
      </c>
      <c r="L2406" s="10">
        <f t="shared" si="249"/>
        <v>102.39999999999999</v>
      </c>
    </row>
    <row r="2407" spans="1:12" x14ac:dyDescent="0.25">
      <c r="A2407" s="7">
        <v>45678</v>
      </c>
      <c r="B2407" t="s">
        <v>598</v>
      </c>
      <c r="C2407" s="6">
        <v>6004</v>
      </c>
      <c r="D2407" s="5" t="s">
        <v>755</v>
      </c>
      <c r="E2407" s="1">
        <v>0.33055555555555555</v>
      </c>
      <c r="F2407" s="1">
        <v>0.65069444444444446</v>
      </c>
      <c r="G2407" s="9">
        <f t="shared" si="244"/>
        <v>45677</v>
      </c>
      <c r="H2407" s="11">
        <f t="shared" si="245"/>
        <v>7.7</v>
      </c>
      <c r="I2407" s="10">
        <f t="shared" si="246"/>
        <v>7.7</v>
      </c>
      <c r="J2407" s="10">
        <f t="shared" si="247"/>
        <v>7.2</v>
      </c>
      <c r="K2407" s="10">
        <f t="shared" si="248"/>
        <v>14.7</v>
      </c>
      <c r="L2407" s="10">
        <f t="shared" si="249"/>
        <v>110.10000000000001</v>
      </c>
    </row>
    <row r="2408" spans="1:12" x14ac:dyDescent="0.25">
      <c r="A2408" s="7">
        <v>45679</v>
      </c>
      <c r="B2408" t="s">
        <v>598</v>
      </c>
      <c r="C2408" s="6">
        <v>6004</v>
      </c>
      <c r="D2408" s="5" t="s">
        <v>756</v>
      </c>
      <c r="E2408" s="1">
        <v>0.33263888888888887</v>
      </c>
      <c r="F2408" s="1">
        <v>0.62986111111111109</v>
      </c>
      <c r="G2408" s="9">
        <f t="shared" si="244"/>
        <v>45677</v>
      </c>
      <c r="H2408" s="11">
        <f t="shared" si="245"/>
        <v>7.1</v>
      </c>
      <c r="I2408" s="10">
        <f t="shared" si="246"/>
        <v>7.1</v>
      </c>
      <c r="J2408" s="10">
        <f t="shared" si="247"/>
        <v>7.2</v>
      </c>
      <c r="K2408" s="10">
        <f t="shared" si="248"/>
        <v>21.799999999999997</v>
      </c>
      <c r="L2408" s="10">
        <f t="shared" si="249"/>
        <v>117.19999999999999</v>
      </c>
    </row>
    <row r="2409" spans="1:12" x14ac:dyDescent="0.25">
      <c r="A2409" s="7">
        <v>45680</v>
      </c>
      <c r="B2409" t="s">
        <v>598</v>
      </c>
      <c r="C2409" s="6">
        <v>6004</v>
      </c>
      <c r="D2409" s="5" t="s">
        <v>756</v>
      </c>
      <c r="E2409" s="1">
        <v>0.33402777777777776</v>
      </c>
      <c r="F2409" s="1">
        <v>0.42708333333333331</v>
      </c>
      <c r="G2409" s="9">
        <f t="shared" si="244"/>
        <v>45677</v>
      </c>
      <c r="H2409" s="11">
        <f t="shared" si="245"/>
        <v>2.2000000000000002</v>
      </c>
      <c r="I2409" s="10">
        <f t="shared" si="246"/>
        <v>2.2000000000000002</v>
      </c>
      <c r="J2409" s="10">
        <f t="shared" si="247"/>
        <v>7.2</v>
      </c>
      <c r="K2409" s="10">
        <f t="shared" si="248"/>
        <v>24</v>
      </c>
      <c r="L2409" s="10">
        <f t="shared" si="249"/>
        <v>119.4</v>
      </c>
    </row>
    <row r="2410" spans="1:12" x14ac:dyDescent="0.25">
      <c r="A2410" s="7">
        <v>45680</v>
      </c>
      <c r="B2410" t="s">
        <v>598</v>
      </c>
      <c r="C2410" s="6">
        <v>6004</v>
      </c>
      <c r="D2410" s="5" t="s">
        <v>756</v>
      </c>
      <c r="E2410" s="1">
        <v>0.42708333333333331</v>
      </c>
      <c r="F2410" s="1">
        <v>0.6118055555555556</v>
      </c>
      <c r="G2410" s="9">
        <f t="shared" si="244"/>
        <v>45677</v>
      </c>
      <c r="H2410" s="11">
        <f t="shared" si="245"/>
        <v>4.4000000000000004</v>
      </c>
      <c r="I2410" s="10">
        <f t="shared" si="246"/>
        <v>6.6000000000000005</v>
      </c>
      <c r="J2410" s="10">
        <f t="shared" si="247"/>
        <v>7.2</v>
      </c>
      <c r="K2410" s="10">
        <f t="shared" si="248"/>
        <v>28.4</v>
      </c>
      <c r="L2410" s="10">
        <f t="shared" si="249"/>
        <v>123.80000000000001</v>
      </c>
    </row>
    <row r="2411" spans="1:12" x14ac:dyDescent="0.25">
      <c r="A2411" s="7">
        <v>45681</v>
      </c>
      <c r="B2411" t="s">
        <v>598</v>
      </c>
      <c r="C2411" s="6">
        <v>6004</v>
      </c>
      <c r="D2411" s="5" t="s">
        <v>757</v>
      </c>
      <c r="E2411" s="1">
        <v>0.32847222222222222</v>
      </c>
      <c r="F2411" s="1">
        <v>0.45833333333333331</v>
      </c>
      <c r="G2411" s="9">
        <f t="shared" si="244"/>
        <v>45677</v>
      </c>
      <c r="H2411" s="11">
        <f t="shared" si="245"/>
        <v>3.1</v>
      </c>
      <c r="I2411" s="10">
        <f t="shared" si="246"/>
        <v>3.1</v>
      </c>
      <c r="J2411" s="10">
        <f t="shared" si="247"/>
        <v>7.2</v>
      </c>
      <c r="K2411" s="10">
        <f t="shared" si="248"/>
        <v>31.5</v>
      </c>
      <c r="L2411" s="10">
        <f t="shared" si="249"/>
        <v>126.89999999999999</v>
      </c>
    </row>
    <row r="2412" spans="1:12" x14ac:dyDescent="0.25">
      <c r="A2412" s="7">
        <v>45681</v>
      </c>
      <c r="B2412" s="2" t="s">
        <v>464</v>
      </c>
      <c r="C2412" s="6">
        <v>2431</v>
      </c>
      <c r="D2412" s="5" t="s">
        <v>750</v>
      </c>
      <c r="E2412" s="1">
        <v>0.45833333333333331</v>
      </c>
      <c r="F2412" s="1">
        <v>0.5083333333333333</v>
      </c>
      <c r="G2412" s="9">
        <f t="shared" si="244"/>
        <v>45677</v>
      </c>
      <c r="H2412" s="11">
        <f t="shared" si="245"/>
        <v>1.2</v>
      </c>
      <c r="I2412" s="10">
        <f t="shared" si="246"/>
        <v>4.3</v>
      </c>
      <c r="J2412" s="10">
        <f t="shared" si="247"/>
        <v>7.2</v>
      </c>
      <c r="K2412" s="10">
        <f t="shared" si="248"/>
        <v>32.700000000000003</v>
      </c>
      <c r="L2412" s="10">
        <f t="shared" si="249"/>
        <v>128.1</v>
      </c>
    </row>
    <row r="2413" spans="1:12" x14ac:dyDescent="0.25">
      <c r="A2413" s="7">
        <v>45681</v>
      </c>
      <c r="B2413" t="s">
        <v>598</v>
      </c>
      <c r="C2413" s="6">
        <v>6004</v>
      </c>
      <c r="D2413" s="5" t="s">
        <v>757</v>
      </c>
      <c r="E2413" s="1">
        <v>0.53472222222222221</v>
      </c>
      <c r="F2413" s="1">
        <v>0.61388888888888893</v>
      </c>
      <c r="G2413" s="9">
        <f t="shared" si="244"/>
        <v>45677</v>
      </c>
      <c r="H2413" s="11">
        <f t="shared" si="245"/>
        <v>1.9</v>
      </c>
      <c r="I2413" s="10">
        <f t="shared" si="246"/>
        <v>6.1999999999999993</v>
      </c>
      <c r="J2413" s="10">
        <f t="shared" si="247"/>
        <v>7.2</v>
      </c>
      <c r="K2413" s="10">
        <f t="shared" si="248"/>
        <v>34.6</v>
      </c>
      <c r="L2413" s="10">
        <f t="shared" si="249"/>
        <v>130</v>
      </c>
    </row>
    <row r="2414" spans="1:12" x14ac:dyDescent="0.25">
      <c r="A2414" s="7">
        <v>45684</v>
      </c>
      <c r="B2414" t="s">
        <v>7</v>
      </c>
      <c r="C2414" s="6" t="s">
        <v>22</v>
      </c>
      <c r="D2414" s="2" t="s">
        <v>742</v>
      </c>
      <c r="E2414" s="1">
        <v>0.40972222222222227</v>
      </c>
      <c r="F2414" s="1">
        <v>0.70833333333333337</v>
      </c>
      <c r="G2414" s="9">
        <f t="shared" si="244"/>
        <v>45684</v>
      </c>
      <c r="H2414" s="11">
        <f t="shared" si="245"/>
        <v>7.2</v>
      </c>
      <c r="I2414" s="10">
        <f t="shared" si="246"/>
        <v>7.2</v>
      </c>
      <c r="J2414" s="10">
        <f t="shared" si="247"/>
        <v>7.2</v>
      </c>
      <c r="K2414" s="10">
        <f t="shared" si="248"/>
        <v>7.2</v>
      </c>
      <c r="L2414" s="10">
        <f t="shared" si="249"/>
        <v>137.19999999999999</v>
      </c>
    </row>
    <row r="2415" spans="1:12" x14ac:dyDescent="0.25">
      <c r="A2415" s="7">
        <v>45685</v>
      </c>
      <c r="B2415" t="s">
        <v>579</v>
      </c>
      <c r="C2415" s="6">
        <v>2682</v>
      </c>
      <c r="D2415" s="5" t="s">
        <v>758</v>
      </c>
      <c r="E2415" s="1">
        <v>0.37291666666666667</v>
      </c>
      <c r="F2415" s="1">
        <v>0.48749999999999999</v>
      </c>
      <c r="G2415" s="9">
        <f t="shared" si="244"/>
        <v>45684</v>
      </c>
      <c r="H2415" s="11">
        <f t="shared" si="245"/>
        <v>2.8</v>
      </c>
      <c r="I2415" s="10">
        <f t="shared" si="246"/>
        <v>2.8</v>
      </c>
      <c r="J2415" s="10">
        <f t="shared" si="247"/>
        <v>7.2</v>
      </c>
      <c r="K2415" s="10">
        <f t="shared" si="248"/>
        <v>10</v>
      </c>
      <c r="L2415" s="10">
        <f t="shared" si="249"/>
        <v>140</v>
      </c>
    </row>
    <row r="2416" spans="1:12" x14ac:dyDescent="0.25">
      <c r="A2416" s="7">
        <v>45685</v>
      </c>
      <c r="B2416" s="2" t="s">
        <v>838</v>
      </c>
      <c r="C2416" s="6">
        <v>6185</v>
      </c>
      <c r="D2416" s="5" t="s">
        <v>759</v>
      </c>
      <c r="E2416" s="1">
        <v>0.48749999999999999</v>
      </c>
      <c r="F2416" s="1">
        <v>0.50624999999999998</v>
      </c>
      <c r="G2416" s="9">
        <f t="shared" si="244"/>
        <v>45684</v>
      </c>
      <c r="H2416" s="11">
        <f t="shared" si="245"/>
        <v>0.5</v>
      </c>
      <c r="I2416" s="10">
        <f t="shared" si="246"/>
        <v>3.3</v>
      </c>
      <c r="J2416" s="10">
        <f t="shared" si="247"/>
        <v>7.2</v>
      </c>
      <c r="K2416" s="10">
        <f t="shared" si="248"/>
        <v>10.5</v>
      </c>
      <c r="L2416" s="10">
        <f t="shared" si="249"/>
        <v>140.5</v>
      </c>
    </row>
    <row r="2417" spans="1:12" x14ac:dyDescent="0.25">
      <c r="A2417" s="7">
        <v>45685</v>
      </c>
      <c r="B2417" t="s">
        <v>598</v>
      </c>
      <c r="C2417" s="6">
        <v>6004</v>
      </c>
      <c r="D2417" s="5" t="s">
        <v>760</v>
      </c>
      <c r="E2417" s="1">
        <v>0.52361111111111114</v>
      </c>
      <c r="F2417" s="1">
        <v>0.54166666666666663</v>
      </c>
      <c r="G2417" s="9">
        <f t="shared" si="244"/>
        <v>45684</v>
      </c>
      <c r="H2417" s="11">
        <f t="shared" si="245"/>
        <v>0.4</v>
      </c>
      <c r="I2417" s="10">
        <f t="shared" si="246"/>
        <v>3.6999999999999997</v>
      </c>
      <c r="J2417" s="10">
        <f t="shared" si="247"/>
        <v>7.2</v>
      </c>
      <c r="K2417" s="10">
        <f t="shared" si="248"/>
        <v>10.9</v>
      </c>
      <c r="L2417" s="10">
        <f t="shared" si="249"/>
        <v>140.9</v>
      </c>
    </row>
    <row r="2418" spans="1:12" x14ac:dyDescent="0.25">
      <c r="A2418" s="7">
        <v>45685</v>
      </c>
      <c r="B2418" s="2" t="s">
        <v>588</v>
      </c>
      <c r="C2418" s="6">
        <v>2473</v>
      </c>
      <c r="D2418" s="5" t="s">
        <v>44</v>
      </c>
      <c r="E2418" s="1">
        <v>0.54166666666666663</v>
      </c>
      <c r="F2418" s="1">
        <v>0.58333333333333337</v>
      </c>
      <c r="G2418" s="9">
        <f t="shared" si="244"/>
        <v>45684</v>
      </c>
      <c r="H2418" s="11">
        <f t="shared" si="245"/>
        <v>1</v>
      </c>
      <c r="I2418" s="10">
        <f t="shared" si="246"/>
        <v>4.7</v>
      </c>
      <c r="J2418" s="10">
        <f t="shared" si="247"/>
        <v>7.2</v>
      </c>
      <c r="K2418" s="10">
        <f t="shared" si="248"/>
        <v>11.9</v>
      </c>
      <c r="L2418" s="10">
        <f t="shared" si="249"/>
        <v>141.9</v>
      </c>
    </row>
    <row r="2419" spans="1:12" x14ac:dyDescent="0.25">
      <c r="A2419" s="7">
        <v>45685</v>
      </c>
      <c r="B2419" t="s">
        <v>579</v>
      </c>
      <c r="C2419" s="6">
        <v>2682</v>
      </c>
      <c r="D2419" s="5" t="s">
        <v>761</v>
      </c>
      <c r="E2419" s="1">
        <v>0.58333333333333337</v>
      </c>
      <c r="F2419" s="1">
        <v>0.62986111111111109</v>
      </c>
      <c r="G2419" s="9">
        <f t="shared" si="244"/>
        <v>45684</v>
      </c>
      <c r="H2419" s="11">
        <f t="shared" si="245"/>
        <v>1.1000000000000001</v>
      </c>
      <c r="I2419" s="10">
        <f t="shared" si="246"/>
        <v>5.8000000000000007</v>
      </c>
      <c r="J2419" s="10">
        <f t="shared" si="247"/>
        <v>7.2</v>
      </c>
      <c r="K2419" s="10">
        <f t="shared" si="248"/>
        <v>13</v>
      </c>
      <c r="L2419" s="10">
        <f t="shared" si="249"/>
        <v>143</v>
      </c>
    </row>
    <row r="2420" spans="1:12" x14ac:dyDescent="0.25">
      <c r="A2420" s="7">
        <v>45685</v>
      </c>
      <c r="B2420" s="2" t="s">
        <v>588</v>
      </c>
      <c r="C2420" s="6">
        <v>2473</v>
      </c>
      <c r="D2420" s="5" t="s">
        <v>107</v>
      </c>
      <c r="E2420" s="1">
        <v>0.62986111111111109</v>
      </c>
      <c r="F2420" s="1">
        <v>0.69305555555555554</v>
      </c>
      <c r="G2420" s="9">
        <f t="shared" si="244"/>
        <v>45684</v>
      </c>
      <c r="H2420" s="11">
        <f t="shared" si="245"/>
        <v>1.5</v>
      </c>
      <c r="I2420" s="10">
        <f t="shared" si="246"/>
        <v>7.3</v>
      </c>
      <c r="J2420" s="10">
        <f t="shared" si="247"/>
        <v>7.2</v>
      </c>
      <c r="K2420" s="10">
        <f t="shared" si="248"/>
        <v>14.5</v>
      </c>
      <c r="L2420" s="10">
        <f t="shared" si="249"/>
        <v>144.5</v>
      </c>
    </row>
    <row r="2421" spans="1:12" x14ac:dyDescent="0.25">
      <c r="A2421" s="7">
        <v>45686</v>
      </c>
      <c r="B2421" t="s">
        <v>598</v>
      </c>
      <c r="C2421" s="6">
        <v>6004</v>
      </c>
      <c r="D2421" s="5" t="s">
        <v>219</v>
      </c>
      <c r="E2421" s="1">
        <v>0.3527777777777778</v>
      </c>
      <c r="F2421" s="1">
        <v>0.4861111111111111</v>
      </c>
      <c r="G2421" s="9">
        <f t="shared" si="244"/>
        <v>45684</v>
      </c>
      <c r="H2421" s="11">
        <f t="shared" si="245"/>
        <v>3.2</v>
      </c>
      <c r="I2421" s="10">
        <f t="shared" si="246"/>
        <v>3.2</v>
      </c>
      <c r="J2421" s="10">
        <f t="shared" si="247"/>
        <v>7.2</v>
      </c>
      <c r="K2421" s="10">
        <f t="shared" si="248"/>
        <v>17.7</v>
      </c>
      <c r="L2421" s="10">
        <f t="shared" si="249"/>
        <v>147.69999999999999</v>
      </c>
    </row>
    <row r="2422" spans="1:12" x14ac:dyDescent="0.25">
      <c r="A2422" s="7">
        <v>45686</v>
      </c>
      <c r="B2422" s="2" t="s">
        <v>464</v>
      </c>
      <c r="C2422" s="6">
        <v>2431</v>
      </c>
      <c r="D2422" s="5" t="s">
        <v>750</v>
      </c>
      <c r="E2422" s="1">
        <v>0.5</v>
      </c>
      <c r="F2422" s="1">
        <v>0.53055555555555556</v>
      </c>
      <c r="G2422" s="9">
        <f t="shared" si="244"/>
        <v>45684</v>
      </c>
      <c r="H2422" s="11">
        <f t="shared" si="245"/>
        <v>0.7</v>
      </c>
      <c r="I2422" s="10">
        <f t="shared" si="246"/>
        <v>3.9000000000000004</v>
      </c>
      <c r="J2422" s="10">
        <f t="shared" si="247"/>
        <v>7.2</v>
      </c>
      <c r="K2422" s="10">
        <f t="shared" si="248"/>
        <v>18.399999999999999</v>
      </c>
      <c r="L2422" s="10">
        <f t="shared" si="249"/>
        <v>148.39999999999998</v>
      </c>
    </row>
    <row r="2423" spans="1:12" x14ac:dyDescent="0.25">
      <c r="A2423" s="7">
        <v>45686</v>
      </c>
      <c r="B2423" s="2" t="s">
        <v>588</v>
      </c>
      <c r="C2423" s="6">
        <v>2473</v>
      </c>
      <c r="D2423" s="5" t="s">
        <v>107</v>
      </c>
      <c r="E2423" s="1">
        <v>0.53055555555555556</v>
      </c>
      <c r="F2423" s="1">
        <v>0.58333333333333337</v>
      </c>
      <c r="G2423" s="9">
        <f t="shared" si="244"/>
        <v>45684</v>
      </c>
      <c r="H2423" s="11">
        <f t="shared" si="245"/>
        <v>1.3</v>
      </c>
      <c r="I2423" s="10">
        <f t="shared" si="246"/>
        <v>5.2</v>
      </c>
      <c r="J2423" s="10">
        <f t="shared" si="247"/>
        <v>7.2</v>
      </c>
      <c r="K2423" s="10">
        <f t="shared" si="248"/>
        <v>19.7</v>
      </c>
      <c r="L2423" s="10">
        <f t="shared" si="249"/>
        <v>149.70000000000002</v>
      </c>
    </row>
    <row r="2424" spans="1:12" x14ac:dyDescent="0.25">
      <c r="A2424" s="7">
        <v>45686</v>
      </c>
      <c r="B2424" t="s">
        <v>598</v>
      </c>
      <c r="C2424" s="6">
        <v>6004</v>
      </c>
      <c r="D2424" s="5" t="s">
        <v>44</v>
      </c>
      <c r="E2424" s="1">
        <v>0.58333333333333337</v>
      </c>
      <c r="F2424" s="1">
        <v>0.6479166666666667</v>
      </c>
      <c r="G2424" s="9">
        <f t="shared" si="244"/>
        <v>45684</v>
      </c>
      <c r="H2424" s="11">
        <f t="shared" si="245"/>
        <v>1.6</v>
      </c>
      <c r="I2424" s="10">
        <f t="shared" si="246"/>
        <v>6.8000000000000007</v>
      </c>
      <c r="J2424" s="10">
        <f t="shared" si="247"/>
        <v>7.2</v>
      </c>
      <c r="K2424" s="10">
        <f t="shared" si="248"/>
        <v>21.3</v>
      </c>
      <c r="L2424" s="10">
        <f t="shared" si="249"/>
        <v>151.29999999999998</v>
      </c>
    </row>
    <row r="2425" spans="1:12" x14ac:dyDescent="0.25">
      <c r="A2425" s="7">
        <v>45687</v>
      </c>
      <c r="B2425" t="s">
        <v>598</v>
      </c>
      <c r="C2425" s="6">
        <v>6004</v>
      </c>
      <c r="D2425" s="5" t="s">
        <v>107</v>
      </c>
      <c r="E2425" s="1">
        <v>0.35486111111111113</v>
      </c>
      <c r="F2425" s="1">
        <v>0.41666666666666669</v>
      </c>
      <c r="G2425" s="9">
        <f t="shared" si="244"/>
        <v>45684</v>
      </c>
      <c r="H2425" s="11">
        <f t="shared" si="245"/>
        <v>1.5</v>
      </c>
      <c r="I2425" s="10">
        <f t="shared" si="246"/>
        <v>1.5</v>
      </c>
      <c r="J2425" s="10">
        <f t="shared" si="247"/>
        <v>7.2</v>
      </c>
      <c r="K2425" s="10">
        <f t="shared" si="248"/>
        <v>22.8</v>
      </c>
      <c r="L2425" s="10">
        <f t="shared" si="249"/>
        <v>152.80000000000001</v>
      </c>
    </row>
    <row r="2426" spans="1:12" x14ac:dyDescent="0.25">
      <c r="A2426" s="7">
        <v>45687</v>
      </c>
      <c r="B2426" s="2" t="s">
        <v>464</v>
      </c>
      <c r="C2426" s="6">
        <v>2431</v>
      </c>
      <c r="D2426" s="5" t="s">
        <v>750</v>
      </c>
      <c r="E2426" s="1">
        <v>0.41666666666666669</v>
      </c>
      <c r="F2426" s="1">
        <v>0.58333333333333337</v>
      </c>
      <c r="G2426" s="9">
        <f t="shared" si="244"/>
        <v>45684</v>
      </c>
      <c r="H2426" s="11">
        <f t="shared" si="245"/>
        <v>4</v>
      </c>
      <c r="I2426" s="10">
        <f t="shared" si="246"/>
        <v>5.5</v>
      </c>
      <c r="J2426" s="10">
        <f t="shared" si="247"/>
        <v>7.2</v>
      </c>
      <c r="K2426" s="10">
        <f t="shared" si="248"/>
        <v>26.8</v>
      </c>
      <c r="L2426" s="10">
        <f t="shared" si="249"/>
        <v>156.80000000000001</v>
      </c>
    </row>
    <row r="2427" spans="1:12" x14ac:dyDescent="0.25">
      <c r="A2427" s="7">
        <v>45687</v>
      </c>
      <c r="B2427" t="s">
        <v>6</v>
      </c>
      <c r="C2427" s="6" t="s">
        <v>416</v>
      </c>
      <c r="D2427" s="5" t="s">
        <v>71</v>
      </c>
      <c r="E2427" s="1">
        <v>0.58333333333333337</v>
      </c>
      <c r="F2427" s="1">
        <v>0.60972222222222228</v>
      </c>
      <c r="G2427" s="9">
        <f t="shared" si="244"/>
        <v>45684</v>
      </c>
      <c r="H2427" s="11">
        <f t="shared" si="245"/>
        <v>0.6</v>
      </c>
      <c r="I2427" s="10">
        <f t="shared" si="246"/>
        <v>6.1</v>
      </c>
      <c r="J2427" s="10">
        <f t="shared" si="247"/>
        <v>7.2</v>
      </c>
      <c r="K2427" s="10">
        <f t="shared" si="248"/>
        <v>27.400000000000002</v>
      </c>
      <c r="L2427" s="10">
        <f t="shared" si="249"/>
        <v>157.4</v>
      </c>
    </row>
    <row r="2428" spans="1:12" x14ac:dyDescent="0.25">
      <c r="A2428" s="7">
        <v>45688</v>
      </c>
      <c r="B2428" t="s">
        <v>598</v>
      </c>
      <c r="C2428" s="6">
        <v>6004</v>
      </c>
      <c r="D2428" s="5" t="s">
        <v>760</v>
      </c>
      <c r="E2428" s="1">
        <v>0.35069444444444442</v>
      </c>
      <c r="F2428" s="1">
        <v>0.50208333333333333</v>
      </c>
      <c r="G2428" s="9">
        <f>IF(E2428&gt;0,INT((A2428-2)/7)*7+2,"")</f>
        <v>45684</v>
      </c>
      <c r="H2428" s="11">
        <f>IF(E2428&gt;0,ROUND(24*(IF(F2428&gt;0,F2428,NowTime)-E2428),1),"")</f>
        <v>3.6</v>
      </c>
      <c r="I2428" s="10">
        <f>IF(H2428="",H2428,H2428+IF(A2428=A2427,_xlfn.NUMBERVALUE(I2427),0))</f>
        <v>3.6</v>
      </c>
      <c r="J2428" s="10">
        <f>IF(H2428="",H2428,7.2)</f>
        <v>7.2</v>
      </c>
      <c r="K2428" s="10">
        <f>IF(H2428="",H2428,H2428+IF(G2428=G2427,_xlfn.NUMBERVALUE(K2427),0))</f>
        <v>31</v>
      </c>
      <c r="L2428" s="10">
        <f>IF(H2428="",H2428,H2428+IF(MONTH(A2428)=MONTH(A2427),_xlfn.NUMBERVALUE(L2427),0))</f>
        <v>161</v>
      </c>
    </row>
    <row r="2429" spans="1:12" x14ac:dyDescent="0.25">
      <c r="A2429" s="7">
        <v>45688</v>
      </c>
      <c r="B2429" t="s">
        <v>598</v>
      </c>
      <c r="C2429" s="6">
        <v>6004</v>
      </c>
      <c r="D2429" s="5" t="s">
        <v>760</v>
      </c>
      <c r="E2429" s="1">
        <v>0.52013888888888893</v>
      </c>
      <c r="F2429" s="1">
        <v>0.63472222222222219</v>
      </c>
      <c r="G2429" s="9">
        <f t="shared" ref="G2429:G2492" si="250">IF(E2429&gt;0,INT((A2429-2)/7)*7+2,"")</f>
        <v>45684</v>
      </c>
      <c r="H2429" s="11">
        <f t="shared" ref="H2429:H2492" si="251">IF(E2429&gt;0,ROUND(24*(IF(F2429&gt;0,F2429,NowTime)-E2429),1),"")</f>
        <v>2.8</v>
      </c>
      <c r="I2429" s="10">
        <f t="shared" ref="I2429:I2492" si="252">IF(H2429="",H2429,H2429+IF(A2429=A2428,_xlfn.NUMBERVALUE(I2428),0))</f>
        <v>6.4</v>
      </c>
      <c r="J2429" s="10">
        <f t="shared" ref="J2429:J2492" si="253">IF(H2429="",H2429,7.2)</f>
        <v>7.2</v>
      </c>
      <c r="K2429" s="10">
        <f t="shared" ref="K2429:K2492" si="254">IF(H2429="",H2429,H2429+IF(G2429=G2428,_xlfn.NUMBERVALUE(K2428),0))</f>
        <v>33.799999999999997</v>
      </c>
      <c r="L2429" s="10">
        <f t="shared" ref="L2429:L2492" si="255">IF(H2429="",H2429,H2429+IF(MONTH(A2429)=MONTH(A2428),_xlfn.NUMBERVALUE(L2428),0))</f>
        <v>163.80000000000001</v>
      </c>
    </row>
    <row r="2430" spans="1:12" x14ac:dyDescent="0.25">
      <c r="A2430" s="7">
        <v>45691</v>
      </c>
      <c r="B2430" t="s">
        <v>6</v>
      </c>
      <c r="C2430" s="6" t="s">
        <v>416</v>
      </c>
      <c r="D2430" s="5" t="s">
        <v>414</v>
      </c>
      <c r="E2430" s="1">
        <v>0.32708333333333334</v>
      </c>
      <c r="F2430" s="1">
        <v>0.50555555555555554</v>
      </c>
      <c r="G2430" s="9">
        <f t="shared" si="250"/>
        <v>45691</v>
      </c>
      <c r="H2430" s="11">
        <f t="shared" si="251"/>
        <v>4.3</v>
      </c>
      <c r="I2430" s="10">
        <f t="shared" si="252"/>
        <v>4.3</v>
      </c>
      <c r="J2430" s="10">
        <f t="shared" si="253"/>
        <v>7.2</v>
      </c>
      <c r="K2430" s="10">
        <f t="shared" si="254"/>
        <v>4.3</v>
      </c>
      <c r="L2430" s="10">
        <f t="shared" si="255"/>
        <v>4.3</v>
      </c>
    </row>
    <row r="2431" spans="1:12" x14ac:dyDescent="0.25">
      <c r="A2431" s="7">
        <v>45691</v>
      </c>
      <c r="B2431" t="s">
        <v>6</v>
      </c>
      <c r="C2431" s="6" t="s">
        <v>416</v>
      </c>
      <c r="D2431" s="5" t="s">
        <v>414</v>
      </c>
      <c r="E2431" s="1">
        <v>0.52986111111111112</v>
      </c>
      <c r="F2431" s="1">
        <v>0.54166666666666663</v>
      </c>
      <c r="G2431" s="9">
        <f t="shared" si="250"/>
        <v>45691</v>
      </c>
      <c r="H2431" s="11">
        <f t="shared" si="251"/>
        <v>0.3</v>
      </c>
      <c r="I2431" s="10">
        <f t="shared" si="252"/>
        <v>4.5999999999999996</v>
      </c>
      <c r="J2431" s="10">
        <f t="shared" si="253"/>
        <v>7.2</v>
      </c>
      <c r="K2431" s="10">
        <f t="shared" si="254"/>
        <v>4.5999999999999996</v>
      </c>
      <c r="L2431" s="10">
        <f t="shared" si="255"/>
        <v>4.5999999999999996</v>
      </c>
    </row>
    <row r="2432" spans="1:12" x14ac:dyDescent="0.25">
      <c r="A2432" s="7">
        <v>45691</v>
      </c>
      <c r="B2432" t="s">
        <v>6</v>
      </c>
      <c r="C2432" s="6" t="s">
        <v>416</v>
      </c>
      <c r="D2432" s="5" t="s">
        <v>58</v>
      </c>
      <c r="E2432" s="1">
        <v>0.54166666666666663</v>
      </c>
      <c r="F2432" s="1">
        <v>0.58333333333333337</v>
      </c>
      <c r="G2432" s="9">
        <f t="shared" si="250"/>
        <v>45691</v>
      </c>
      <c r="H2432" s="11">
        <f t="shared" si="251"/>
        <v>1</v>
      </c>
      <c r="I2432" s="10">
        <f t="shared" si="252"/>
        <v>5.6</v>
      </c>
      <c r="J2432" s="10">
        <f t="shared" si="253"/>
        <v>7.2</v>
      </c>
      <c r="K2432" s="10">
        <f t="shared" si="254"/>
        <v>5.6</v>
      </c>
      <c r="L2432" s="10">
        <f t="shared" si="255"/>
        <v>5.6</v>
      </c>
    </row>
    <row r="2433" spans="1:12" x14ac:dyDescent="0.25">
      <c r="A2433" s="7">
        <v>45691</v>
      </c>
      <c r="B2433" s="2" t="s">
        <v>464</v>
      </c>
      <c r="C2433" s="6">
        <v>2431</v>
      </c>
      <c r="D2433" s="5" t="s">
        <v>750</v>
      </c>
      <c r="E2433" s="1">
        <v>0.58333333333333337</v>
      </c>
      <c r="F2433" s="1">
        <v>0.61597222222222225</v>
      </c>
      <c r="G2433" s="9">
        <f t="shared" si="250"/>
        <v>45691</v>
      </c>
      <c r="H2433" s="11">
        <f t="shared" si="251"/>
        <v>0.8</v>
      </c>
      <c r="I2433" s="10">
        <f t="shared" si="252"/>
        <v>6.3999999999999995</v>
      </c>
      <c r="J2433" s="10">
        <f t="shared" si="253"/>
        <v>7.2</v>
      </c>
      <c r="K2433" s="10">
        <f t="shared" si="254"/>
        <v>6.3999999999999995</v>
      </c>
      <c r="L2433" s="10">
        <f t="shared" si="255"/>
        <v>6.3999999999999995</v>
      </c>
    </row>
    <row r="2434" spans="1:12" x14ac:dyDescent="0.25">
      <c r="A2434" s="7">
        <v>45691</v>
      </c>
      <c r="B2434" t="s">
        <v>6</v>
      </c>
      <c r="C2434" s="6" t="s">
        <v>416</v>
      </c>
      <c r="D2434" s="5" t="s">
        <v>414</v>
      </c>
      <c r="E2434" s="1">
        <v>0.61597222222222225</v>
      </c>
      <c r="F2434" s="1">
        <v>0.67013888888888884</v>
      </c>
      <c r="G2434" s="9">
        <f t="shared" si="250"/>
        <v>45691</v>
      </c>
      <c r="H2434" s="11">
        <f t="shared" si="251"/>
        <v>1.3</v>
      </c>
      <c r="I2434" s="10">
        <f t="shared" si="252"/>
        <v>7.7</v>
      </c>
      <c r="J2434" s="10">
        <f t="shared" si="253"/>
        <v>7.2</v>
      </c>
      <c r="K2434" s="10">
        <f t="shared" si="254"/>
        <v>7.7</v>
      </c>
      <c r="L2434" s="10">
        <f t="shared" si="255"/>
        <v>7.7</v>
      </c>
    </row>
    <row r="2435" spans="1:12" x14ac:dyDescent="0.25">
      <c r="A2435" s="7">
        <v>45692</v>
      </c>
      <c r="B2435" t="s">
        <v>598</v>
      </c>
      <c r="C2435" s="6">
        <v>6004</v>
      </c>
      <c r="D2435" s="5" t="s">
        <v>760</v>
      </c>
      <c r="E2435" s="1">
        <v>0.31805555555555554</v>
      </c>
      <c r="F2435" s="1">
        <v>0.48125000000000001</v>
      </c>
      <c r="G2435" s="9">
        <f t="shared" si="250"/>
        <v>45691</v>
      </c>
      <c r="H2435" s="11">
        <f t="shared" si="251"/>
        <v>3.9</v>
      </c>
      <c r="I2435" s="10">
        <f t="shared" si="252"/>
        <v>3.9</v>
      </c>
      <c r="J2435" s="10">
        <f t="shared" si="253"/>
        <v>7.2</v>
      </c>
      <c r="K2435" s="10">
        <f t="shared" si="254"/>
        <v>11.6</v>
      </c>
      <c r="L2435" s="10">
        <f t="shared" si="255"/>
        <v>11.6</v>
      </c>
    </row>
    <row r="2436" spans="1:12" x14ac:dyDescent="0.25">
      <c r="A2436" s="7">
        <v>45692</v>
      </c>
      <c r="B2436" t="s">
        <v>598</v>
      </c>
      <c r="C2436" s="6">
        <v>6004</v>
      </c>
      <c r="D2436" s="5" t="s">
        <v>760</v>
      </c>
      <c r="E2436" s="1">
        <v>0.50624999999999998</v>
      </c>
      <c r="F2436" s="1">
        <v>0.6479166666666667</v>
      </c>
      <c r="G2436" s="9">
        <f t="shared" si="250"/>
        <v>45691</v>
      </c>
      <c r="H2436" s="11">
        <f t="shared" si="251"/>
        <v>3.4</v>
      </c>
      <c r="I2436" s="10">
        <f t="shared" si="252"/>
        <v>7.3</v>
      </c>
      <c r="J2436" s="10">
        <f t="shared" si="253"/>
        <v>7.2</v>
      </c>
      <c r="K2436" s="10">
        <f t="shared" si="254"/>
        <v>15</v>
      </c>
      <c r="L2436" s="10">
        <f t="shared" si="255"/>
        <v>15</v>
      </c>
    </row>
    <row r="2437" spans="1:12" x14ac:dyDescent="0.25">
      <c r="A2437" s="7">
        <v>45693</v>
      </c>
      <c r="B2437" t="s">
        <v>598</v>
      </c>
      <c r="C2437" s="6">
        <v>6004</v>
      </c>
      <c r="D2437" s="5" t="s">
        <v>760</v>
      </c>
      <c r="E2437" s="1">
        <v>0.3347222222222222</v>
      </c>
      <c r="F2437" s="1">
        <v>0.43611111111111112</v>
      </c>
      <c r="G2437" s="9">
        <f t="shared" si="250"/>
        <v>45691</v>
      </c>
      <c r="H2437" s="11">
        <f t="shared" si="251"/>
        <v>2.4</v>
      </c>
      <c r="I2437" s="10">
        <f t="shared" si="252"/>
        <v>2.4</v>
      </c>
      <c r="J2437" s="10">
        <f t="shared" si="253"/>
        <v>7.2</v>
      </c>
      <c r="K2437" s="10">
        <f t="shared" si="254"/>
        <v>17.399999999999999</v>
      </c>
      <c r="L2437" s="10">
        <f t="shared" si="255"/>
        <v>17.399999999999999</v>
      </c>
    </row>
    <row r="2438" spans="1:12" x14ac:dyDescent="0.25">
      <c r="A2438" s="7">
        <v>45693</v>
      </c>
      <c r="B2438" s="2" t="s">
        <v>464</v>
      </c>
      <c r="C2438" s="6">
        <v>2431</v>
      </c>
      <c r="D2438" s="5" t="s">
        <v>750</v>
      </c>
      <c r="E2438" s="1">
        <v>0.43611111111111112</v>
      </c>
      <c r="F2438" s="1">
        <v>0.46597222222222223</v>
      </c>
      <c r="G2438" s="9">
        <f t="shared" si="250"/>
        <v>45691</v>
      </c>
      <c r="H2438" s="11">
        <f t="shared" si="251"/>
        <v>0.7</v>
      </c>
      <c r="I2438" s="10">
        <f t="shared" si="252"/>
        <v>3.0999999999999996</v>
      </c>
      <c r="J2438" s="10">
        <f t="shared" si="253"/>
        <v>7.2</v>
      </c>
      <c r="K2438" s="10">
        <f t="shared" si="254"/>
        <v>18.099999999999998</v>
      </c>
      <c r="L2438" s="10">
        <f t="shared" si="255"/>
        <v>18.099999999999998</v>
      </c>
    </row>
    <row r="2439" spans="1:12" x14ac:dyDescent="0.25">
      <c r="A2439" s="7">
        <v>45693</v>
      </c>
      <c r="B2439" t="s">
        <v>598</v>
      </c>
      <c r="C2439" s="6">
        <v>6004</v>
      </c>
      <c r="D2439" s="5" t="s">
        <v>760</v>
      </c>
      <c r="E2439" s="1">
        <v>0.46597222222222223</v>
      </c>
      <c r="F2439" s="1">
        <v>0.48958333333333331</v>
      </c>
      <c r="G2439" s="9">
        <f t="shared" si="250"/>
        <v>45691</v>
      </c>
      <c r="H2439" s="11">
        <f t="shared" si="251"/>
        <v>0.6</v>
      </c>
      <c r="I2439" s="10">
        <f t="shared" si="252"/>
        <v>3.7</v>
      </c>
      <c r="J2439" s="10">
        <f t="shared" si="253"/>
        <v>7.2</v>
      </c>
      <c r="K2439" s="10">
        <f t="shared" si="254"/>
        <v>18.700000000000003</v>
      </c>
      <c r="L2439" s="10">
        <f t="shared" si="255"/>
        <v>18.700000000000003</v>
      </c>
    </row>
    <row r="2440" spans="1:12" x14ac:dyDescent="0.25">
      <c r="A2440" s="7">
        <v>45693</v>
      </c>
      <c r="B2440" t="s">
        <v>598</v>
      </c>
      <c r="C2440" s="6">
        <v>6004</v>
      </c>
      <c r="D2440" s="5" t="s">
        <v>760</v>
      </c>
      <c r="E2440" s="1">
        <v>0.50486111111111109</v>
      </c>
      <c r="F2440" s="1">
        <v>0.62361111111111112</v>
      </c>
      <c r="G2440" s="9">
        <f t="shared" si="250"/>
        <v>45691</v>
      </c>
      <c r="H2440" s="11">
        <f t="shared" si="251"/>
        <v>2.9</v>
      </c>
      <c r="I2440" s="10">
        <f t="shared" si="252"/>
        <v>6.6</v>
      </c>
      <c r="J2440" s="10">
        <f t="shared" si="253"/>
        <v>7.2</v>
      </c>
      <c r="K2440" s="10">
        <f t="shared" si="254"/>
        <v>21.599999999999998</v>
      </c>
      <c r="L2440" s="10">
        <f t="shared" si="255"/>
        <v>21.599999999999998</v>
      </c>
    </row>
    <row r="2441" spans="1:12" x14ac:dyDescent="0.25">
      <c r="A2441" s="7">
        <v>45694</v>
      </c>
      <c r="B2441" t="s">
        <v>7</v>
      </c>
      <c r="C2441" s="6" t="s">
        <v>22</v>
      </c>
      <c r="D2441" s="2" t="s">
        <v>529</v>
      </c>
      <c r="E2441" s="1">
        <v>0.40972222222222227</v>
      </c>
      <c r="F2441" s="1">
        <v>0.70833333333333337</v>
      </c>
      <c r="G2441" s="9">
        <f t="shared" si="250"/>
        <v>45691</v>
      </c>
      <c r="H2441" s="11">
        <f t="shared" si="251"/>
        <v>7.2</v>
      </c>
      <c r="I2441" s="10">
        <f t="shared" si="252"/>
        <v>7.2</v>
      </c>
      <c r="J2441" s="10">
        <f t="shared" si="253"/>
        <v>7.2</v>
      </c>
      <c r="K2441" s="10">
        <f t="shared" si="254"/>
        <v>28.8</v>
      </c>
      <c r="L2441" s="10">
        <f t="shared" si="255"/>
        <v>28.8</v>
      </c>
    </row>
    <row r="2442" spans="1:12" x14ac:dyDescent="0.25">
      <c r="A2442" s="7">
        <v>45695</v>
      </c>
      <c r="B2442" t="s">
        <v>598</v>
      </c>
      <c r="C2442" s="6">
        <v>6004</v>
      </c>
      <c r="D2442" s="5" t="s">
        <v>760</v>
      </c>
      <c r="E2442" s="1">
        <v>0.3</v>
      </c>
      <c r="F2442" s="1">
        <v>0.375</v>
      </c>
      <c r="G2442" s="9">
        <f t="shared" si="250"/>
        <v>45691</v>
      </c>
      <c r="H2442" s="11">
        <f t="shared" si="251"/>
        <v>1.8</v>
      </c>
      <c r="I2442" s="10">
        <f t="shared" si="252"/>
        <v>1.8</v>
      </c>
      <c r="J2442" s="10">
        <f t="shared" si="253"/>
        <v>7.2</v>
      </c>
      <c r="K2442" s="10">
        <f t="shared" si="254"/>
        <v>30.6</v>
      </c>
      <c r="L2442" s="10">
        <f t="shared" si="255"/>
        <v>30.6</v>
      </c>
    </row>
    <row r="2443" spans="1:12" x14ac:dyDescent="0.25">
      <c r="A2443" s="7">
        <v>45695</v>
      </c>
      <c r="B2443" s="2" t="s">
        <v>838</v>
      </c>
      <c r="C2443" s="6">
        <v>6185</v>
      </c>
      <c r="D2443" s="5" t="s">
        <v>762</v>
      </c>
      <c r="E2443" s="1">
        <v>0.375</v>
      </c>
      <c r="F2443" s="1">
        <v>0.49375000000000002</v>
      </c>
      <c r="G2443" s="9">
        <f t="shared" si="250"/>
        <v>45691</v>
      </c>
      <c r="H2443" s="11">
        <f t="shared" si="251"/>
        <v>2.9</v>
      </c>
      <c r="I2443" s="10">
        <f t="shared" si="252"/>
        <v>4.7</v>
      </c>
      <c r="J2443" s="10">
        <f t="shared" si="253"/>
        <v>7.2</v>
      </c>
      <c r="K2443" s="10">
        <f t="shared" si="254"/>
        <v>33.5</v>
      </c>
      <c r="L2443" s="10">
        <f t="shared" si="255"/>
        <v>33.5</v>
      </c>
    </row>
    <row r="2444" spans="1:12" x14ac:dyDescent="0.25">
      <c r="A2444" s="7">
        <v>45695</v>
      </c>
      <c r="B2444" t="s">
        <v>598</v>
      </c>
      <c r="C2444" s="6">
        <v>6004</v>
      </c>
      <c r="D2444" s="5" t="s">
        <v>760</v>
      </c>
      <c r="E2444" s="1">
        <v>0.57499999999999996</v>
      </c>
      <c r="F2444" s="1">
        <v>0.625</v>
      </c>
      <c r="G2444" s="9">
        <f t="shared" si="250"/>
        <v>45691</v>
      </c>
      <c r="H2444" s="11">
        <f t="shared" si="251"/>
        <v>1.2</v>
      </c>
      <c r="I2444" s="10">
        <f t="shared" si="252"/>
        <v>5.9</v>
      </c>
      <c r="J2444" s="10">
        <f t="shared" si="253"/>
        <v>7.2</v>
      </c>
      <c r="K2444" s="10">
        <f t="shared" si="254"/>
        <v>34.700000000000003</v>
      </c>
      <c r="L2444" s="10">
        <f t="shared" si="255"/>
        <v>34.700000000000003</v>
      </c>
    </row>
    <row r="2445" spans="1:12" x14ac:dyDescent="0.25">
      <c r="A2445" s="7">
        <v>45695</v>
      </c>
      <c r="B2445" t="s">
        <v>6</v>
      </c>
      <c r="C2445" s="6" t="s">
        <v>416</v>
      </c>
      <c r="D2445" s="5" t="s">
        <v>259</v>
      </c>
      <c r="E2445" s="1">
        <v>0.625</v>
      </c>
      <c r="F2445" s="1">
        <v>0.65972222222222221</v>
      </c>
      <c r="G2445" s="9">
        <f t="shared" si="250"/>
        <v>45691</v>
      </c>
      <c r="H2445" s="11">
        <f t="shared" si="251"/>
        <v>0.8</v>
      </c>
      <c r="I2445" s="10">
        <f t="shared" si="252"/>
        <v>6.7</v>
      </c>
      <c r="J2445" s="10">
        <f t="shared" si="253"/>
        <v>7.2</v>
      </c>
      <c r="K2445" s="10">
        <f t="shared" si="254"/>
        <v>35.5</v>
      </c>
      <c r="L2445" s="10">
        <f t="shared" si="255"/>
        <v>35.5</v>
      </c>
    </row>
    <row r="2446" spans="1:12" x14ac:dyDescent="0.25">
      <c r="A2446" s="7">
        <v>45698</v>
      </c>
      <c r="B2446" t="s">
        <v>598</v>
      </c>
      <c r="C2446" s="6">
        <v>6004</v>
      </c>
      <c r="D2446" s="5" t="s">
        <v>760</v>
      </c>
      <c r="E2446" s="1">
        <v>0.29652777777777778</v>
      </c>
      <c r="F2446" s="1">
        <v>0.375</v>
      </c>
      <c r="G2446" s="9">
        <f t="shared" si="250"/>
        <v>45698</v>
      </c>
      <c r="H2446" s="11">
        <f t="shared" si="251"/>
        <v>1.9</v>
      </c>
      <c r="I2446" s="10">
        <f t="shared" si="252"/>
        <v>1.9</v>
      </c>
      <c r="J2446" s="10">
        <f t="shared" si="253"/>
        <v>7.2</v>
      </c>
      <c r="K2446" s="10">
        <f t="shared" si="254"/>
        <v>1.9</v>
      </c>
      <c r="L2446" s="10">
        <f t="shared" si="255"/>
        <v>37.4</v>
      </c>
    </row>
    <row r="2447" spans="1:12" x14ac:dyDescent="0.25">
      <c r="A2447" s="7">
        <v>45698</v>
      </c>
      <c r="B2447" s="2" t="s">
        <v>464</v>
      </c>
      <c r="C2447" s="6">
        <v>2431</v>
      </c>
      <c r="D2447" s="5" t="s">
        <v>750</v>
      </c>
      <c r="E2447" s="1">
        <v>0.375</v>
      </c>
      <c r="F2447" s="1">
        <v>0.42152777777777778</v>
      </c>
      <c r="G2447" s="9">
        <f t="shared" si="250"/>
        <v>45698</v>
      </c>
      <c r="H2447" s="11">
        <f t="shared" si="251"/>
        <v>1.1000000000000001</v>
      </c>
      <c r="I2447" s="10">
        <f t="shared" si="252"/>
        <v>3</v>
      </c>
      <c r="J2447" s="10">
        <f t="shared" si="253"/>
        <v>7.2</v>
      </c>
      <c r="K2447" s="10">
        <f t="shared" si="254"/>
        <v>3</v>
      </c>
      <c r="L2447" s="10">
        <f t="shared" si="255"/>
        <v>38.5</v>
      </c>
    </row>
    <row r="2448" spans="1:12" x14ac:dyDescent="0.25">
      <c r="A2448" s="7">
        <v>45698</v>
      </c>
      <c r="B2448" t="s">
        <v>598</v>
      </c>
      <c r="C2448" s="6">
        <v>6004</v>
      </c>
      <c r="D2448" s="5" t="s">
        <v>760</v>
      </c>
      <c r="E2448" s="1">
        <v>0.42152777777777778</v>
      </c>
      <c r="F2448" s="1">
        <v>0.47638888888888886</v>
      </c>
      <c r="G2448" s="9">
        <f t="shared" si="250"/>
        <v>45698</v>
      </c>
      <c r="H2448" s="11">
        <f t="shared" si="251"/>
        <v>1.3</v>
      </c>
      <c r="I2448" s="10">
        <f t="shared" si="252"/>
        <v>4.3</v>
      </c>
      <c r="J2448" s="10">
        <f t="shared" si="253"/>
        <v>7.2</v>
      </c>
      <c r="K2448" s="10">
        <f t="shared" si="254"/>
        <v>4.3</v>
      </c>
      <c r="L2448" s="10">
        <f t="shared" si="255"/>
        <v>39.799999999999997</v>
      </c>
    </row>
    <row r="2449" spans="1:12" x14ac:dyDescent="0.25">
      <c r="A2449" s="7">
        <v>45698</v>
      </c>
      <c r="B2449" t="s">
        <v>598</v>
      </c>
      <c r="C2449" s="6">
        <v>6004</v>
      </c>
      <c r="D2449" s="5" t="s">
        <v>760</v>
      </c>
      <c r="E2449" s="1">
        <v>0.50208333333333333</v>
      </c>
      <c r="F2449" s="1">
        <v>0.5625</v>
      </c>
      <c r="G2449" s="9">
        <f t="shared" si="250"/>
        <v>45698</v>
      </c>
      <c r="H2449" s="11">
        <f t="shared" si="251"/>
        <v>1.5</v>
      </c>
      <c r="I2449" s="10">
        <f t="shared" si="252"/>
        <v>5.8</v>
      </c>
      <c r="J2449" s="10">
        <f t="shared" si="253"/>
        <v>7.2</v>
      </c>
      <c r="K2449" s="10">
        <f t="shared" si="254"/>
        <v>5.8</v>
      </c>
      <c r="L2449" s="10">
        <f t="shared" si="255"/>
        <v>41.3</v>
      </c>
    </row>
    <row r="2450" spans="1:12" x14ac:dyDescent="0.25">
      <c r="A2450" s="7">
        <v>45698</v>
      </c>
      <c r="B2450" t="s">
        <v>598</v>
      </c>
      <c r="C2450" s="6">
        <v>6004</v>
      </c>
      <c r="D2450" s="5" t="s">
        <v>44</v>
      </c>
      <c r="E2450" s="1">
        <v>0.5625</v>
      </c>
      <c r="F2450" s="1">
        <v>0.60416666666666663</v>
      </c>
      <c r="G2450" s="9">
        <f t="shared" si="250"/>
        <v>45698</v>
      </c>
      <c r="H2450" s="11">
        <f t="shared" si="251"/>
        <v>1</v>
      </c>
      <c r="I2450" s="10">
        <f t="shared" si="252"/>
        <v>6.8</v>
      </c>
      <c r="J2450" s="10">
        <f t="shared" si="253"/>
        <v>7.2</v>
      </c>
      <c r="K2450" s="10">
        <f t="shared" si="254"/>
        <v>6.8</v>
      </c>
      <c r="L2450" s="10">
        <f t="shared" si="255"/>
        <v>42.3</v>
      </c>
    </row>
    <row r="2451" spans="1:12" x14ac:dyDescent="0.25">
      <c r="A2451" s="7">
        <v>45698</v>
      </c>
      <c r="B2451" t="s">
        <v>598</v>
      </c>
      <c r="C2451" s="6">
        <v>6004</v>
      </c>
      <c r="D2451" s="5" t="s">
        <v>760</v>
      </c>
      <c r="E2451" s="1">
        <v>0.60416666666666663</v>
      </c>
      <c r="F2451" s="1">
        <v>0.625</v>
      </c>
      <c r="G2451" s="9">
        <f t="shared" si="250"/>
        <v>45698</v>
      </c>
      <c r="H2451" s="11">
        <f t="shared" si="251"/>
        <v>0.5</v>
      </c>
      <c r="I2451" s="10">
        <f t="shared" si="252"/>
        <v>7.3</v>
      </c>
      <c r="J2451" s="10">
        <f t="shared" si="253"/>
        <v>7.2</v>
      </c>
      <c r="K2451" s="10">
        <f t="shared" si="254"/>
        <v>7.3</v>
      </c>
      <c r="L2451" s="10">
        <f t="shared" si="255"/>
        <v>42.8</v>
      </c>
    </row>
    <row r="2452" spans="1:12" x14ac:dyDescent="0.25">
      <c r="A2452" s="7">
        <v>45698</v>
      </c>
      <c r="B2452" s="2" t="s">
        <v>464</v>
      </c>
      <c r="C2452" s="6">
        <v>2431</v>
      </c>
      <c r="D2452" s="5" t="s">
        <v>750</v>
      </c>
      <c r="E2452" s="1">
        <v>0.625</v>
      </c>
      <c r="F2452" s="1">
        <v>0.66041666666666665</v>
      </c>
      <c r="G2452" s="9">
        <f t="shared" si="250"/>
        <v>45698</v>
      </c>
      <c r="H2452" s="11">
        <f t="shared" si="251"/>
        <v>0.9</v>
      </c>
      <c r="I2452" s="10">
        <f t="shared" si="252"/>
        <v>8.1999999999999993</v>
      </c>
      <c r="J2452" s="10">
        <f t="shared" si="253"/>
        <v>7.2</v>
      </c>
      <c r="K2452" s="10">
        <f t="shared" si="254"/>
        <v>8.1999999999999993</v>
      </c>
      <c r="L2452" s="10">
        <f t="shared" si="255"/>
        <v>43.699999999999996</v>
      </c>
    </row>
    <row r="2453" spans="1:12" x14ac:dyDescent="0.25">
      <c r="A2453" s="7">
        <v>45698</v>
      </c>
      <c r="B2453" t="s">
        <v>598</v>
      </c>
      <c r="C2453" s="6">
        <v>6004</v>
      </c>
      <c r="D2453" s="5" t="s">
        <v>760</v>
      </c>
      <c r="E2453" s="1">
        <v>0.66041666666666665</v>
      </c>
      <c r="F2453" s="1">
        <v>0.66597222222222219</v>
      </c>
      <c r="G2453" s="9">
        <f t="shared" si="250"/>
        <v>45698</v>
      </c>
      <c r="H2453" s="11">
        <f t="shared" si="251"/>
        <v>0.1</v>
      </c>
      <c r="I2453" s="10">
        <f t="shared" si="252"/>
        <v>8.2999999999999989</v>
      </c>
      <c r="J2453" s="10">
        <f t="shared" si="253"/>
        <v>7.2</v>
      </c>
      <c r="K2453" s="10">
        <f t="shared" si="254"/>
        <v>8.2999999999999989</v>
      </c>
      <c r="L2453" s="10">
        <f t="shared" si="255"/>
        <v>43.800000000000004</v>
      </c>
    </row>
    <row r="2454" spans="1:12" x14ac:dyDescent="0.25">
      <c r="A2454" s="7">
        <v>45699</v>
      </c>
      <c r="B2454" t="s">
        <v>598</v>
      </c>
      <c r="C2454" s="6">
        <v>6004</v>
      </c>
      <c r="D2454" s="5" t="s">
        <v>760</v>
      </c>
      <c r="E2454" s="1">
        <v>0.33194444444444443</v>
      </c>
      <c r="F2454" s="1">
        <v>0.48402777777777778</v>
      </c>
      <c r="G2454" s="9">
        <f t="shared" si="250"/>
        <v>45698</v>
      </c>
      <c r="H2454" s="11">
        <f t="shared" si="251"/>
        <v>3.7</v>
      </c>
      <c r="I2454" s="10">
        <f t="shared" si="252"/>
        <v>3.7</v>
      </c>
      <c r="J2454" s="10">
        <f t="shared" si="253"/>
        <v>7.2</v>
      </c>
      <c r="K2454" s="10">
        <f t="shared" si="254"/>
        <v>12</v>
      </c>
      <c r="L2454" s="10">
        <f t="shared" si="255"/>
        <v>47.5</v>
      </c>
    </row>
    <row r="2455" spans="1:12" x14ac:dyDescent="0.25">
      <c r="A2455" s="7">
        <v>45699</v>
      </c>
      <c r="B2455" t="s">
        <v>598</v>
      </c>
      <c r="C2455" s="6">
        <v>6004</v>
      </c>
      <c r="D2455" s="5" t="s">
        <v>760</v>
      </c>
      <c r="E2455" s="1">
        <v>0.50208333333333333</v>
      </c>
      <c r="F2455" s="1">
        <v>0.60138888888888886</v>
      </c>
      <c r="G2455" s="9">
        <f t="shared" si="250"/>
        <v>45698</v>
      </c>
      <c r="H2455" s="11">
        <f t="shared" si="251"/>
        <v>2.4</v>
      </c>
      <c r="I2455" s="10">
        <f t="shared" si="252"/>
        <v>6.1</v>
      </c>
      <c r="J2455" s="10">
        <f t="shared" si="253"/>
        <v>7.2</v>
      </c>
      <c r="K2455" s="10">
        <f t="shared" si="254"/>
        <v>14.4</v>
      </c>
      <c r="L2455" s="10">
        <f t="shared" si="255"/>
        <v>49.9</v>
      </c>
    </row>
    <row r="2456" spans="1:12" x14ac:dyDescent="0.25">
      <c r="A2456" s="7">
        <v>45700</v>
      </c>
      <c r="B2456" t="s">
        <v>598</v>
      </c>
      <c r="C2456" s="6">
        <v>6004</v>
      </c>
      <c r="D2456" s="5" t="s">
        <v>760</v>
      </c>
      <c r="E2456" s="1">
        <v>0.33333333333333331</v>
      </c>
      <c r="F2456" s="1">
        <v>0.38680555555555557</v>
      </c>
      <c r="G2456" s="9">
        <f t="shared" si="250"/>
        <v>45698</v>
      </c>
      <c r="H2456" s="11">
        <f t="shared" si="251"/>
        <v>1.3</v>
      </c>
      <c r="I2456" s="10">
        <f t="shared" si="252"/>
        <v>1.3</v>
      </c>
      <c r="J2456" s="10">
        <f t="shared" si="253"/>
        <v>7.2</v>
      </c>
      <c r="K2456" s="10">
        <f t="shared" si="254"/>
        <v>15.700000000000001</v>
      </c>
      <c r="L2456" s="10">
        <f t="shared" si="255"/>
        <v>51.199999999999996</v>
      </c>
    </row>
    <row r="2457" spans="1:12" x14ac:dyDescent="0.25">
      <c r="A2457" s="7">
        <v>45700</v>
      </c>
      <c r="B2457" s="2" t="s">
        <v>551</v>
      </c>
      <c r="C2457" s="6">
        <v>6184</v>
      </c>
      <c r="D2457" s="5" t="s">
        <v>219</v>
      </c>
      <c r="E2457" s="1">
        <v>0.38680555555555557</v>
      </c>
      <c r="F2457" s="1">
        <v>0.50763888888888886</v>
      </c>
      <c r="G2457" s="9">
        <f t="shared" si="250"/>
        <v>45698</v>
      </c>
      <c r="H2457" s="11">
        <f t="shared" si="251"/>
        <v>2.9</v>
      </c>
      <c r="I2457" s="10">
        <f t="shared" si="252"/>
        <v>4.2</v>
      </c>
      <c r="J2457" s="10">
        <f t="shared" si="253"/>
        <v>7.2</v>
      </c>
      <c r="K2457" s="10">
        <f t="shared" si="254"/>
        <v>18.599999999999998</v>
      </c>
      <c r="L2457" s="10">
        <f t="shared" si="255"/>
        <v>54.1</v>
      </c>
    </row>
    <row r="2458" spans="1:12" x14ac:dyDescent="0.25">
      <c r="A2458" s="7">
        <v>45700</v>
      </c>
      <c r="B2458" s="2" t="s">
        <v>551</v>
      </c>
      <c r="C2458" s="6">
        <v>6184</v>
      </c>
      <c r="D2458" s="5" t="s">
        <v>219</v>
      </c>
      <c r="E2458" s="1">
        <v>0.52777777777777779</v>
      </c>
      <c r="F2458" s="1">
        <v>0.54166666666666663</v>
      </c>
      <c r="G2458" s="9">
        <f t="shared" si="250"/>
        <v>45698</v>
      </c>
      <c r="H2458" s="11">
        <f t="shared" si="251"/>
        <v>0.3</v>
      </c>
      <c r="I2458" s="10">
        <f t="shared" si="252"/>
        <v>4.5</v>
      </c>
      <c r="J2458" s="10">
        <f t="shared" si="253"/>
        <v>7.2</v>
      </c>
      <c r="K2458" s="10">
        <f t="shared" si="254"/>
        <v>18.900000000000002</v>
      </c>
      <c r="L2458" s="10">
        <f t="shared" si="255"/>
        <v>54.4</v>
      </c>
    </row>
    <row r="2459" spans="1:12" x14ac:dyDescent="0.25">
      <c r="A2459" s="7">
        <v>45700</v>
      </c>
      <c r="B2459" t="s">
        <v>6</v>
      </c>
      <c r="C2459" s="6" t="s">
        <v>416</v>
      </c>
      <c r="D2459" s="5" t="s">
        <v>553</v>
      </c>
      <c r="E2459" s="1">
        <v>0.54166666666666663</v>
      </c>
      <c r="F2459" s="1">
        <v>0.58333333333333337</v>
      </c>
      <c r="G2459" s="9">
        <f t="shared" si="250"/>
        <v>45698</v>
      </c>
      <c r="H2459" s="11">
        <f t="shared" si="251"/>
        <v>1</v>
      </c>
      <c r="I2459" s="10">
        <f t="shared" si="252"/>
        <v>5.5</v>
      </c>
      <c r="J2459" s="10">
        <f t="shared" si="253"/>
        <v>7.2</v>
      </c>
      <c r="K2459" s="10">
        <f t="shared" si="254"/>
        <v>19.899999999999999</v>
      </c>
      <c r="L2459" s="10">
        <f t="shared" si="255"/>
        <v>55.4</v>
      </c>
    </row>
    <row r="2460" spans="1:12" x14ac:dyDescent="0.25">
      <c r="A2460" s="7">
        <v>45700</v>
      </c>
      <c r="B2460" s="2" t="s">
        <v>551</v>
      </c>
      <c r="C2460" s="6">
        <v>6184</v>
      </c>
      <c r="D2460" s="5" t="s">
        <v>44</v>
      </c>
      <c r="E2460" s="1">
        <v>0.58333333333333337</v>
      </c>
      <c r="F2460" s="1">
        <v>0.625</v>
      </c>
      <c r="G2460" s="9">
        <f t="shared" si="250"/>
        <v>45698</v>
      </c>
      <c r="H2460" s="11">
        <f t="shared" si="251"/>
        <v>1</v>
      </c>
      <c r="I2460" s="10">
        <f t="shared" si="252"/>
        <v>6.5</v>
      </c>
      <c r="J2460" s="10">
        <f t="shared" si="253"/>
        <v>7.2</v>
      </c>
      <c r="K2460" s="10">
        <f t="shared" si="254"/>
        <v>20.9</v>
      </c>
      <c r="L2460" s="10">
        <f t="shared" si="255"/>
        <v>56.4</v>
      </c>
    </row>
    <row r="2461" spans="1:12" x14ac:dyDescent="0.25">
      <c r="A2461" s="7">
        <v>45700</v>
      </c>
      <c r="B2461" s="2" t="s">
        <v>551</v>
      </c>
      <c r="C2461" s="6">
        <v>6184</v>
      </c>
      <c r="D2461" s="5" t="s">
        <v>763</v>
      </c>
      <c r="E2461" s="1">
        <v>0.625</v>
      </c>
      <c r="F2461" s="1">
        <v>0.6430555555555556</v>
      </c>
      <c r="G2461" s="9">
        <f t="shared" si="250"/>
        <v>45698</v>
      </c>
      <c r="H2461" s="11">
        <f t="shared" si="251"/>
        <v>0.4</v>
      </c>
      <c r="I2461" s="10">
        <f t="shared" si="252"/>
        <v>6.9</v>
      </c>
      <c r="J2461" s="10">
        <f t="shared" si="253"/>
        <v>7.2</v>
      </c>
      <c r="K2461" s="10">
        <f t="shared" si="254"/>
        <v>21.299999999999997</v>
      </c>
      <c r="L2461" s="10">
        <f t="shared" si="255"/>
        <v>56.8</v>
      </c>
    </row>
    <row r="2462" spans="1:12" x14ac:dyDescent="0.25">
      <c r="A2462" s="7">
        <v>45701</v>
      </c>
      <c r="B2462" s="2" t="s">
        <v>551</v>
      </c>
      <c r="C2462" s="6">
        <v>6184</v>
      </c>
      <c r="D2462" s="5" t="s">
        <v>752</v>
      </c>
      <c r="E2462" s="1">
        <v>0.35625000000000001</v>
      </c>
      <c r="F2462" s="1">
        <v>0.50902777777777775</v>
      </c>
      <c r="G2462" s="9">
        <f t="shared" si="250"/>
        <v>45698</v>
      </c>
      <c r="H2462" s="11">
        <f t="shared" si="251"/>
        <v>3.7</v>
      </c>
      <c r="I2462" s="10">
        <f t="shared" si="252"/>
        <v>3.7</v>
      </c>
      <c r="J2462" s="10">
        <f t="shared" si="253"/>
        <v>7.2</v>
      </c>
      <c r="K2462" s="10">
        <f t="shared" si="254"/>
        <v>25</v>
      </c>
      <c r="L2462" s="10">
        <f t="shared" si="255"/>
        <v>60.5</v>
      </c>
    </row>
    <row r="2463" spans="1:12" x14ac:dyDescent="0.25">
      <c r="A2463" s="7">
        <v>45701</v>
      </c>
      <c r="B2463" s="2" t="s">
        <v>551</v>
      </c>
      <c r="C2463" s="6">
        <v>6184</v>
      </c>
      <c r="D2463" s="5" t="s">
        <v>752</v>
      </c>
      <c r="E2463" s="1">
        <v>0.52361111111111114</v>
      </c>
      <c r="F2463" s="1">
        <v>0.61319444444444449</v>
      </c>
      <c r="G2463" s="9">
        <f t="shared" si="250"/>
        <v>45698</v>
      </c>
      <c r="H2463" s="11">
        <f t="shared" si="251"/>
        <v>2.2000000000000002</v>
      </c>
      <c r="I2463" s="10">
        <f t="shared" si="252"/>
        <v>5.9</v>
      </c>
      <c r="J2463" s="10">
        <f t="shared" si="253"/>
        <v>7.2</v>
      </c>
      <c r="K2463" s="10">
        <f t="shared" si="254"/>
        <v>27.2</v>
      </c>
      <c r="L2463" s="10">
        <f t="shared" si="255"/>
        <v>62.7</v>
      </c>
    </row>
    <row r="2464" spans="1:12" x14ac:dyDescent="0.25">
      <c r="A2464" s="7">
        <v>45701</v>
      </c>
      <c r="B2464" t="s">
        <v>6</v>
      </c>
      <c r="C2464" s="6" t="s">
        <v>416</v>
      </c>
      <c r="D2464" s="5" t="s">
        <v>764</v>
      </c>
      <c r="E2464" s="1">
        <v>0.61319444444444449</v>
      </c>
      <c r="F2464" s="1">
        <v>0.68472222222222223</v>
      </c>
      <c r="G2464" s="9">
        <f t="shared" si="250"/>
        <v>45698</v>
      </c>
      <c r="H2464" s="11">
        <f t="shared" si="251"/>
        <v>1.7</v>
      </c>
      <c r="I2464" s="10">
        <f t="shared" si="252"/>
        <v>7.6000000000000005</v>
      </c>
      <c r="J2464" s="10">
        <f t="shared" si="253"/>
        <v>7.2</v>
      </c>
      <c r="K2464" s="10">
        <f t="shared" si="254"/>
        <v>28.9</v>
      </c>
      <c r="L2464" s="10">
        <f t="shared" si="255"/>
        <v>64.400000000000006</v>
      </c>
    </row>
    <row r="2465" spans="1:12" x14ac:dyDescent="0.25">
      <c r="A2465" s="7">
        <v>45702</v>
      </c>
      <c r="B2465" t="s">
        <v>6</v>
      </c>
      <c r="C2465" s="6" t="s">
        <v>416</v>
      </c>
      <c r="D2465" s="5" t="s">
        <v>764</v>
      </c>
      <c r="E2465" s="1">
        <v>0.31666666666666665</v>
      </c>
      <c r="F2465" s="1">
        <v>0.35347222222222224</v>
      </c>
      <c r="G2465" s="9">
        <f t="shared" si="250"/>
        <v>45698</v>
      </c>
      <c r="H2465" s="11">
        <f t="shared" si="251"/>
        <v>0.9</v>
      </c>
      <c r="I2465" s="10">
        <f t="shared" si="252"/>
        <v>0.9</v>
      </c>
      <c r="J2465" s="10">
        <f t="shared" si="253"/>
        <v>7.2</v>
      </c>
      <c r="K2465" s="10">
        <f t="shared" si="254"/>
        <v>29.799999999999997</v>
      </c>
      <c r="L2465" s="10">
        <f t="shared" si="255"/>
        <v>65.300000000000011</v>
      </c>
    </row>
    <row r="2466" spans="1:12" x14ac:dyDescent="0.25">
      <c r="A2466" s="7">
        <v>45702</v>
      </c>
      <c r="B2466" t="s">
        <v>6</v>
      </c>
      <c r="C2466" s="6" t="s">
        <v>416</v>
      </c>
      <c r="D2466" s="5" t="s">
        <v>765</v>
      </c>
      <c r="E2466" s="1">
        <v>0.35347222222222224</v>
      </c>
      <c r="F2466" s="1">
        <v>0.48749999999999999</v>
      </c>
      <c r="G2466" s="9">
        <f t="shared" si="250"/>
        <v>45698</v>
      </c>
      <c r="H2466" s="11">
        <f t="shared" si="251"/>
        <v>3.2</v>
      </c>
      <c r="I2466" s="10">
        <f t="shared" si="252"/>
        <v>4.1000000000000005</v>
      </c>
      <c r="J2466" s="10">
        <f t="shared" si="253"/>
        <v>7.2</v>
      </c>
      <c r="K2466" s="10">
        <f t="shared" si="254"/>
        <v>33</v>
      </c>
      <c r="L2466" s="10">
        <f t="shared" si="255"/>
        <v>68.5</v>
      </c>
    </row>
    <row r="2467" spans="1:12" x14ac:dyDescent="0.25">
      <c r="A2467" s="7">
        <v>45702</v>
      </c>
      <c r="B2467" t="s">
        <v>6</v>
      </c>
      <c r="C2467" s="6" t="s">
        <v>416</v>
      </c>
      <c r="D2467" s="5" t="s">
        <v>351</v>
      </c>
      <c r="E2467" s="1">
        <v>0.52777777777777779</v>
      </c>
      <c r="F2467" s="1">
        <v>0.5708333333333333</v>
      </c>
      <c r="G2467" s="9">
        <f t="shared" si="250"/>
        <v>45698</v>
      </c>
      <c r="H2467" s="11">
        <f t="shared" si="251"/>
        <v>1</v>
      </c>
      <c r="I2467" s="10">
        <f t="shared" si="252"/>
        <v>5.0999999999999996</v>
      </c>
      <c r="J2467" s="10">
        <f t="shared" si="253"/>
        <v>7.2</v>
      </c>
      <c r="K2467" s="10">
        <f t="shared" si="254"/>
        <v>34</v>
      </c>
      <c r="L2467" s="10">
        <f t="shared" si="255"/>
        <v>69.5</v>
      </c>
    </row>
    <row r="2468" spans="1:12" x14ac:dyDescent="0.25">
      <c r="A2468" s="7">
        <v>45705</v>
      </c>
      <c r="B2468" s="2" t="s">
        <v>551</v>
      </c>
      <c r="C2468" s="6">
        <v>6184</v>
      </c>
      <c r="D2468" s="5" t="s">
        <v>495</v>
      </c>
      <c r="E2468" s="1">
        <v>0.31527777777777777</v>
      </c>
      <c r="F2468" s="1">
        <v>0.47222222222222221</v>
      </c>
      <c r="G2468" s="9">
        <f t="shared" si="250"/>
        <v>45705</v>
      </c>
      <c r="H2468" s="11">
        <f t="shared" si="251"/>
        <v>3.8</v>
      </c>
      <c r="I2468" s="10">
        <f t="shared" si="252"/>
        <v>3.8</v>
      </c>
      <c r="J2468" s="10">
        <f t="shared" si="253"/>
        <v>7.2</v>
      </c>
      <c r="K2468" s="10">
        <f t="shared" si="254"/>
        <v>3.8</v>
      </c>
      <c r="L2468" s="10">
        <f t="shared" si="255"/>
        <v>73.3</v>
      </c>
    </row>
    <row r="2469" spans="1:12" x14ac:dyDescent="0.25">
      <c r="A2469" s="7">
        <v>45705</v>
      </c>
      <c r="B2469" s="2" t="s">
        <v>551</v>
      </c>
      <c r="C2469" s="6">
        <v>6184</v>
      </c>
      <c r="D2469" s="5" t="s">
        <v>495</v>
      </c>
      <c r="E2469" s="1">
        <v>0.49861111111111112</v>
      </c>
      <c r="F2469" s="1">
        <v>0.64027777777777772</v>
      </c>
      <c r="G2469" s="9">
        <f t="shared" si="250"/>
        <v>45705</v>
      </c>
      <c r="H2469" s="11">
        <f t="shared" si="251"/>
        <v>3.4</v>
      </c>
      <c r="I2469" s="10">
        <f t="shared" si="252"/>
        <v>7.1999999999999993</v>
      </c>
      <c r="J2469" s="10">
        <f t="shared" si="253"/>
        <v>7.2</v>
      </c>
      <c r="K2469" s="10">
        <f t="shared" si="254"/>
        <v>7.1999999999999993</v>
      </c>
      <c r="L2469" s="10">
        <f t="shared" si="255"/>
        <v>76.7</v>
      </c>
    </row>
    <row r="2470" spans="1:12" x14ac:dyDescent="0.25">
      <c r="A2470" s="7">
        <v>45706</v>
      </c>
      <c r="B2470" s="2" t="s">
        <v>551</v>
      </c>
      <c r="C2470" s="6">
        <v>6184</v>
      </c>
      <c r="D2470" s="5" t="s">
        <v>766</v>
      </c>
      <c r="E2470" s="1">
        <v>0.35694444444444445</v>
      </c>
      <c r="F2470" s="1">
        <v>0.47291666666666665</v>
      </c>
      <c r="G2470" s="9">
        <f t="shared" si="250"/>
        <v>45705</v>
      </c>
      <c r="H2470" s="11">
        <f t="shared" si="251"/>
        <v>2.8</v>
      </c>
      <c r="I2470" s="10">
        <f t="shared" si="252"/>
        <v>2.8</v>
      </c>
      <c r="J2470" s="10">
        <f t="shared" si="253"/>
        <v>7.2</v>
      </c>
      <c r="K2470" s="10">
        <f t="shared" si="254"/>
        <v>10</v>
      </c>
      <c r="L2470" s="10">
        <f t="shared" si="255"/>
        <v>79.5</v>
      </c>
    </row>
    <row r="2471" spans="1:12" x14ac:dyDescent="0.25">
      <c r="A2471" s="7">
        <v>45706</v>
      </c>
      <c r="B2471" s="2" t="s">
        <v>551</v>
      </c>
      <c r="C2471" s="6">
        <v>6184</v>
      </c>
      <c r="D2471" s="5" t="s">
        <v>766</v>
      </c>
      <c r="E2471" s="1">
        <v>0.49791666666666667</v>
      </c>
      <c r="F2471" s="1">
        <v>0.66180555555555554</v>
      </c>
      <c r="G2471" s="9">
        <f t="shared" si="250"/>
        <v>45705</v>
      </c>
      <c r="H2471" s="11">
        <f t="shared" si="251"/>
        <v>3.9</v>
      </c>
      <c r="I2471" s="10">
        <f t="shared" si="252"/>
        <v>6.6999999999999993</v>
      </c>
      <c r="J2471" s="10">
        <f t="shared" si="253"/>
        <v>7.2</v>
      </c>
      <c r="K2471" s="10">
        <f t="shared" si="254"/>
        <v>13.9</v>
      </c>
      <c r="L2471" s="10">
        <f t="shared" si="255"/>
        <v>83.4</v>
      </c>
    </row>
    <row r="2472" spans="1:12" x14ac:dyDescent="0.25">
      <c r="A2472" s="7">
        <v>45707</v>
      </c>
      <c r="B2472" t="s">
        <v>6</v>
      </c>
      <c r="C2472" s="6" t="s">
        <v>416</v>
      </c>
      <c r="D2472" s="5" t="s">
        <v>414</v>
      </c>
      <c r="E2472" s="1">
        <v>0.3215277777777778</v>
      </c>
      <c r="F2472" s="1">
        <v>0.5</v>
      </c>
      <c r="G2472" s="9">
        <f t="shared" si="250"/>
        <v>45705</v>
      </c>
      <c r="H2472" s="11">
        <f t="shared" si="251"/>
        <v>4.3</v>
      </c>
      <c r="I2472" s="10">
        <f t="shared" si="252"/>
        <v>4.3</v>
      </c>
      <c r="J2472" s="10">
        <f t="shared" si="253"/>
        <v>7.2</v>
      </c>
      <c r="K2472" s="10">
        <f t="shared" si="254"/>
        <v>18.2</v>
      </c>
      <c r="L2472" s="10">
        <f t="shared" si="255"/>
        <v>87.7</v>
      </c>
    </row>
    <row r="2473" spans="1:12" x14ac:dyDescent="0.25">
      <c r="A2473" s="7">
        <v>45707</v>
      </c>
      <c r="B2473" t="s">
        <v>6</v>
      </c>
      <c r="C2473" s="6" t="s">
        <v>416</v>
      </c>
      <c r="D2473" s="5" t="s">
        <v>767</v>
      </c>
      <c r="E2473" s="1">
        <v>0.5</v>
      </c>
      <c r="F2473" s="1">
        <v>0.54722222222222228</v>
      </c>
      <c r="G2473" s="9">
        <f t="shared" si="250"/>
        <v>45705</v>
      </c>
      <c r="H2473" s="11">
        <f t="shared" si="251"/>
        <v>1.1000000000000001</v>
      </c>
      <c r="I2473" s="10">
        <f t="shared" si="252"/>
        <v>5.4</v>
      </c>
      <c r="J2473" s="10">
        <f t="shared" si="253"/>
        <v>7.2</v>
      </c>
      <c r="K2473" s="10">
        <f t="shared" si="254"/>
        <v>19.3</v>
      </c>
      <c r="L2473" s="10">
        <f t="shared" si="255"/>
        <v>88.8</v>
      </c>
    </row>
    <row r="2474" spans="1:12" x14ac:dyDescent="0.25">
      <c r="A2474" s="7">
        <v>45707</v>
      </c>
      <c r="B2474" t="s">
        <v>6</v>
      </c>
      <c r="C2474" s="6" t="s">
        <v>416</v>
      </c>
      <c r="D2474" s="5" t="s">
        <v>768</v>
      </c>
      <c r="E2474" s="1">
        <v>0.55833333333333335</v>
      </c>
      <c r="F2474" s="1">
        <v>0.66666666666666663</v>
      </c>
      <c r="G2474" s="9">
        <f t="shared" si="250"/>
        <v>45705</v>
      </c>
      <c r="H2474" s="11">
        <f t="shared" si="251"/>
        <v>2.6</v>
      </c>
      <c r="I2474" s="10">
        <f t="shared" si="252"/>
        <v>8</v>
      </c>
      <c r="J2474" s="10">
        <f t="shared" si="253"/>
        <v>7.2</v>
      </c>
      <c r="K2474" s="10">
        <f t="shared" si="254"/>
        <v>21.900000000000002</v>
      </c>
      <c r="L2474" s="10">
        <f t="shared" si="255"/>
        <v>91.399999999999991</v>
      </c>
    </row>
    <row r="2475" spans="1:12" x14ac:dyDescent="0.25">
      <c r="A2475" s="7">
        <v>45707</v>
      </c>
      <c r="B2475" s="2" t="s">
        <v>551</v>
      </c>
      <c r="C2475" s="6">
        <v>6184</v>
      </c>
      <c r="D2475" s="5" t="s">
        <v>769</v>
      </c>
      <c r="E2475" s="1">
        <v>0.66666666666666663</v>
      </c>
      <c r="F2475" s="1">
        <v>0.68125000000000002</v>
      </c>
      <c r="G2475" s="9">
        <f t="shared" si="250"/>
        <v>45705</v>
      </c>
      <c r="H2475" s="11">
        <f t="shared" si="251"/>
        <v>0.4</v>
      </c>
      <c r="I2475" s="10">
        <f t="shared" si="252"/>
        <v>8.4</v>
      </c>
      <c r="J2475" s="10">
        <f t="shared" si="253"/>
        <v>7.2</v>
      </c>
      <c r="K2475" s="10">
        <f t="shared" si="254"/>
        <v>22.299999999999997</v>
      </c>
      <c r="L2475" s="10">
        <f t="shared" si="255"/>
        <v>91.800000000000011</v>
      </c>
    </row>
    <row r="2476" spans="1:12" x14ac:dyDescent="0.25">
      <c r="A2476" s="7">
        <v>45708</v>
      </c>
      <c r="B2476" t="s">
        <v>6</v>
      </c>
      <c r="C2476" s="6" t="s">
        <v>416</v>
      </c>
      <c r="D2476" s="5" t="s">
        <v>771</v>
      </c>
      <c r="E2476" s="1">
        <v>0.36249999999999999</v>
      </c>
      <c r="F2476" s="1">
        <v>0.49652777777777779</v>
      </c>
      <c r="G2476" s="9">
        <f t="shared" si="250"/>
        <v>45705</v>
      </c>
      <c r="H2476" s="11">
        <f t="shared" si="251"/>
        <v>3.2</v>
      </c>
      <c r="I2476" s="10">
        <f t="shared" si="252"/>
        <v>3.2</v>
      </c>
      <c r="J2476" s="10">
        <f t="shared" si="253"/>
        <v>7.2</v>
      </c>
      <c r="K2476" s="10">
        <f t="shared" si="254"/>
        <v>25.5</v>
      </c>
      <c r="L2476" s="10">
        <f t="shared" si="255"/>
        <v>95</v>
      </c>
    </row>
    <row r="2477" spans="1:12" x14ac:dyDescent="0.25">
      <c r="A2477" s="7">
        <v>45708</v>
      </c>
      <c r="B2477" s="2" t="s">
        <v>551</v>
      </c>
      <c r="C2477" s="6">
        <v>6184</v>
      </c>
      <c r="D2477" s="5" t="s">
        <v>770</v>
      </c>
      <c r="E2477" s="1">
        <v>0.51111111111111107</v>
      </c>
      <c r="F2477" s="1">
        <v>0.6118055555555556</v>
      </c>
      <c r="G2477" s="9">
        <f t="shared" si="250"/>
        <v>45705</v>
      </c>
      <c r="H2477" s="11">
        <f t="shared" si="251"/>
        <v>2.4</v>
      </c>
      <c r="I2477" s="10">
        <f t="shared" si="252"/>
        <v>5.6</v>
      </c>
      <c r="J2477" s="10">
        <f t="shared" si="253"/>
        <v>7.2</v>
      </c>
      <c r="K2477" s="10">
        <f t="shared" si="254"/>
        <v>27.9</v>
      </c>
      <c r="L2477" s="10">
        <f t="shared" si="255"/>
        <v>97.4</v>
      </c>
    </row>
    <row r="2478" spans="1:12" x14ac:dyDescent="0.25">
      <c r="A2478" s="7">
        <v>45709</v>
      </c>
      <c r="B2478" t="s">
        <v>598</v>
      </c>
      <c r="C2478" s="6">
        <v>6004</v>
      </c>
      <c r="D2478" s="5" t="s">
        <v>760</v>
      </c>
      <c r="E2478" s="1">
        <v>0.34305555555555556</v>
      </c>
      <c r="F2478" s="1">
        <v>0.45833333333333331</v>
      </c>
      <c r="G2478" s="9">
        <f t="shared" si="250"/>
        <v>45705</v>
      </c>
      <c r="H2478" s="11">
        <f t="shared" si="251"/>
        <v>2.8</v>
      </c>
      <c r="I2478" s="10">
        <f t="shared" si="252"/>
        <v>2.8</v>
      </c>
      <c r="J2478" s="10">
        <f t="shared" si="253"/>
        <v>7.2</v>
      </c>
      <c r="K2478" s="10">
        <f t="shared" si="254"/>
        <v>30.7</v>
      </c>
      <c r="L2478" s="10">
        <f t="shared" si="255"/>
        <v>100.2</v>
      </c>
    </row>
    <row r="2479" spans="1:12" x14ac:dyDescent="0.25">
      <c r="A2479" s="7">
        <v>45709</v>
      </c>
      <c r="B2479" t="s">
        <v>598</v>
      </c>
      <c r="C2479" s="6">
        <v>6004</v>
      </c>
      <c r="D2479" s="5" t="s">
        <v>44</v>
      </c>
      <c r="E2479" s="1">
        <v>0.45833333333333331</v>
      </c>
      <c r="F2479" s="1">
        <v>0.5</v>
      </c>
      <c r="G2479" s="9">
        <f t="shared" si="250"/>
        <v>45705</v>
      </c>
      <c r="H2479" s="11">
        <f t="shared" si="251"/>
        <v>1</v>
      </c>
      <c r="I2479" s="10">
        <f t="shared" si="252"/>
        <v>3.8</v>
      </c>
      <c r="J2479" s="10">
        <f t="shared" si="253"/>
        <v>7.2</v>
      </c>
      <c r="K2479" s="10">
        <f t="shared" si="254"/>
        <v>31.7</v>
      </c>
      <c r="L2479" s="10">
        <f t="shared" si="255"/>
        <v>101.2</v>
      </c>
    </row>
    <row r="2480" spans="1:12" x14ac:dyDescent="0.25">
      <c r="A2480" s="7">
        <v>45709</v>
      </c>
      <c r="B2480" t="s">
        <v>598</v>
      </c>
      <c r="C2480" s="6">
        <v>6004</v>
      </c>
      <c r="D2480" s="5" t="s">
        <v>760</v>
      </c>
      <c r="E2480" s="1">
        <v>0.5</v>
      </c>
      <c r="F2480" s="1">
        <v>0.625</v>
      </c>
      <c r="G2480" s="9">
        <f t="shared" si="250"/>
        <v>45705</v>
      </c>
      <c r="H2480" s="11">
        <f t="shared" si="251"/>
        <v>3</v>
      </c>
      <c r="I2480" s="10">
        <f t="shared" si="252"/>
        <v>6.8</v>
      </c>
      <c r="J2480" s="10">
        <f t="shared" si="253"/>
        <v>7.2</v>
      </c>
      <c r="K2480" s="10">
        <f t="shared" si="254"/>
        <v>34.700000000000003</v>
      </c>
      <c r="L2480" s="10">
        <f t="shared" si="255"/>
        <v>104.2</v>
      </c>
    </row>
    <row r="2481" spans="1:12" x14ac:dyDescent="0.25">
      <c r="A2481" s="7">
        <v>45709</v>
      </c>
      <c r="B2481" s="2" t="s">
        <v>579</v>
      </c>
      <c r="C2481" s="6">
        <v>2682</v>
      </c>
      <c r="D2481" s="5" t="s">
        <v>44</v>
      </c>
      <c r="E2481" s="1">
        <v>0.625</v>
      </c>
      <c r="F2481" s="1">
        <v>0.68055555555555558</v>
      </c>
      <c r="G2481" s="9">
        <f t="shared" si="250"/>
        <v>45705</v>
      </c>
      <c r="H2481" s="11">
        <f t="shared" si="251"/>
        <v>1.3</v>
      </c>
      <c r="I2481" s="10">
        <f t="shared" si="252"/>
        <v>8.1</v>
      </c>
      <c r="J2481" s="10">
        <f t="shared" si="253"/>
        <v>7.2</v>
      </c>
      <c r="K2481" s="10">
        <f t="shared" si="254"/>
        <v>36</v>
      </c>
      <c r="L2481" s="10">
        <f t="shared" si="255"/>
        <v>105.5</v>
      </c>
    </row>
    <row r="2482" spans="1:12" x14ac:dyDescent="0.25">
      <c r="A2482" s="7">
        <v>45712</v>
      </c>
      <c r="B2482" s="2" t="s">
        <v>838</v>
      </c>
      <c r="C2482" s="6">
        <v>6185</v>
      </c>
      <c r="D2482" s="5" t="s">
        <v>772</v>
      </c>
      <c r="E2482" s="1">
        <v>0.32916666666666666</v>
      </c>
      <c r="F2482" s="1">
        <v>0.47013888888888888</v>
      </c>
      <c r="G2482" s="9">
        <f t="shared" si="250"/>
        <v>45712</v>
      </c>
      <c r="H2482" s="11">
        <f t="shared" si="251"/>
        <v>3.4</v>
      </c>
      <c r="I2482" s="10">
        <f t="shared" si="252"/>
        <v>3.4</v>
      </c>
      <c r="J2482" s="10">
        <f t="shared" si="253"/>
        <v>7.2</v>
      </c>
      <c r="K2482" s="10">
        <f t="shared" si="254"/>
        <v>3.4</v>
      </c>
      <c r="L2482" s="10">
        <f t="shared" si="255"/>
        <v>108.9</v>
      </c>
    </row>
    <row r="2483" spans="1:12" x14ac:dyDescent="0.25">
      <c r="A2483" s="7">
        <v>45712</v>
      </c>
      <c r="B2483" s="2" t="s">
        <v>838</v>
      </c>
      <c r="C2483" s="6">
        <v>6185</v>
      </c>
      <c r="D2483" s="5" t="s">
        <v>772</v>
      </c>
      <c r="E2483" s="1">
        <v>0.49166666666666664</v>
      </c>
      <c r="F2483" s="1">
        <v>0.51597222222222228</v>
      </c>
      <c r="G2483" s="9">
        <f t="shared" si="250"/>
        <v>45712</v>
      </c>
      <c r="H2483" s="11">
        <f t="shared" si="251"/>
        <v>0.6</v>
      </c>
      <c r="I2483" s="10">
        <f t="shared" si="252"/>
        <v>4</v>
      </c>
      <c r="J2483" s="10">
        <f t="shared" si="253"/>
        <v>7.2</v>
      </c>
      <c r="K2483" s="10">
        <f t="shared" si="254"/>
        <v>4</v>
      </c>
      <c r="L2483" s="10">
        <f t="shared" si="255"/>
        <v>109.5</v>
      </c>
    </row>
    <row r="2484" spans="1:12" x14ac:dyDescent="0.25">
      <c r="A2484" s="7">
        <v>45712</v>
      </c>
      <c r="B2484" t="s">
        <v>598</v>
      </c>
      <c r="C2484" s="6">
        <v>6004</v>
      </c>
      <c r="D2484" s="5" t="s">
        <v>760</v>
      </c>
      <c r="E2484" s="1">
        <v>0.51597222222222228</v>
      </c>
      <c r="F2484" s="1">
        <v>0.61250000000000004</v>
      </c>
      <c r="G2484" s="9">
        <f t="shared" si="250"/>
        <v>45712</v>
      </c>
      <c r="H2484" s="11">
        <f t="shared" si="251"/>
        <v>2.2999999999999998</v>
      </c>
      <c r="I2484" s="10">
        <f t="shared" si="252"/>
        <v>6.3</v>
      </c>
      <c r="J2484" s="10">
        <f t="shared" si="253"/>
        <v>7.2</v>
      </c>
      <c r="K2484" s="10">
        <f t="shared" si="254"/>
        <v>6.3</v>
      </c>
      <c r="L2484" s="10">
        <f t="shared" si="255"/>
        <v>111.8</v>
      </c>
    </row>
    <row r="2485" spans="1:12" x14ac:dyDescent="0.25">
      <c r="A2485" s="7">
        <v>45713</v>
      </c>
      <c r="B2485" t="s">
        <v>598</v>
      </c>
      <c r="C2485" s="6">
        <v>6004</v>
      </c>
      <c r="D2485" s="5" t="s">
        <v>760</v>
      </c>
      <c r="E2485" s="1">
        <v>0.31666666666666665</v>
      </c>
      <c r="F2485" s="1">
        <v>0.47499999999999998</v>
      </c>
      <c r="G2485" s="9">
        <f t="shared" si="250"/>
        <v>45712</v>
      </c>
      <c r="H2485" s="11">
        <f t="shared" si="251"/>
        <v>3.8</v>
      </c>
      <c r="I2485" s="10">
        <f t="shared" si="252"/>
        <v>3.8</v>
      </c>
      <c r="J2485" s="10">
        <f t="shared" si="253"/>
        <v>7.2</v>
      </c>
      <c r="K2485" s="10">
        <f t="shared" si="254"/>
        <v>10.1</v>
      </c>
      <c r="L2485" s="10">
        <f t="shared" si="255"/>
        <v>115.6</v>
      </c>
    </row>
    <row r="2486" spans="1:12" x14ac:dyDescent="0.25">
      <c r="A2486" s="7">
        <v>45713</v>
      </c>
      <c r="B2486" s="2" t="s">
        <v>838</v>
      </c>
      <c r="C2486" s="6">
        <v>6185</v>
      </c>
      <c r="D2486" s="5" t="s">
        <v>772</v>
      </c>
      <c r="E2486" s="1">
        <v>0.47499999999999998</v>
      </c>
      <c r="F2486" s="1">
        <v>0.50277777777777777</v>
      </c>
      <c r="G2486" s="9">
        <f t="shared" si="250"/>
        <v>45712</v>
      </c>
      <c r="H2486" s="11">
        <f t="shared" si="251"/>
        <v>0.7</v>
      </c>
      <c r="I2486" s="10">
        <f t="shared" si="252"/>
        <v>4.5</v>
      </c>
      <c r="J2486" s="10">
        <f t="shared" si="253"/>
        <v>7.2</v>
      </c>
      <c r="K2486" s="10">
        <f t="shared" si="254"/>
        <v>10.799999999999999</v>
      </c>
      <c r="L2486" s="10">
        <f t="shared" si="255"/>
        <v>116.3</v>
      </c>
    </row>
    <row r="2487" spans="1:12" x14ac:dyDescent="0.25">
      <c r="A2487" s="7">
        <v>45713</v>
      </c>
      <c r="B2487" s="2" t="s">
        <v>838</v>
      </c>
      <c r="C2487" s="6">
        <v>6185</v>
      </c>
      <c r="D2487" s="5" t="s">
        <v>772</v>
      </c>
      <c r="E2487" s="1">
        <v>0.52152777777777781</v>
      </c>
      <c r="F2487" s="1">
        <v>0.65069444444444446</v>
      </c>
      <c r="G2487" s="9">
        <f t="shared" si="250"/>
        <v>45712</v>
      </c>
      <c r="H2487" s="11">
        <f t="shared" si="251"/>
        <v>3.1</v>
      </c>
      <c r="I2487" s="10">
        <f t="shared" si="252"/>
        <v>7.6</v>
      </c>
      <c r="J2487" s="10">
        <f t="shared" si="253"/>
        <v>7.2</v>
      </c>
      <c r="K2487" s="10">
        <f t="shared" si="254"/>
        <v>13.9</v>
      </c>
      <c r="L2487" s="10">
        <f t="shared" si="255"/>
        <v>119.39999999999999</v>
      </c>
    </row>
    <row r="2488" spans="1:12" x14ac:dyDescent="0.25">
      <c r="A2488" s="7">
        <v>45714</v>
      </c>
      <c r="B2488" s="2" t="s">
        <v>579</v>
      </c>
      <c r="C2488" s="6">
        <v>2682</v>
      </c>
      <c r="D2488" s="5" t="s">
        <v>90</v>
      </c>
      <c r="E2488" s="1">
        <v>0.33888888888888891</v>
      </c>
      <c r="F2488" s="1">
        <v>0.45833333333333331</v>
      </c>
      <c r="G2488" s="9">
        <f t="shared" si="250"/>
        <v>45712</v>
      </c>
      <c r="H2488" s="11">
        <f t="shared" si="251"/>
        <v>2.9</v>
      </c>
      <c r="I2488" s="10">
        <f t="shared" si="252"/>
        <v>2.9</v>
      </c>
      <c r="J2488" s="10">
        <f t="shared" si="253"/>
        <v>7.2</v>
      </c>
      <c r="K2488" s="10">
        <f t="shared" si="254"/>
        <v>16.8</v>
      </c>
      <c r="L2488" s="10">
        <f t="shared" si="255"/>
        <v>122.30000000000001</v>
      </c>
    </row>
    <row r="2489" spans="1:12" x14ac:dyDescent="0.25">
      <c r="A2489" s="7">
        <v>45714</v>
      </c>
      <c r="B2489" s="2" t="s">
        <v>464</v>
      </c>
      <c r="C2489" s="6">
        <v>2431</v>
      </c>
      <c r="D2489" s="5" t="s">
        <v>750</v>
      </c>
      <c r="E2489" s="1">
        <v>0.45833333333333331</v>
      </c>
      <c r="F2489" s="1">
        <v>0.48958333333333331</v>
      </c>
      <c r="G2489" s="9">
        <f t="shared" si="250"/>
        <v>45712</v>
      </c>
      <c r="H2489" s="11">
        <f t="shared" si="251"/>
        <v>0.8</v>
      </c>
      <c r="I2489" s="10">
        <f t="shared" si="252"/>
        <v>3.7</v>
      </c>
      <c r="J2489" s="10">
        <f t="shared" si="253"/>
        <v>7.2</v>
      </c>
      <c r="K2489" s="10">
        <f t="shared" si="254"/>
        <v>17.600000000000001</v>
      </c>
      <c r="L2489" s="10">
        <f t="shared" si="255"/>
        <v>123.1</v>
      </c>
    </row>
    <row r="2490" spans="1:12" x14ac:dyDescent="0.25">
      <c r="A2490" s="7">
        <v>45714</v>
      </c>
      <c r="B2490" t="s">
        <v>6</v>
      </c>
      <c r="C2490" s="6" t="s">
        <v>416</v>
      </c>
      <c r="D2490" s="5" t="s">
        <v>773</v>
      </c>
      <c r="E2490" s="1">
        <v>0.49861111111111112</v>
      </c>
      <c r="F2490" s="1">
        <v>0.55277777777777781</v>
      </c>
      <c r="G2490" s="9">
        <f t="shared" si="250"/>
        <v>45712</v>
      </c>
      <c r="H2490" s="11">
        <f t="shared" si="251"/>
        <v>1.3</v>
      </c>
      <c r="I2490" s="10">
        <f t="shared" si="252"/>
        <v>5</v>
      </c>
      <c r="J2490" s="10">
        <f t="shared" si="253"/>
        <v>7.2</v>
      </c>
      <c r="K2490" s="10">
        <f t="shared" si="254"/>
        <v>18.900000000000002</v>
      </c>
      <c r="L2490" s="10">
        <f t="shared" si="255"/>
        <v>124.39999999999999</v>
      </c>
    </row>
    <row r="2491" spans="1:12" x14ac:dyDescent="0.25">
      <c r="A2491" s="7">
        <v>45714</v>
      </c>
      <c r="B2491" t="s">
        <v>6</v>
      </c>
      <c r="C2491" s="6" t="s">
        <v>416</v>
      </c>
      <c r="D2491" s="5" t="s">
        <v>774</v>
      </c>
      <c r="E2491" s="1">
        <v>0.55277777777777781</v>
      </c>
      <c r="F2491" s="1">
        <v>0.625</v>
      </c>
      <c r="G2491" s="9">
        <f t="shared" si="250"/>
        <v>45712</v>
      </c>
      <c r="H2491" s="11">
        <f t="shared" si="251"/>
        <v>1.7</v>
      </c>
      <c r="I2491" s="10">
        <f t="shared" si="252"/>
        <v>6.7</v>
      </c>
      <c r="J2491" s="10">
        <f t="shared" si="253"/>
        <v>7.2</v>
      </c>
      <c r="K2491" s="10">
        <f t="shared" si="254"/>
        <v>20.599999999999998</v>
      </c>
      <c r="L2491" s="10">
        <f t="shared" si="255"/>
        <v>126.10000000000001</v>
      </c>
    </row>
    <row r="2492" spans="1:12" x14ac:dyDescent="0.25">
      <c r="A2492" s="7">
        <v>45714</v>
      </c>
      <c r="B2492" t="s">
        <v>6</v>
      </c>
      <c r="C2492" s="6" t="s">
        <v>416</v>
      </c>
      <c r="D2492" s="5" t="s">
        <v>58</v>
      </c>
      <c r="E2492" s="1">
        <v>0.625</v>
      </c>
      <c r="F2492" s="1">
        <v>0.64583333333333337</v>
      </c>
      <c r="G2492" s="9">
        <f t="shared" si="250"/>
        <v>45712</v>
      </c>
      <c r="H2492" s="11">
        <f t="shared" si="251"/>
        <v>0.5</v>
      </c>
      <c r="I2492" s="10">
        <f t="shared" si="252"/>
        <v>7.2</v>
      </c>
      <c r="J2492" s="10">
        <f t="shared" si="253"/>
        <v>7.2</v>
      </c>
      <c r="K2492" s="10">
        <f t="shared" si="254"/>
        <v>21.1</v>
      </c>
      <c r="L2492" s="10">
        <f t="shared" si="255"/>
        <v>126.6</v>
      </c>
    </row>
    <row r="2493" spans="1:12" x14ac:dyDescent="0.25">
      <c r="A2493" s="7">
        <v>45714</v>
      </c>
      <c r="B2493" s="2" t="s">
        <v>579</v>
      </c>
      <c r="C2493" s="6">
        <v>2682</v>
      </c>
      <c r="D2493" s="5" t="s">
        <v>90</v>
      </c>
      <c r="E2493" s="1">
        <v>0.64583333333333337</v>
      </c>
      <c r="F2493" s="1">
        <v>0.66319444444444442</v>
      </c>
      <c r="G2493" s="9">
        <f t="shared" ref="G2493:G2556" si="256">IF(E2493&gt;0,INT((A2493-2)/7)*7+2,"")</f>
        <v>45712</v>
      </c>
      <c r="H2493" s="11">
        <f t="shared" ref="H2493:H2556" si="257">IF(E2493&gt;0,ROUND(24*(IF(F2493&gt;0,F2493,NowTime)-E2493),1),"")</f>
        <v>0.4</v>
      </c>
      <c r="I2493" s="10">
        <f t="shared" ref="I2493:I2556" si="258">IF(H2493="",H2493,H2493+IF(A2493=A2492,_xlfn.NUMBERVALUE(I2492),0))</f>
        <v>7.6000000000000005</v>
      </c>
      <c r="J2493" s="10">
        <f t="shared" ref="J2493:J2556" si="259">IF(H2493="",H2493,7.2)</f>
        <v>7.2</v>
      </c>
      <c r="K2493" s="10">
        <f t="shared" ref="K2493:K2556" si="260">IF(H2493="",H2493,H2493+IF(G2493=G2492,_xlfn.NUMBERVALUE(K2492),0))</f>
        <v>21.5</v>
      </c>
      <c r="L2493" s="10">
        <f t="shared" ref="L2493:L2556" si="261">IF(H2493="",H2493,H2493+IF(MONTH(A2493)=MONTH(A2492),_xlfn.NUMBERVALUE(L2492),0))</f>
        <v>127</v>
      </c>
    </row>
    <row r="2494" spans="1:12" x14ac:dyDescent="0.25">
      <c r="A2494" s="7">
        <v>45715</v>
      </c>
      <c r="B2494" s="2" t="s">
        <v>579</v>
      </c>
      <c r="C2494" s="6">
        <v>2682</v>
      </c>
      <c r="D2494" s="5" t="s">
        <v>90</v>
      </c>
      <c r="E2494" s="1">
        <v>0.3347222222222222</v>
      </c>
      <c r="F2494" s="1">
        <v>0.46388888888888891</v>
      </c>
      <c r="G2494" s="9">
        <f t="shared" si="256"/>
        <v>45712</v>
      </c>
      <c r="H2494" s="11">
        <f t="shared" si="257"/>
        <v>3.1</v>
      </c>
      <c r="I2494" s="10">
        <f t="shared" si="258"/>
        <v>3.1</v>
      </c>
      <c r="J2494" s="10">
        <f t="shared" si="259"/>
        <v>7.2</v>
      </c>
      <c r="K2494" s="10">
        <f t="shared" si="260"/>
        <v>24.6</v>
      </c>
      <c r="L2494" s="10">
        <f t="shared" si="261"/>
        <v>130.1</v>
      </c>
    </row>
    <row r="2495" spans="1:12" x14ac:dyDescent="0.25">
      <c r="A2495" s="7">
        <v>45715</v>
      </c>
      <c r="B2495" t="s">
        <v>598</v>
      </c>
      <c r="C2495" s="6">
        <v>6004</v>
      </c>
      <c r="D2495" s="5" t="s">
        <v>760</v>
      </c>
      <c r="E2495" s="1">
        <v>0.52638888888888891</v>
      </c>
      <c r="F2495" s="1">
        <v>0.66111111111111109</v>
      </c>
      <c r="G2495" s="9">
        <f t="shared" si="256"/>
        <v>45712</v>
      </c>
      <c r="H2495" s="11">
        <f t="shared" si="257"/>
        <v>3.2</v>
      </c>
      <c r="I2495" s="10">
        <f t="shared" si="258"/>
        <v>6.3000000000000007</v>
      </c>
      <c r="J2495" s="10">
        <f t="shared" si="259"/>
        <v>7.2</v>
      </c>
      <c r="K2495" s="10">
        <f t="shared" si="260"/>
        <v>27.8</v>
      </c>
      <c r="L2495" s="10">
        <f t="shared" si="261"/>
        <v>133.29999999999998</v>
      </c>
    </row>
    <row r="2496" spans="1:12" x14ac:dyDescent="0.25">
      <c r="A2496" s="7">
        <v>45716</v>
      </c>
      <c r="B2496" t="s">
        <v>598</v>
      </c>
      <c r="C2496" s="6">
        <v>6004</v>
      </c>
      <c r="D2496" s="5" t="s">
        <v>760</v>
      </c>
      <c r="E2496" s="1">
        <v>0.33680555555555558</v>
      </c>
      <c r="F2496" s="1">
        <v>0.47708333333333336</v>
      </c>
      <c r="G2496" s="9">
        <f t="shared" si="256"/>
        <v>45712</v>
      </c>
      <c r="H2496" s="11">
        <f t="shared" si="257"/>
        <v>3.4</v>
      </c>
      <c r="I2496" s="10">
        <f t="shared" si="258"/>
        <v>3.4</v>
      </c>
      <c r="J2496" s="10">
        <f t="shared" si="259"/>
        <v>7.2</v>
      </c>
      <c r="K2496" s="10">
        <f t="shared" si="260"/>
        <v>31.2</v>
      </c>
      <c r="L2496" s="10">
        <f t="shared" si="261"/>
        <v>136.70000000000002</v>
      </c>
    </row>
    <row r="2497" spans="1:12" x14ac:dyDescent="0.25">
      <c r="A2497" s="7">
        <v>45716</v>
      </c>
      <c r="B2497" t="s">
        <v>598</v>
      </c>
      <c r="C2497" s="6">
        <v>6004</v>
      </c>
      <c r="D2497" s="5" t="s">
        <v>760</v>
      </c>
      <c r="E2497" s="1">
        <v>0.49236111111111114</v>
      </c>
      <c r="F2497" s="1">
        <v>0.68194444444444446</v>
      </c>
      <c r="G2497" s="9">
        <f t="shared" si="256"/>
        <v>45712</v>
      </c>
      <c r="H2497" s="11">
        <f t="shared" si="257"/>
        <v>4.5999999999999996</v>
      </c>
      <c r="I2497" s="10">
        <f t="shared" si="258"/>
        <v>8</v>
      </c>
      <c r="J2497" s="10">
        <f t="shared" si="259"/>
        <v>7.2</v>
      </c>
      <c r="K2497" s="10">
        <f t="shared" si="260"/>
        <v>35.799999999999997</v>
      </c>
      <c r="L2497" s="10">
        <f t="shared" si="261"/>
        <v>141.29999999999998</v>
      </c>
    </row>
    <row r="2498" spans="1:12" x14ac:dyDescent="0.25">
      <c r="A2498" s="7">
        <v>45719</v>
      </c>
      <c r="B2498" t="s">
        <v>598</v>
      </c>
      <c r="C2498" s="6">
        <v>6004</v>
      </c>
      <c r="D2498" s="5" t="s">
        <v>760</v>
      </c>
      <c r="E2498" s="1">
        <v>0.33055555555555555</v>
      </c>
      <c r="F2498" s="1">
        <v>0.45833333333333331</v>
      </c>
      <c r="G2498" s="9">
        <f t="shared" si="256"/>
        <v>45719</v>
      </c>
      <c r="H2498" s="11">
        <f t="shared" si="257"/>
        <v>3.1</v>
      </c>
      <c r="I2498" s="10">
        <f t="shared" si="258"/>
        <v>3.1</v>
      </c>
      <c r="J2498" s="10">
        <f t="shared" si="259"/>
        <v>7.2</v>
      </c>
      <c r="K2498" s="10">
        <f t="shared" si="260"/>
        <v>3.1</v>
      </c>
      <c r="L2498" s="10">
        <f t="shared" si="261"/>
        <v>3.1</v>
      </c>
    </row>
    <row r="2499" spans="1:12" x14ac:dyDescent="0.25">
      <c r="A2499" s="7">
        <v>45719</v>
      </c>
      <c r="B2499" t="s">
        <v>598</v>
      </c>
      <c r="C2499" s="6">
        <v>6004</v>
      </c>
      <c r="D2499" s="5" t="s">
        <v>760</v>
      </c>
      <c r="E2499" s="1">
        <v>0.53611111111111109</v>
      </c>
      <c r="F2499" s="1">
        <v>0.63680555555555551</v>
      </c>
      <c r="G2499" s="9">
        <f t="shared" si="256"/>
        <v>45719</v>
      </c>
      <c r="H2499" s="11">
        <f t="shared" si="257"/>
        <v>2.4</v>
      </c>
      <c r="I2499" s="10">
        <f t="shared" si="258"/>
        <v>5.5</v>
      </c>
      <c r="J2499" s="10">
        <f t="shared" si="259"/>
        <v>7.2</v>
      </c>
      <c r="K2499" s="10">
        <f t="shared" si="260"/>
        <v>5.5</v>
      </c>
      <c r="L2499" s="10">
        <f t="shared" si="261"/>
        <v>5.5</v>
      </c>
    </row>
    <row r="2500" spans="1:12" x14ac:dyDescent="0.25">
      <c r="A2500" s="7">
        <v>45720</v>
      </c>
      <c r="B2500" t="s">
        <v>598</v>
      </c>
      <c r="C2500" s="6">
        <v>6004</v>
      </c>
      <c r="D2500" s="5" t="s">
        <v>760</v>
      </c>
      <c r="E2500" s="1">
        <v>0.29791666666666666</v>
      </c>
      <c r="F2500" s="1">
        <v>0.45833333333333331</v>
      </c>
      <c r="G2500" s="9">
        <f t="shared" si="256"/>
        <v>45719</v>
      </c>
      <c r="H2500" s="11">
        <f t="shared" si="257"/>
        <v>3.9</v>
      </c>
      <c r="I2500" s="10">
        <f t="shared" si="258"/>
        <v>3.9</v>
      </c>
      <c r="J2500" s="10">
        <f t="shared" si="259"/>
        <v>7.2</v>
      </c>
      <c r="K2500" s="10">
        <f t="shared" si="260"/>
        <v>9.4</v>
      </c>
      <c r="L2500" s="10">
        <f t="shared" si="261"/>
        <v>9.4</v>
      </c>
    </row>
    <row r="2501" spans="1:12" x14ac:dyDescent="0.25">
      <c r="A2501" s="7">
        <v>45720</v>
      </c>
      <c r="B2501" s="2" t="s">
        <v>464</v>
      </c>
      <c r="C2501" s="6">
        <v>2431</v>
      </c>
      <c r="D2501" s="5" t="s">
        <v>750</v>
      </c>
      <c r="E2501" s="1">
        <v>0.45833333333333331</v>
      </c>
      <c r="F2501" s="1">
        <v>0.5</v>
      </c>
      <c r="G2501" s="9">
        <f t="shared" si="256"/>
        <v>45719</v>
      </c>
      <c r="H2501" s="11">
        <f t="shared" si="257"/>
        <v>1</v>
      </c>
      <c r="I2501" s="10">
        <f t="shared" si="258"/>
        <v>4.9000000000000004</v>
      </c>
      <c r="J2501" s="10">
        <f t="shared" si="259"/>
        <v>7.2</v>
      </c>
      <c r="K2501" s="10">
        <f t="shared" si="260"/>
        <v>10.4</v>
      </c>
      <c r="L2501" s="10">
        <f t="shared" si="261"/>
        <v>10.4</v>
      </c>
    </row>
    <row r="2502" spans="1:12" x14ac:dyDescent="0.25">
      <c r="A2502" s="7">
        <v>45720</v>
      </c>
      <c r="B2502" t="s">
        <v>598</v>
      </c>
      <c r="C2502" s="6">
        <v>6004</v>
      </c>
      <c r="D2502" s="5" t="s">
        <v>760</v>
      </c>
      <c r="E2502" s="1">
        <v>0.5</v>
      </c>
      <c r="F2502" s="1">
        <v>0.52569444444444446</v>
      </c>
      <c r="G2502" s="9">
        <f t="shared" si="256"/>
        <v>45719</v>
      </c>
      <c r="H2502" s="11">
        <f t="shared" si="257"/>
        <v>0.6</v>
      </c>
      <c r="I2502" s="10">
        <f t="shared" si="258"/>
        <v>5.5</v>
      </c>
      <c r="J2502" s="10">
        <f t="shared" si="259"/>
        <v>7.2</v>
      </c>
      <c r="K2502" s="10">
        <f t="shared" si="260"/>
        <v>11</v>
      </c>
      <c r="L2502" s="10">
        <f t="shared" si="261"/>
        <v>11</v>
      </c>
    </row>
    <row r="2503" spans="1:12" x14ac:dyDescent="0.25">
      <c r="A2503" s="7">
        <v>45720</v>
      </c>
      <c r="B2503" t="s">
        <v>598</v>
      </c>
      <c r="C2503" s="6">
        <v>6004</v>
      </c>
      <c r="D2503" s="5" t="s">
        <v>760</v>
      </c>
      <c r="E2503" s="1">
        <v>0.53749999999999998</v>
      </c>
      <c r="F2503" s="1">
        <v>0.6166666666666667</v>
      </c>
      <c r="G2503" s="9">
        <f t="shared" si="256"/>
        <v>45719</v>
      </c>
      <c r="H2503" s="11">
        <f t="shared" si="257"/>
        <v>1.9</v>
      </c>
      <c r="I2503" s="10">
        <f t="shared" si="258"/>
        <v>7.4</v>
      </c>
      <c r="J2503" s="10">
        <f t="shared" si="259"/>
        <v>7.2</v>
      </c>
      <c r="K2503" s="10">
        <f t="shared" si="260"/>
        <v>12.9</v>
      </c>
      <c r="L2503" s="10">
        <f t="shared" si="261"/>
        <v>12.9</v>
      </c>
    </row>
    <row r="2504" spans="1:12" x14ac:dyDescent="0.25">
      <c r="A2504" s="7">
        <v>45720</v>
      </c>
      <c r="B2504" s="2" t="s">
        <v>464</v>
      </c>
      <c r="C2504" s="6">
        <v>2431</v>
      </c>
      <c r="D2504" s="5" t="s">
        <v>98</v>
      </c>
      <c r="E2504" s="1">
        <v>0.6166666666666667</v>
      </c>
      <c r="F2504" s="1">
        <v>0.62986111111111109</v>
      </c>
      <c r="G2504" s="9">
        <f t="shared" si="256"/>
        <v>45719</v>
      </c>
      <c r="H2504" s="11">
        <f t="shared" si="257"/>
        <v>0.3</v>
      </c>
      <c r="I2504" s="10">
        <f t="shared" si="258"/>
        <v>7.7</v>
      </c>
      <c r="J2504" s="10">
        <f t="shared" si="259"/>
        <v>7.2</v>
      </c>
      <c r="K2504" s="10">
        <f t="shared" si="260"/>
        <v>13.200000000000001</v>
      </c>
      <c r="L2504" s="10">
        <f t="shared" si="261"/>
        <v>13.200000000000001</v>
      </c>
    </row>
    <row r="2505" spans="1:12" x14ac:dyDescent="0.25">
      <c r="A2505" s="7">
        <v>45721</v>
      </c>
      <c r="B2505" t="s">
        <v>598</v>
      </c>
      <c r="C2505" s="6">
        <v>6004</v>
      </c>
      <c r="D2505" s="5" t="s">
        <v>760</v>
      </c>
      <c r="E2505" s="1">
        <v>0.3527777777777778</v>
      </c>
      <c r="F2505" s="1">
        <v>0.66111111111111109</v>
      </c>
      <c r="G2505" s="9">
        <f t="shared" si="256"/>
        <v>45719</v>
      </c>
      <c r="H2505" s="11">
        <f t="shared" si="257"/>
        <v>7.4</v>
      </c>
      <c r="I2505" s="10">
        <f t="shared" si="258"/>
        <v>7.4</v>
      </c>
      <c r="J2505" s="10">
        <f t="shared" si="259"/>
        <v>7.2</v>
      </c>
      <c r="K2505" s="10">
        <f t="shared" si="260"/>
        <v>20.6</v>
      </c>
      <c r="L2505" s="10">
        <f t="shared" si="261"/>
        <v>20.6</v>
      </c>
    </row>
    <row r="2506" spans="1:12" x14ac:dyDescent="0.25">
      <c r="A2506" s="7">
        <v>45722</v>
      </c>
      <c r="B2506" t="s">
        <v>598</v>
      </c>
      <c r="C2506" s="6">
        <v>6004</v>
      </c>
      <c r="D2506" s="5" t="s">
        <v>760</v>
      </c>
      <c r="E2506" s="1">
        <v>0.36666666666666664</v>
      </c>
      <c r="F2506" s="1">
        <v>0.54166666666666663</v>
      </c>
      <c r="G2506" s="9">
        <f t="shared" si="256"/>
        <v>45719</v>
      </c>
      <c r="H2506" s="11">
        <f t="shared" si="257"/>
        <v>4.2</v>
      </c>
      <c r="I2506" s="10">
        <f t="shared" si="258"/>
        <v>4.2</v>
      </c>
      <c r="J2506" s="10">
        <f t="shared" si="259"/>
        <v>7.2</v>
      </c>
      <c r="K2506" s="10">
        <f t="shared" si="260"/>
        <v>24.8</v>
      </c>
      <c r="L2506" s="10">
        <f t="shared" si="261"/>
        <v>24.8</v>
      </c>
    </row>
    <row r="2507" spans="1:12" x14ac:dyDescent="0.25">
      <c r="A2507" s="7">
        <v>45722</v>
      </c>
      <c r="B2507" s="2" t="s">
        <v>464</v>
      </c>
      <c r="C2507" s="6">
        <v>2431</v>
      </c>
      <c r="D2507" s="5" t="s">
        <v>32</v>
      </c>
      <c r="E2507" s="1">
        <v>0.54166666666666663</v>
      </c>
      <c r="F2507" s="1">
        <v>0.58402777777777781</v>
      </c>
      <c r="G2507" s="9">
        <f t="shared" si="256"/>
        <v>45719</v>
      </c>
      <c r="H2507" s="11">
        <f t="shared" si="257"/>
        <v>1</v>
      </c>
      <c r="I2507" s="10">
        <f t="shared" si="258"/>
        <v>5.2</v>
      </c>
      <c r="J2507" s="10">
        <f t="shared" si="259"/>
        <v>7.2</v>
      </c>
      <c r="K2507" s="10">
        <f t="shared" si="260"/>
        <v>25.8</v>
      </c>
      <c r="L2507" s="10">
        <f t="shared" si="261"/>
        <v>25.8</v>
      </c>
    </row>
    <row r="2508" spans="1:12" x14ac:dyDescent="0.25">
      <c r="A2508" s="7">
        <v>45722</v>
      </c>
      <c r="B2508" t="s">
        <v>598</v>
      </c>
      <c r="C2508" s="6">
        <v>6004</v>
      </c>
      <c r="D2508" s="5" t="s">
        <v>760</v>
      </c>
      <c r="E2508" s="1">
        <v>0.59583333333333333</v>
      </c>
      <c r="F2508" s="1">
        <v>0.67013888888888884</v>
      </c>
      <c r="G2508" s="9">
        <f t="shared" si="256"/>
        <v>45719</v>
      </c>
      <c r="H2508" s="11">
        <f t="shared" si="257"/>
        <v>1.8</v>
      </c>
      <c r="I2508" s="10">
        <f t="shared" si="258"/>
        <v>7</v>
      </c>
      <c r="J2508" s="10">
        <f t="shared" si="259"/>
        <v>7.2</v>
      </c>
      <c r="K2508" s="10">
        <f t="shared" si="260"/>
        <v>27.6</v>
      </c>
      <c r="L2508" s="10">
        <f t="shared" si="261"/>
        <v>27.6</v>
      </c>
    </row>
    <row r="2509" spans="1:12" x14ac:dyDescent="0.25">
      <c r="A2509" s="7">
        <v>45723</v>
      </c>
      <c r="B2509" t="s">
        <v>598</v>
      </c>
      <c r="C2509" s="6">
        <v>6004</v>
      </c>
      <c r="D2509" s="5" t="s">
        <v>760</v>
      </c>
      <c r="E2509" s="1">
        <v>0.32083333333333336</v>
      </c>
      <c r="F2509" s="1">
        <v>0.39583333333333331</v>
      </c>
      <c r="G2509" s="9">
        <f t="shared" si="256"/>
        <v>45719</v>
      </c>
      <c r="H2509" s="11">
        <f t="shared" si="257"/>
        <v>1.8</v>
      </c>
      <c r="I2509" s="10">
        <f t="shared" si="258"/>
        <v>1.8</v>
      </c>
      <c r="J2509" s="10">
        <f t="shared" si="259"/>
        <v>7.2</v>
      </c>
      <c r="K2509" s="10">
        <f t="shared" si="260"/>
        <v>29.400000000000002</v>
      </c>
      <c r="L2509" s="10">
        <f t="shared" si="261"/>
        <v>29.400000000000002</v>
      </c>
    </row>
    <row r="2510" spans="1:12" x14ac:dyDescent="0.25">
      <c r="A2510" s="7">
        <v>45723</v>
      </c>
      <c r="B2510" t="s">
        <v>6</v>
      </c>
      <c r="C2510" s="6" t="s">
        <v>416</v>
      </c>
      <c r="D2510" s="5" t="s">
        <v>775</v>
      </c>
      <c r="E2510" s="1">
        <v>0.39583333333333331</v>
      </c>
      <c r="F2510" s="1">
        <v>0.41666666666666669</v>
      </c>
      <c r="G2510" s="9">
        <f t="shared" si="256"/>
        <v>45719</v>
      </c>
      <c r="H2510" s="11">
        <f t="shared" si="257"/>
        <v>0.5</v>
      </c>
      <c r="I2510" s="10">
        <f t="shared" si="258"/>
        <v>2.2999999999999998</v>
      </c>
      <c r="J2510" s="10">
        <f t="shared" si="259"/>
        <v>7.2</v>
      </c>
      <c r="K2510" s="10">
        <f t="shared" si="260"/>
        <v>29.9</v>
      </c>
      <c r="L2510" s="10">
        <f t="shared" si="261"/>
        <v>29.9</v>
      </c>
    </row>
    <row r="2511" spans="1:12" x14ac:dyDescent="0.25">
      <c r="A2511" s="7">
        <v>45723</v>
      </c>
      <c r="B2511" t="s">
        <v>598</v>
      </c>
      <c r="C2511" s="6">
        <v>6004</v>
      </c>
      <c r="D2511" s="5" t="s">
        <v>760</v>
      </c>
      <c r="E2511" s="1">
        <v>0.41666666666666669</v>
      </c>
      <c r="F2511" s="1">
        <v>0.45833333333333331</v>
      </c>
      <c r="G2511" s="9">
        <f t="shared" si="256"/>
        <v>45719</v>
      </c>
      <c r="H2511" s="11">
        <f t="shared" si="257"/>
        <v>1</v>
      </c>
      <c r="I2511" s="10">
        <f t="shared" si="258"/>
        <v>3.3</v>
      </c>
      <c r="J2511" s="10">
        <f t="shared" si="259"/>
        <v>7.2</v>
      </c>
      <c r="K2511" s="10">
        <f t="shared" si="260"/>
        <v>30.9</v>
      </c>
      <c r="L2511" s="10">
        <f t="shared" si="261"/>
        <v>30.9</v>
      </c>
    </row>
    <row r="2512" spans="1:12" x14ac:dyDescent="0.25">
      <c r="A2512" s="7">
        <v>45723</v>
      </c>
      <c r="B2512" t="s">
        <v>6</v>
      </c>
      <c r="C2512" s="6" t="s">
        <v>416</v>
      </c>
      <c r="D2512" s="5" t="s">
        <v>776</v>
      </c>
      <c r="E2512" s="1">
        <v>0.45833333333333331</v>
      </c>
      <c r="F2512" s="1">
        <v>0.48055555555555557</v>
      </c>
      <c r="G2512" s="9">
        <f t="shared" si="256"/>
        <v>45719</v>
      </c>
      <c r="H2512" s="11">
        <f t="shared" si="257"/>
        <v>0.5</v>
      </c>
      <c r="I2512" s="10">
        <f t="shared" si="258"/>
        <v>3.8</v>
      </c>
      <c r="J2512" s="10">
        <f t="shared" si="259"/>
        <v>7.2</v>
      </c>
      <c r="K2512" s="10">
        <f t="shared" si="260"/>
        <v>31.4</v>
      </c>
      <c r="L2512" s="10">
        <f t="shared" si="261"/>
        <v>31.4</v>
      </c>
    </row>
    <row r="2513" spans="1:12" x14ac:dyDescent="0.25">
      <c r="A2513" s="7">
        <v>45723</v>
      </c>
      <c r="B2513" t="s">
        <v>598</v>
      </c>
      <c r="C2513" s="6">
        <v>6004</v>
      </c>
      <c r="D2513" s="5" t="s">
        <v>760</v>
      </c>
      <c r="E2513" s="1">
        <v>0.48055555555555557</v>
      </c>
      <c r="F2513" s="1">
        <v>0.5083333333333333</v>
      </c>
      <c r="G2513" s="9">
        <f t="shared" si="256"/>
        <v>45719</v>
      </c>
      <c r="H2513" s="11">
        <f t="shared" si="257"/>
        <v>0.7</v>
      </c>
      <c r="I2513" s="10">
        <f t="shared" si="258"/>
        <v>4.5</v>
      </c>
      <c r="J2513" s="10">
        <f t="shared" si="259"/>
        <v>7.2</v>
      </c>
      <c r="K2513" s="10">
        <f t="shared" si="260"/>
        <v>32.1</v>
      </c>
      <c r="L2513" s="10">
        <f t="shared" si="261"/>
        <v>32.1</v>
      </c>
    </row>
    <row r="2514" spans="1:12" x14ac:dyDescent="0.25">
      <c r="A2514" s="7">
        <v>45723</v>
      </c>
      <c r="B2514" t="s">
        <v>598</v>
      </c>
      <c r="C2514" s="6">
        <v>6004</v>
      </c>
      <c r="D2514" s="5" t="s">
        <v>760</v>
      </c>
      <c r="E2514" s="1">
        <v>0.51944444444444449</v>
      </c>
      <c r="F2514" s="1">
        <v>0.58125000000000004</v>
      </c>
      <c r="G2514" s="9">
        <f t="shared" si="256"/>
        <v>45719</v>
      </c>
      <c r="H2514" s="11">
        <f t="shared" si="257"/>
        <v>1.5</v>
      </c>
      <c r="I2514" s="10">
        <f t="shared" si="258"/>
        <v>6</v>
      </c>
      <c r="J2514" s="10">
        <f t="shared" si="259"/>
        <v>7.2</v>
      </c>
      <c r="K2514" s="10">
        <f t="shared" si="260"/>
        <v>33.6</v>
      </c>
      <c r="L2514" s="10">
        <f t="shared" si="261"/>
        <v>33.6</v>
      </c>
    </row>
    <row r="2515" spans="1:12" x14ac:dyDescent="0.25">
      <c r="A2515" s="7">
        <v>45723</v>
      </c>
      <c r="B2515" s="2" t="s">
        <v>551</v>
      </c>
      <c r="C2515" s="6">
        <v>6184</v>
      </c>
      <c r="D2515" s="5" t="s">
        <v>770</v>
      </c>
      <c r="E2515" s="1">
        <v>0.58125000000000004</v>
      </c>
      <c r="F2515" s="1">
        <v>0.625</v>
      </c>
      <c r="G2515" s="9">
        <f t="shared" si="256"/>
        <v>45719</v>
      </c>
      <c r="H2515" s="11">
        <f t="shared" si="257"/>
        <v>1.1000000000000001</v>
      </c>
      <c r="I2515" s="10">
        <f t="shared" si="258"/>
        <v>7.1</v>
      </c>
      <c r="J2515" s="10">
        <f t="shared" si="259"/>
        <v>7.2</v>
      </c>
      <c r="K2515" s="10">
        <f t="shared" si="260"/>
        <v>34.700000000000003</v>
      </c>
      <c r="L2515" s="10">
        <f t="shared" si="261"/>
        <v>34.700000000000003</v>
      </c>
    </row>
    <row r="2516" spans="1:12" x14ac:dyDescent="0.25">
      <c r="A2516" s="7">
        <v>45723</v>
      </c>
      <c r="B2516" s="2" t="s">
        <v>464</v>
      </c>
      <c r="C2516" s="6">
        <v>2431</v>
      </c>
      <c r="D2516" s="5" t="s">
        <v>32</v>
      </c>
      <c r="E2516" s="1">
        <v>0.625</v>
      </c>
      <c r="F2516" s="1">
        <v>0.6694444444444444</v>
      </c>
      <c r="G2516" s="9">
        <f t="shared" si="256"/>
        <v>45719</v>
      </c>
      <c r="H2516" s="11">
        <f t="shared" si="257"/>
        <v>1.1000000000000001</v>
      </c>
      <c r="I2516" s="10">
        <f t="shared" si="258"/>
        <v>8.1999999999999993</v>
      </c>
      <c r="J2516" s="10">
        <f t="shared" si="259"/>
        <v>7.2</v>
      </c>
      <c r="K2516" s="10">
        <f t="shared" si="260"/>
        <v>35.800000000000004</v>
      </c>
      <c r="L2516" s="10">
        <f t="shared" si="261"/>
        <v>35.800000000000004</v>
      </c>
    </row>
    <row r="2517" spans="1:12" x14ac:dyDescent="0.25">
      <c r="A2517" s="7">
        <v>45726</v>
      </c>
      <c r="B2517" s="2" t="s">
        <v>551</v>
      </c>
      <c r="C2517" s="6">
        <v>6184</v>
      </c>
      <c r="D2517" s="5" t="s">
        <v>384</v>
      </c>
      <c r="E2517" s="1">
        <v>0.32708333333333334</v>
      </c>
      <c r="F2517" s="1">
        <v>0.46388888888888891</v>
      </c>
      <c r="G2517" s="9">
        <f t="shared" si="256"/>
        <v>45726</v>
      </c>
      <c r="H2517" s="11">
        <f t="shared" si="257"/>
        <v>3.3</v>
      </c>
      <c r="I2517" s="10">
        <f t="shared" si="258"/>
        <v>3.3</v>
      </c>
      <c r="J2517" s="10">
        <f t="shared" si="259"/>
        <v>7.2</v>
      </c>
      <c r="K2517" s="10">
        <f t="shared" si="260"/>
        <v>3.3</v>
      </c>
      <c r="L2517" s="10">
        <f t="shared" si="261"/>
        <v>39.099999999999994</v>
      </c>
    </row>
    <row r="2518" spans="1:12" x14ac:dyDescent="0.25">
      <c r="A2518" s="7">
        <v>45726</v>
      </c>
      <c r="B2518" s="2" t="s">
        <v>551</v>
      </c>
      <c r="C2518" s="6">
        <v>6184</v>
      </c>
      <c r="D2518" s="5" t="s">
        <v>384</v>
      </c>
      <c r="E2518" s="1">
        <v>0.51875000000000004</v>
      </c>
      <c r="F2518" s="1">
        <v>0.62152777777777779</v>
      </c>
      <c r="G2518" s="9">
        <f t="shared" si="256"/>
        <v>45726</v>
      </c>
      <c r="H2518" s="11">
        <f t="shared" si="257"/>
        <v>2.5</v>
      </c>
      <c r="I2518" s="10">
        <f t="shared" si="258"/>
        <v>5.8</v>
      </c>
      <c r="J2518" s="10">
        <f t="shared" si="259"/>
        <v>7.2</v>
      </c>
      <c r="K2518" s="10">
        <f t="shared" si="260"/>
        <v>5.8</v>
      </c>
      <c r="L2518" s="10">
        <f t="shared" si="261"/>
        <v>41.6</v>
      </c>
    </row>
    <row r="2519" spans="1:12" x14ac:dyDescent="0.25">
      <c r="A2519" s="7">
        <v>45727</v>
      </c>
      <c r="B2519" s="2" t="s">
        <v>551</v>
      </c>
      <c r="C2519" s="6">
        <v>6184</v>
      </c>
      <c r="D2519" s="5" t="s">
        <v>384</v>
      </c>
      <c r="E2519" s="1">
        <v>0.31319444444444444</v>
      </c>
      <c r="F2519" s="1">
        <v>0.47986111111111113</v>
      </c>
      <c r="G2519" s="9">
        <f t="shared" si="256"/>
        <v>45726</v>
      </c>
      <c r="H2519" s="11">
        <f t="shared" si="257"/>
        <v>4</v>
      </c>
      <c r="I2519" s="10">
        <f t="shared" si="258"/>
        <v>4</v>
      </c>
      <c r="J2519" s="10">
        <f t="shared" si="259"/>
        <v>7.2</v>
      </c>
      <c r="K2519" s="10">
        <f t="shared" si="260"/>
        <v>9.8000000000000007</v>
      </c>
      <c r="L2519" s="10">
        <f t="shared" si="261"/>
        <v>45.6</v>
      </c>
    </row>
    <row r="2520" spans="1:12" x14ac:dyDescent="0.25">
      <c r="A2520" s="7">
        <v>45727</v>
      </c>
      <c r="B2520" s="2" t="s">
        <v>551</v>
      </c>
      <c r="C2520" s="6">
        <v>6184</v>
      </c>
      <c r="D2520" s="5" t="s">
        <v>384</v>
      </c>
      <c r="E2520" s="1">
        <v>0.49166666666666664</v>
      </c>
      <c r="F2520" s="1">
        <v>0.60416666666666663</v>
      </c>
      <c r="G2520" s="9">
        <f t="shared" si="256"/>
        <v>45726</v>
      </c>
      <c r="H2520" s="11">
        <f t="shared" si="257"/>
        <v>2.7</v>
      </c>
      <c r="I2520" s="10">
        <f t="shared" si="258"/>
        <v>6.7</v>
      </c>
      <c r="J2520" s="10">
        <f t="shared" si="259"/>
        <v>7.2</v>
      </c>
      <c r="K2520" s="10">
        <f t="shared" si="260"/>
        <v>12.5</v>
      </c>
      <c r="L2520" s="10">
        <f t="shared" si="261"/>
        <v>48.300000000000004</v>
      </c>
    </row>
    <row r="2521" spans="1:12" x14ac:dyDescent="0.25">
      <c r="A2521" s="7">
        <v>45727</v>
      </c>
      <c r="B2521" t="s">
        <v>598</v>
      </c>
      <c r="C2521" s="6">
        <v>6004</v>
      </c>
      <c r="D2521" s="5" t="s">
        <v>44</v>
      </c>
      <c r="E2521" s="1">
        <v>0.60416666666666663</v>
      </c>
      <c r="F2521" s="1">
        <v>0.65555555555555556</v>
      </c>
      <c r="G2521" s="9">
        <f t="shared" si="256"/>
        <v>45726</v>
      </c>
      <c r="H2521" s="11">
        <f t="shared" si="257"/>
        <v>1.2</v>
      </c>
      <c r="I2521" s="10">
        <f t="shared" si="258"/>
        <v>7.9</v>
      </c>
      <c r="J2521" s="10">
        <f t="shared" si="259"/>
        <v>7.2</v>
      </c>
      <c r="K2521" s="10">
        <f t="shared" si="260"/>
        <v>13.7</v>
      </c>
      <c r="L2521" s="10">
        <f t="shared" si="261"/>
        <v>49.5</v>
      </c>
    </row>
    <row r="2522" spans="1:12" x14ac:dyDescent="0.25">
      <c r="A2522" s="7">
        <v>45728</v>
      </c>
      <c r="B2522" t="s">
        <v>598</v>
      </c>
      <c r="C2522" s="6">
        <v>6004</v>
      </c>
      <c r="D2522" s="5" t="s">
        <v>777</v>
      </c>
      <c r="E2522" s="1">
        <v>0.33124999999999999</v>
      </c>
      <c r="F2522" s="1">
        <v>0.47847222222222224</v>
      </c>
      <c r="G2522" s="9">
        <f t="shared" si="256"/>
        <v>45726</v>
      </c>
      <c r="H2522" s="11">
        <f t="shared" si="257"/>
        <v>3.5</v>
      </c>
      <c r="I2522" s="10">
        <f t="shared" si="258"/>
        <v>3.5</v>
      </c>
      <c r="J2522" s="10">
        <f t="shared" si="259"/>
        <v>7.2</v>
      </c>
      <c r="K2522" s="10">
        <f t="shared" si="260"/>
        <v>17.2</v>
      </c>
      <c r="L2522" s="10">
        <f t="shared" si="261"/>
        <v>53</v>
      </c>
    </row>
    <row r="2523" spans="1:12" x14ac:dyDescent="0.25">
      <c r="A2523" s="7">
        <v>45728</v>
      </c>
      <c r="B2523" t="s">
        <v>598</v>
      </c>
      <c r="C2523" s="6">
        <v>6004</v>
      </c>
      <c r="D2523" s="5" t="s">
        <v>777</v>
      </c>
      <c r="E2523" s="1">
        <v>0.51944444444444449</v>
      </c>
      <c r="F2523" s="1">
        <v>0.54166666666666663</v>
      </c>
      <c r="G2523" s="9">
        <f t="shared" si="256"/>
        <v>45726</v>
      </c>
      <c r="H2523" s="11">
        <f t="shared" si="257"/>
        <v>0.5</v>
      </c>
      <c r="I2523" s="10">
        <f t="shared" si="258"/>
        <v>4</v>
      </c>
      <c r="J2523" s="10">
        <f t="shared" si="259"/>
        <v>7.2</v>
      </c>
      <c r="K2523" s="10">
        <f t="shared" si="260"/>
        <v>17.7</v>
      </c>
      <c r="L2523" s="10">
        <f t="shared" si="261"/>
        <v>53.5</v>
      </c>
    </row>
    <row r="2524" spans="1:12" x14ac:dyDescent="0.25">
      <c r="A2524" s="7">
        <v>45728</v>
      </c>
      <c r="B2524" t="s">
        <v>6</v>
      </c>
      <c r="C2524" s="6" t="s">
        <v>416</v>
      </c>
      <c r="D2524" s="5" t="s">
        <v>58</v>
      </c>
      <c r="E2524" s="1">
        <v>0.54166666666666663</v>
      </c>
      <c r="F2524" s="1">
        <v>0.58333333333333337</v>
      </c>
      <c r="G2524" s="9">
        <f t="shared" si="256"/>
        <v>45726</v>
      </c>
      <c r="H2524" s="11">
        <f t="shared" si="257"/>
        <v>1</v>
      </c>
      <c r="I2524" s="10">
        <f t="shared" si="258"/>
        <v>5</v>
      </c>
      <c r="J2524" s="10">
        <f t="shared" si="259"/>
        <v>7.2</v>
      </c>
      <c r="K2524" s="10">
        <f t="shared" si="260"/>
        <v>18.7</v>
      </c>
      <c r="L2524" s="10">
        <f t="shared" si="261"/>
        <v>54.5</v>
      </c>
    </row>
    <row r="2525" spans="1:12" x14ac:dyDescent="0.25">
      <c r="A2525" s="7">
        <v>45728</v>
      </c>
      <c r="B2525" t="s">
        <v>598</v>
      </c>
      <c r="C2525" s="6">
        <v>6004</v>
      </c>
      <c r="D2525" s="5" t="s">
        <v>777</v>
      </c>
      <c r="E2525" s="1">
        <v>0.58333333333333337</v>
      </c>
      <c r="F2525" s="1">
        <v>0.62708333333333333</v>
      </c>
      <c r="G2525" s="9">
        <f t="shared" si="256"/>
        <v>45726</v>
      </c>
      <c r="H2525" s="11">
        <f t="shared" si="257"/>
        <v>1.1000000000000001</v>
      </c>
      <c r="I2525" s="10">
        <f t="shared" si="258"/>
        <v>6.1</v>
      </c>
      <c r="J2525" s="10">
        <f t="shared" si="259"/>
        <v>7.2</v>
      </c>
      <c r="K2525" s="10">
        <f t="shared" si="260"/>
        <v>19.8</v>
      </c>
      <c r="L2525" s="10">
        <f t="shared" si="261"/>
        <v>55.6</v>
      </c>
    </row>
    <row r="2526" spans="1:12" x14ac:dyDescent="0.25">
      <c r="A2526" s="7">
        <v>45729</v>
      </c>
      <c r="B2526" t="s">
        <v>598</v>
      </c>
      <c r="C2526" s="6">
        <v>6004</v>
      </c>
      <c r="D2526" s="5" t="s">
        <v>778</v>
      </c>
      <c r="E2526" s="1">
        <v>0.35208333333333336</v>
      </c>
      <c r="F2526" s="1">
        <v>0.52083333333333337</v>
      </c>
      <c r="G2526" s="9">
        <f t="shared" si="256"/>
        <v>45726</v>
      </c>
      <c r="H2526" s="11">
        <f t="shared" si="257"/>
        <v>4.0999999999999996</v>
      </c>
      <c r="I2526" s="10">
        <f t="shared" si="258"/>
        <v>4.0999999999999996</v>
      </c>
      <c r="J2526" s="10">
        <f t="shared" si="259"/>
        <v>7.2</v>
      </c>
      <c r="K2526" s="10">
        <f t="shared" si="260"/>
        <v>23.9</v>
      </c>
      <c r="L2526" s="10">
        <f t="shared" si="261"/>
        <v>59.7</v>
      </c>
    </row>
    <row r="2527" spans="1:12" x14ac:dyDescent="0.25">
      <c r="A2527" s="7">
        <v>45729</v>
      </c>
      <c r="B2527" t="s">
        <v>598</v>
      </c>
      <c r="C2527" s="6">
        <v>6004</v>
      </c>
      <c r="D2527" s="5" t="s">
        <v>778</v>
      </c>
      <c r="E2527" s="1">
        <v>0.52986111111111112</v>
      </c>
      <c r="F2527" s="1">
        <v>0.66805555555555551</v>
      </c>
      <c r="G2527" s="9">
        <f t="shared" si="256"/>
        <v>45726</v>
      </c>
      <c r="H2527" s="11">
        <f t="shared" si="257"/>
        <v>3.3</v>
      </c>
      <c r="I2527" s="10">
        <f t="shared" si="258"/>
        <v>7.3999999999999995</v>
      </c>
      <c r="J2527" s="10">
        <f t="shared" si="259"/>
        <v>7.2</v>
      </c>
      <c r="K2527" s="10">
        <f t="shared" si="260"/>
        <v>27.2</v>
      </c>
      <c r="L2527" s="10">
        <f t="shared" si="261"/>
        <v>63</v>
      </c>
    </row>
    <row r="2528" spans="1:12" x14ac:dyDescent="0.25">
      <c r="A2528" s="7">
        <v>45730</v>
      </c>
      <c r="B2528" t="s">
        <v>598</v>
      </c>
      <c r="C2528" s="6">
        <v>6004</v>
      </c>
      <c r="D2528" s="5" t="s">
        <v>778</v>
      </c>
      <c r="E2528" s="1">
        <v>0.32916666666666666</v>
      </c>
      <c r="F2528" s="1">
        <v>0.46805555555555556</v>
      </c>
      <c r="G2528" s="9">
        <f t="shared" si="256"/>
        <v>45726</v>
      </c>
      <c r="H2528" s="11">
        <f t="shared" si="257"/>
        <v>3.3</v>
      </c>
      <c r="I2528" s="10">
        <f t="shared" si="258"/>
        <v>3.3</v>
      </c>
      <c r="J2528" s="10">
        <f t="shared" si="259"/>
        <v>7.2</v>
      </c>
      <c r="K2528" s="10">
        <f t="shared" si="260"/>
        <v>30.5</v>
      </c>
      <c r="L2528" s="10">
        <f t="shared" si="261"/>
        <v>66.3</v>
      </c>
    </row>
    <row r="2529" spans="1:12" x14ac:dyDescent="0.25">
      <c r="A2529" s="7">
        <v>45730</v>
      </c>
      <c r="B2529" t="s">
        <v>598</v>
      </c>
      <c r="C2529" s="6">
        <v>6004</v>
      </c>
      <c r="D2529" s="5" t="s">
        <v>778</v>
      </c>
      <c r="E2529" s="1">
        <v>0.5</v>
      </c>
      <c r="F2529" s="1">
        <v>0.63611111111111107</v>
      </c>
      <c r="G2529" s="9">
        <f t="shared" si="256"/>
        <v>45726</v>
      </c>
      <c r="H2529" s="11">
        <f t="shared" si="257"/>
        <v>3.3</v>
      </c>
      <c r="I2529" s="10">
        <f t="shared" si="258"/>
        <v>6.6</v>
      </c>
      <c r="J2529" s="10">
        <f t="shared" si="259"/>
        <v>7.2</v>
      </c>
      <c r="K2529" s="10">
        <f t="shared" si="260"/>
        <v>33.799999999999997</v>
      </c>
      <c r="L2529" s="10">
        <f t="shared" si="261"/>
        <v>69.599999999999994</v>
      </c>
    </row>
    <row r="2530" spans="1:12" x14ac:dyDescent="0.25">
      <c r="A2530" s="7">
        <v>45733</v>
      </c>
      <c r="B2530" t="s">
        <v>598</v>
      </c>
      <c r="C2530" s="6">
        <v>6004</v>
      </c>
      <c r="D2530" s="5" t="s">
        <v>778</v>
      </c>
      <c r="E2530" s="1">
        <v>0.31736111111111109</v>
      </c>
      <c r="F2530" s="1">
        <v>0.48402777777777778</v>
      </c>
      <c r="G2530" s="9">
        <f t="shared" si="256"/>
        <v>45733</v>
      </c>
      <c r="H2530" s="11">
        <f t="shared" si="257"/>
        <v>4</v>
      </c>
      <c r="I2530" s="10">
        <f t="shared" si="258"/>
        <v>4</v>
      </c>
      <c r="J2530" s="10">
        <f t="shared" si="259"/>
        <v>7.2</v>
      </c>
      <c r="K2530" s="10">
        <f t="shared" si="260"/>
        <v>4</v>
      </c>
      <c r="L2530" s="10">
        <f t="shared" si="261"/>
        <v>73.599999999999994</v>
      </c>
    </row>
    <row r="2531" spans="1:12" x14ac:dyDescent="0.25">
      <c r="A2531" s="7">
        <v>45733</v>
      </c>
      <c r="B2531" t="s">
        <v>598</v>
      </c>
      <c r="C2531" s="6">
        <v>6004</v>
      </c>
      <c r="D2531" s="5" t="s">
        <v>778</v>
      </c>
      <c r="E2531" s="1">
        <v>0.50069444444444444</v>
      </c>
      <c r="F2531" s="1">
        <v>0.63888888888888884</v>
      </c>
      <c r="G2531" s="9">
        <f t="shared" si="256"/>
        <v>45733</v>
      </c>
      <c r="H2531" s="11">
        <f t="shared" si="257"/>
        <v>3.3</v>
      </c>
      <c r="I2531" s="10">
        <f t="shared" si="258"/>
        <v>7.3</v>
      </c>
      <c r="J2531" s="10">
        <f t="shared" si="259"/>
        <v>7.2</v>
      </c>
      <c r="K2531" s="10">
        <f t="shared" si="260"/>
        <v>7.3</v>
      </c>
      <c r="L2531" s="10">
        <f t="shared" si="261"/>
        <v>76.899999999999991</v>
      </c>
    </row>
    <row r="2532" spans="1:12" x14ac:dyDescent="0.25">
      <c r="A2532" s="7">
        <v>45734</v>
      </c>
      <c r="B2532" t="s">
        <v>598</v>
      </c>
      <c r="C2532" s="6">
        <v>6004</v>
      </c>
      <c r="D2532" s="5" t="s">
        <v>779</v>
      </c>
      <c r="E2532" s="1">
        <v>0.32847222222222222</v>
      </c>
      <c r="F2532" s="1">
        <v>0.48541666666666666</v>
      </c>
      <c r="G2532" s="9">
        <f t="shared" si="256"/>
        <v>45733</v>
      </c>
      <c r="H2532" s="11">
        <f t="shared" si="257"/>
        <v>3.8</v>
      </c>
      <c r="I2532" s="10">
        <f t="shared" si="258"/>
        <v>3.8</v>
      </c>
      <c r="J2532" s="10">
        <f t="shared" si="259"/>
        <v>7.2</v>
      </c>
      <c r="K2532" s="10">
        <f t="shared" si="260"/>
        <v>11.1</v>
      </c>
      <c r="L2532" s="10">
        <f t="shared" si="261"/>
        <v>80.7</v>
      </c>
    </row>
    <row r="2533" spans="1:12" x14ac:dyDescent="0.25">
      <c r="A2533" s="7">
        <v>45734</v>
      </c>
      <c r="B2533" t="s">
        <v>598</v>
      </c>
      <c r="C2533" s="6">
        <v>6004</v>
      </c>
      <c r="D2533" s="5" t="s">
        <v>779</v>
      </c>
      <c r="E2533" s="1">
        <v>0.51527777777777772</v>
      </c>
      <c r="F2533" s="1">
        <v>0.67152777777777772</v>
      </c>
      <c r="G2533" s="9">
        <f t="shared" si="256"/>
        <v>45733</v>
      </c>
      <c r="H2533" s="11">
        <f t="shared" si="257"/>
        <v>3.8</v>
      </c>
      <c r="I2533" s="10">
        <f t="shared" si="258"/>
        <v>7.6</v>
      </c>
      <c r="J2533" s="10">
        <f t="shared" si="259"/>
        <v>7.2</v>
      </c>
      <c r="K2533" s="10">
        <f t="shared" si="260"/>
        <v>14.899999999999999</v>
      </c>
      <c r="L2533" s="10">
        <f t="shared" si="261"/>
        <v>84.5</v>
      </c>
    </row>
    <row r="2534" spans="1:12" x14ac:dyDescent="0.25">
      <c r="A2534" s="7">
        <v>45735</v>
      </c>
      <c r="B2534" t="s">
        <v>598</v>
      </c>
      <c r="C2534" s="6">
        <v>6004</v>
      </c>
      <c r="D2534" s="5" t="s">
        <v>781</v>
      </c>
      <c r="E2534" s="1">
        <v>0.34027777777777779</v>
      </c>
      <c r="F2534" s="1">
        <v>0.5</v>
      </c>
      <c r="G2534" s="9">
        <f t="shared" si="256"/>
        <v>45733</v>
      </c>
      <c r="H2534" s="11">
        <f t="shared" si="257"/>
        <v>3.8</v>
      </c>
      <c r="I2534" s="10">
        <f t="shared" si="258"/>
        <v>3.8</v>
      </c>
      <c r="J2534" s="10">
        <f t="shared" si="259"/>
        <v>7.2</v>
      </c>
      <c r="K2534" s="10">
        <f t="shared" si="260"/>
        <v>18.7</v>
      </c>
      <c r="L2534" s="10">
        <f t="shared" si="261"/>
        <v>88.3</v>
      </c>
    </row>
    <row r="2535" spans="1:12" x14ac:dyDescent="0.25">
      <c r="A2535" s="7">
        <v>45735</v>
      </c>
      <c r="B2535" t="s">
        <v>598</v>
      </c>
      <c r="C2535" s="6">
        <v>6004</v>
      </c>
      <c r="D2535" s="5" t="s">
        <v>781</v>
      </c>
      <c r="E2535" s="1">
        <v>0.52083333333333337</v>
      </c>
      <c r="F2535" s="1">
        <v>0.54166666666666663</v>
      </c>
      <c r="G2535" s="9">
        <f t="shared" si="256"/>
        <v>45733</v>
      </c>
      <c r="H2535" s="11">
        <f t="shared" si="257"/>
        <v>0.5</v>
      </c>
      <c r="I2535" s="10">
        <f t="shared" si="258"/>
        <v>4.3</v>
      </c>
      <c r="J2535" s="10">
        <f t="shared" si="259"/>
        <v>7.2</v>
      </c>
      <c r="K2535" s="10">
        <f t="shared" si="260"/>
        <v>19.2</v>
      </c>
      <c r="L2535" s="10">
        <f t="shared" si="261"/>
        <v>88.8</v>
      </c>
    </row>
    <row r="2536" spans="1:12" x14ac:dyDescent="0.25">
      <c r="A2536" s="7">
        <v>45735</v>
      </c>
      <c r="B2536" t="s">
        <v>6</v>
      </c>
      <c r="C2536" s="6" t="s">
        <v>416</v>
      </c>
      <c r="D2536" s="5" t="s">
        <v>780</v>
      </c>
      <c r="E2536" s="1">
        <v>0.54166666666666663</v>
      </c>
      <c r="F2536" s="1">
        <v>0.58333333333333337</v>
      </c>
      <c r="G2536" s="9">
        <f t="shared" si="256"/>
        <v>45733</v>
      </c>
      <c r="H2536" s="11">
        <f t="shared" si="257"/>
        <v>1</v>
      </c>
      <c r="I2536" s="10">
        <f t="shared" si="258"/>
        <v>5.3</v>
      </c>
      <c r="J2536" s="10">
        <f t="shared" si="259"/>
        <v>7.2</v>
      </c>
      <c r="K2536" s="10">
        <f t="shared" si="260"/>
        <v>20.2</v>
      </c>
      <c r="L2536" s="10">
        <f t="shared" si="261"/>
        <v>89.8</v>
      </c>
    </row>
    <row r="2537" spans="1:12" x14ac:dyDescent="0.25">
      <c r="A2537" s="7">
        <v>45735</v>
      </c>
      <c r="B2537" t="s">
        <v>598</v>
      </c>
      <c r="C2537" s="6">
        <v>6004</v>
      </c>
      <c r="D2537" s="5" t="s">
        <v>781</v>
      </c>
      <c r="E2537" s="1">
        <v>0.58333333333333337</v>
      </c>
      <c r="F2537" s="1">
        <v>0.61944444444444446</v>
      </c>
      <c r="G2537" s="9">
        <f t="shared" si="256"/>
        <v>45733</v>
      </c>
      <c r="H2537" s="11">
        <f t="shared" si="257"/>
        <v>0.9</v>
      </c>
      <c r="I2537" s="10">
        <f t="shared" si="258"/>
        <v>6.2</v>
      </c>
      <c r="J2537" s="10">
        <f t="shared" si="259"/>
        <v>7.2</v>
      </c>
      <c r="K2537" s="10">
        <f t="shared" si="260"/>
        <v>21.099999999999998</v>
      </c>
      <c r="L2537" s="10">
        <f t="shared" si="261"/>
        <v>90.7</v>
      </c>
    </row>
    <row r="2538" spans="1:12" x14ac:dyDescent="0.25">
      <c r="A2538" s="7">
        <v>45736</v>
      </c>
      <c r="B2538" t="s">
        <v>598</v>
      </c>
      <c r="C2538" s="6">
        <v>6004</v>
      </c>
      <c r="D2538" s="5" t="s">
        <v>779</v>
      </c>
      <c r="E2538" s="1">
        <v>0.36736111111111114</v>
      </c>
      <c r="F2538" s="1">
        <v>0.4826388888888889</v>
      </c>
      <c r="G2538" s="9">
        <f t="shared" si="256"/>
        <v>45733</v>
      </c>
      <c r="H2538" s="11">
        <f t="shared" si="257"/>
        <v>2.8</v>
      </c>
      <c r="I2538" s="10">
        <f t="shared" si="258"/>
        <v>2.8</v>
      </c>
      <c r="J2538" s="10">
        <f t="shared" si="259"/>
        <v>7.2</v>
      </c>
      <c r="K2538" s="10">
        <f t="shared" si="260"/>
        <v>23.900000000000002</v>
      </c>
      <c r="L2538" s="10">
        <f t="shared" si="261"/>
        <v>93.5</v>
      </c>
    </row>
    <row r="2539" spans="1:12" x14ac:dyDescent="0.25">
      <c r="A2539" s="7">
        <v>45736</v>
      </c>
      <c r="B2539" t="s">
        <v>598</v>
      </c>
      <c r="C2539" s="6">
        <v>6004</v>
      </c>
      <c r="D2539" s="5" t="s">
        <v>779</v>
      </c>
      <c r="E2539" s="1">
        <v>0.50277777777777777</v>
      </c>
      <c r="F2539" s="1">
        <v>0.54166666666666663</v>
      </c>
      <c r="G2539" s="9">
        <f t="shared" si="256"/>
        <v>45733</v>
      </c>
      <c r="H2539" s="11">
        <f t="shared" si="257"/>
        <v>0.9</v>
      </c>
      <c r="I2539" s="10">
        <f t="shared" si="258"/>
        <v>3.6999999999999997</v>
      </c>
      <c r="J2539" s="10">
        <f t="shared" si="259"/>
        <v>7.2</v>
      </c>
      <c r="K2539" s="10">
        <f t="shared" si="260"/>
        <v>24.799999999999997</v>
      </c>
      <c r="L2539" s="10">
        <f t="shared" si="261"/>
        <v>94.4</v>
      </c>
    </row>
    <row r="2540" spans="1:12" x14ac:dyDescent="0.25">
      <c r="A2540" s="7">
        <v>45736</v>
      </c>
      <c r="B2540" s="2" t="s">
        <v>464</v>
      </c>
      <c r="C2540" s="6">
        <v>2431</v>
      </c>
      <c r="D2540" s="5" t="s">
        <v>782</v>
      </c>
      <c r="E2540" s="1">
        <v>0.54166666666666663</v>
      </c>
      <c r="F2540" s="1">
        <v>0.66249999999999998</v>
      </c>
      <c r="G2540" s="9">
        <f t="shared" si="256"/>
        <v>45733</v>
      </c>
      <c r="H2540" s="11">
        <f t="shared" si="257"/>
        <v>2.9</v>
      </c>
      <c r="I2540" s="10">
        <f t="shared" si="258"/>
        <v>6.6</v>
      </c>
      <c r="J2540" s="10">
        <f t="shared" si="259"/>
        <v>7.2</v>
      </c>
      <c r="K2540" s="10">
        <f t="shared" si="260"/>
        <v>27.7</v>
      </c>
      <c r="L2540" s="10">
        <f t="shared" si="261"/>
        <v>97.300000000000011</v>
      </c>
    </row>
    <row r="2541" spans="1:12" x14ac:dyDescent="0.25">
      <c r="A2541" s="7">
        <v>45737</v>
      </c>
      <c r="B2541" s="2" t="s">
        <v>551</v>
      </c>
      <c r="C2541" s="6">
        <v>6184</v>
      </c>
      <c r="D2541" s="5" t="s">
        <v>783</v>
      </c>
      <c r="E2541" s="1">
        <v>0.37430555555555556</v>
      </c>
      <c r="F2541" s="1">
        <v>0.49375000000000002</v>
      </c>
      <c r="G2541" s="9">
        <f t="shared" si="256"/>
        <v>45733</v>
      </c>
      <c r="H2541" s="11">
        <f t="shared" si="257"/>
        <v>2.9</v>
      </c>
      <c r="I2541" s="10">
        <f t="shared" si="258"/>
        <v>2.9</v>
      </c>
      <c r="J2541" s="10">
        <f t="shared" si="259"/>
        <v>7.2</v>
      </c>
      <c r="K2541" s="10">
        <f t="shared" si="260"/>
        <v>30.599999999999998</v>
      </c>
      <c r="L2541" s="10">
        <f t="shared" si="261"/>
        <v>100.2</v>
      </c>
    </row>
    <row r="2542" spans="1:12" x14ac:dyDescent="0.25">
      <c r="A2542" s="7">
        <v>45737</v>
      </c>
      <c r="B2542" t="s">
        <v>6</v>
      </c>
      <c r="C2542" s="6" t="s">
        <v>416</v>
      </c>
      <c r="D2542" s="5" t="s">
        <v>784</v>
      </c>
      <c r="E2542" s="1">
        <v>0.50694444444444442</v>
      </c>
      <c r="F2542" s="1">
        <v>0.54374999999999996</v>
      </c>
      <c r="G2542" s="9">
        <f t="shared" si="256"/>
        <v>45733</v>
      </c>
      <c r="H2542" s="11">
        <f t="shared" si="257"/>
        <v>0.9</v>
      </c>
      <c r="I2542" s="10">
        <f t="shared" si="258"/>
        <v>3.8</v>
      </c>
      <c r="J2542" s="10">
        <f t="shared" si="259"/>
        <v>7.2</v>
      </c>
      <c r="K2542" s="10">
        <f t="shared" si="260"/>
        <v>31.5</v>
      </c>
      <c r="L2542" s="10">
        <f t="shared" si="261"/>
        <v>101.10000000000001</v>
      </c>
    </row>
    <row r="2543" spans="1:12" x14ac:dyDescent="0.25">
      <c r="A2543" s="7">
        <v>45737</v>
      </c>
      <c r="B2543" t="s">
        <v>6</v>
      </c>
      <c r="C2543" s="6" t="s">
        <v>416</v>
      </c>
      <c r="D2543" s="5" t="s">
        <v>505</v>
      </c>
      <c r="E2543" s="1">
        <v>0.54374999999999996</v>
      </c>
      <c r="F2543" s="1">
        <v>0.56458333333333333</v>
      </c>
      <c r="G2543" s="9">
        <f t="shared" si="256"/>
        <v>45733</v>
      </c>
      <c r="H2543" s="11">
        <f t="shared" si="257"/>
        <v>0.5</v>
      </c>
      <c r="I2543" s="10">
        <f t="shared" si="258"/>
        <v>4.3</v>
      </c>
      <c r="J2543" s="10">
        <f t="shared" si="259"/>
        <v>7.2</v>
      </c>
      <c r="K2543" s="10">
        <f t="shared" si="260"/>
        <v>32</v>
      </c>
      <c r="L2543" s="10">
        <f t="shared" si="261"/>
        <v>101.6</v>
      </c>
    </row>
    <row r="2544" spans="1:12" x14ac:dyDescent="0.25">
      <c r="A2544" s="7">
        <v>45737</v>
      </c>
      <c r="B2544" s="2" t="s">
        <v>551</v>
      </c>
      <c r="C2544" s="6">
        <v>6184</v>
      </c>
      <c r="D2544" s="5" t="s">
        <v>783</v>
      </c>
      <c r="E2544" s="1">
        <v>0.56458333333333333</v>
      </c>
      <c r="F2544" s="1">
        <v>0.65555555555555556</v>
      </c>
      <c r="G2544" s="9">
        <f t="shared" si="256"/>
        <v>45733</v>
      </c>
      <c r="H2544" s="11">
        <f t="shared" si="257"/>
        <v>2.2000000000000002</v>
      </c>
      <c r="I2544" s="10">
        <f t="shared" si="258"/>
        <v>6.5</v>
      </c>
      <c r="J2544" s="10">
        <f t="shared" si="259"/>
        <v>7.2</v>
      </c>
      <c r="K2544" s="10">
        <f t="shared" si="260"/>
        <v>34.200000000000003</v>
      </c>
      <c r="L2544" s="10">
        <f t="shared" si="261"/>
        <v>103.8</v>
      </c>
    </row>
    <row r="2545" spans="1:12" x14ac:dyDescent="0.25">
      <c r="A2545" s="7">
        <v>45740</v>
      </c>
      <c r="B2545" t="s">
        <v>6</v>
      </c>
      <c r="C2545" s="6" t="s">
        <v>416</v>
      </c>
      <c r="D2545" s="5" t="s">
        <v>104</v>
      </c>
      <c r="E2545" s="1">
        <v>0.3611111111111111</v>
      </c>
      <c r="F2545" s="1">
        <v>0.41666666666666669</v>
      </c>
      <c r="G2545" s="9">
        <f t="shared" si="256"/>
        <v>45740</v>
      </c>
      <c r="H2545" s="11">
        <f t="shared" si="257"/>
        <v>1.3</v>
      </c>
      <c r="I2545" s="10">
        <f t="shared" si="258"/>
        <v>1.3</v>
      </c>
      <c r="J2545" s="10">
        <f t="shared" si="259"/>
        <v>7.2</v>
      </c>
      <c r="K2545" s="10">
        <f t="shared" si="260"/>
        <v>1.3</v>
      </c>
      <c r="L2545" s="10">
        <f t="shared" si="261"/>
        <v>105.1</v>
      </c>
    </row>
    <row r="2546" spans="1:12" x14ac:dyDescent="0.25">
      <c r="A2546" s="7">
        <v>45740</v>
      </c>
      <c r="B2546" t="s">
        <v>6</v>
      </c>
      <c r="C2546" s="6" t="s">
        <v>416</v>
      </c>
      <c r="D2546" s="5" t="s">
        <v>58</v>
      </c>
      <c r="E2546" s="1">
        <v>0.41666666666666669</v>
      </c>
      <c r="F2546" s="1">
        <v>0.45208333333333334</v>
      </c>
      <c r="G2546" s="9">
        <f t="shared" si="256"/>
        <v>45740</v>
      </c>
      <c r="H2546" s="11">
        <f t="shared" si="257"/>
        <v>0.9</v>
      </c>
      <c r="I2546" s="10">
        <f t="shared" si="258"/>
        <v>2.2000000000000002</v>
      </c>
      <c r="J2546" s="10">
        <f t="shared" si="259"/>
        <v>7.2</v>
      </c>
      <c r="K2546" s="10">
        <f t="shared" si="260"/>
        <v>2.2000000000000002</v>
      </c>
      <c r="L2546" s="10">
        <f t="shared" si="261"/>
        <v>106</v>
      </c>
    </row>
    <row r="2547" spans="1:12" x14ac:dyDescent="0.25">
      <c r="A2547" s="7">
        <v>45740</v>
      </c>
      <c r="B2547" t="s">
        <v>598</v>
      </c>
      <c r="C2547" s="6">
        <v>6004</v>
      </c>
      <c r="D2547" s="5" t="s">
        <v>779</v>
      </c>
      <c r="E2547" s="1">
        <v>0.45208333333333334</v>
      </c>
      <c r="F2547" s="1">
        <v>0.46944444444444444</v>
      </c>
      <c r="G2547" s="9">
        <f t="shared" si="256"/>
        <v>45740</v>
      </c>
      <c r="H2547" s="11">
        <f t="shared" si="257"/>
        <v>0.4</v>
      </c>
      <c r="I2547" s="10">
        <f t="shared" si="258"/>
        <v>2.6</v>
      </c>
      <c r="J2547" s="10">
        <f t="shared" si="259"/>
        <v>7.2</v>
      </c>
      <c r="K2547" s="10">
        <f t="shared" si="260"/>
        <v>2.6</v>
      </c>
      <c r="L2547" s="10">
        <f t="shared" si="261"/>
        <v>106.4</v>
      </c>
    </row>
    <row r="2548" spans="1:12" x14ac:dyDescent="0.25">
      <c r="A2548" s="7">
        <v>45740</v>
      </c>
      <c r="B2548" s="2" t="s">
        <v>551</v>
      </c>
      <c r="C2548" s="6">
        <v>6184</v>
      </c>
      <c r="D2548" s="5" t="s">
        <v>785</v>
      </c>
      <c r="E2548" s="1">
        <v>0.49236111111111114</v>
      </c>
      <c r="F2548" s="1">
        <v>0.60416666666666663</v>
      </c>
      <c r="G2548" s="9">
        <f t="shared" si="256"/>
        <v>45740</v>
      </c>
      <c r="H2548" s="11">
        <f t="shared" si="257"/>
        <v>2.7</v>
      </c>
      <c r="I2548" s="10">
        <f t="shared" si="258"/>
        <v>5.3000000000000007</v>
      </c>
      <c r="J2548" s="10">
        <f t="shared" si="259"/>
        <v>7.2</v>
      </c>
      <c r="K2548" s="10">
        <f t="shared" si="260"/>
        <v>5.3000000000000007</v>
      </c>
      <c r="L2548" s="10">
        <f t="shared" si="261"/>
        <v>109.10000000000001</v>
      </c>
    </row>
    <row r="2549" spans="1:12" x14ac:dyDescent="0.25">
      <c r="A2549" s="7">
        <v>45740</v>
      </c>
      <c r="B2549" s="2" t="s">
        <v>464</v>
      </c>
      <c r="C2549" s="6">
        <v>2431</v>
      </c>
      <c r="D2549" s="5" t="s">
        <v>32</v>
      </c>
      <c r="E2549" s="1">
        <v>0.60416666666666663</v>
      </c>
      <c r="F2549" s="1">
        <v>0.64722222222222225</v>
      </c>
      <c r="G2549" s="9">
        <f t="shared" si="256"/>
        <v>45740</v>
      </c>
      <c r="H2549" s="11">
        <f t="shared" si="257"/>
        <v>1</v>
      </c>
      <c r="I2549" s="10">
        <f t="shared" si="258"/>
        <v>6.3</v>
      </c>
      <c r="J2549" s="10">
        <f t="shared" si="259"/>
        <v>7.2</v>
      </c>
      <c r="K2549" s="10">
        <f t="shared" si="260"/>
        <v>6.3</v>
      </c>
      <c r="L2549" s="10">
        <f t="shared" si="261"/>
        <v>110.1</v>
      </c>
    </row>
    <row r="2550" spans="1:12" x14ac:dyDescent="0.25">
      <c r="A2550" s="7">
        <v>45740</v>
      </c>
      <c r="B2550" s="2" t="s">
        <v>551</v>
      </c>
      <c r="C2550" s="6">
        <v>6184</v>
      </c>
      <c r="D2550" s="5" t="s">
        <v>785</v>
      </c>
      <c r="E2550" s="1">
        <v>0.64722222222222225</v>
      </c>
      <c r="F2550" s="1">
        <v>0.65694444444444444</v>
      </c>
      <c r="G2550" s="9">
        <f t="shared" si="256"/>
        <v>45740</v>
      </c>
      <c r="H2550" s="11">
        <f t="shared" si="257"/>
        <v>0.2</v>
      </c>
      <c r="I2550" s="10">
        <f t="shared" si="258"/>
        <v>6.5</v>
      </c>
      <c r="J2550" s="10">
        <f t="shared" si="259"/>
        <v>7.2</v>
      </c>
      <c r="K2550" s="10">
        <f t="shared" si="260"/>
        <v>6.5</v>
      </c>
      <c r="L2550" s="10">
        <f t="shared" si="261"/>
        <v>110.3</v>
      </c>
    </row>
    <row r="2551" spans="1:12" x14ac:dyDescent="0.25">
      <c r="A2551" s="7">
        <v>45741</v>
      </c>
      <c r="B2551" s="2" t="s">
        <v>551</v>
      </c>
      <c r="C2551" s="6">
        <v>6184</v>
      </c>
      <c r="D2551" s="5" t="s">
        <v>785</v>
      </c>
      <c r="E2551" s="1">
        <v>0.34930555555555554</v>
      </c>
      <c r="F2551" s="1">
        <v>0.45694444444444443</v>
      </c>
      <c r="G2551" s="9">
        <f t="shared" si="256"/>
        <v>45740</v>
      </c>
      <c r="H2551" s="11">
        <f t="shared" si="257"/>
        <v>2.6</v>
      </c>
      <c r="I2551" s="10">
        <f t="shared" si="258"/>
        <v>2.6</v>
      </c>
      <c r="J2551" s="10">
        <f t="shared" si="259"/>
        <v>7.2</v>
      </c>
      <c r="K2551" s="10">
        <f t="shared" si="260"/>
        <v>9.1</v>
      </c>
      <c r="L2551" s="10">
        <f t="shared" si="261"/>
        <v>112.89999999999999</v>
      </c>
    </row>
    <row r="2552" spans="1:12" x14ac:dyDescent="0.25">
      <c r="A2552" s="7">
        <v>45741</v>
      </c>
      <c r="B2552" s="2" t="s">
        <v>551</v>
      </c>
      <c r="C2552" s="6">
        <v>6184</v>
      </c>
      <c r="D2552" s="5" t="s">
        <v>785</v>
      </c>
      <c r="E2552" s="1">
        <v>0.47361111111111109</v>
      </c>
      <c r="F2552" s="1">
        <v>0.6743055555555556</v>
      </c>
      <c r="G2552" s="9">
        <f t="shared" si="256"/>
        <v>45740</v>
      </c>
      <c r="H2552" s="11">
        <f t="shared" si="257"/>
        <v>4.8</v>
      </c>
      <c r="I2552" s="10">
        <f t="shared" si="258"/>
        <v>7.4</v>
      </c>
      <c r="J2552" s="10">
        <f t="shared" si="259"/>
        <v>7.2</v>
      </c>
      <c r="K2552" s="10">
        <f t="shared" si="260"/>
        <v>13.899999999999999</v>
      </c>
      <c r="L2552" s="10">
        <f t="shared" si="261"/>
        <v>117.7</v>
      </c>
    </row>
    <row r="2553" spans="1:12" x14ac:dyDescent="0.25">
      <c r="A2553" s="7">
        <v>45742</v>
      </c>
      <c r="B2553" t="s">
        <v>598</v>
      </c>
      <c r="C2553" s="6">
        <v>6004</v>
      </c>
      <c r="D2553" s="5" t="s">
        <v>786</v>
      </c>
      <c r="E2553" s="1">
        <v>0.35069444444444442</v>
      </c>
      <c r="F2553" s="1">
        <v>0.39652777777777776</v>
      </c>
      <c r="G2553" s="9">
        <f t="shared" si="256"/>
        <v>45740</v>
      </c>
      <c r="H2553" s="11">
        <f t="shared" si="257"/>
        <v>1.1000000000000001</v>
      </c>
      <c r="I2553" s="10">
        <f t="shared" si="258"/>
        <v>1.1000000000000001</v>
      </c>
      <c r="J2553" s="10">
        <f t="shared" si="259"/>
        <v>7.2</v>
      </c>
      <c r="K2553" s="10">
        <f t="shared" si="260"/>
        <v>15</v>
      </c>
      <c r="L2553" s="10">
        <f t="shared" si="261"/>
        <v>118.8</v>
      </c>
    </row>
    <row r="2554" spans="1:12" x14ac:dyDescent="0.25">
      <c r="A2554" s="7">
        <v>45742</v>
      </c>
      <c r="B2554" s="2" t="s">
        <v>551</v>
      </c>
      <c r="C2554" s="6">
        <v>6184</v>
      </c>
      <c r="D2554" s="5" t="s">
        <v>107</v>
      </c>
      <c r="E2554" s="1">
        <v>0.39652777777777776</v>
      </c>
      <c r="F2554" s="1">
        <v>0.49652777777777779</v>
      </c>
      <c r="G2554" s="9">
        <f t="shared" si="256"/>
        <v>45740</v>
      </c>
      <c r="H2554" s="11">
        <f t="shared" si="257"/>
        <v>2.4</v>
      </c>
      <c r="I2554" s="10">
        <f t="shared" si="258"/>
        <v>3.5</v>
      </c>
      <c r="J2554" s="10">
        <f t="shared" si="259"/>
        <v>7.2</v>
      </c>
      <c r="K2554" s="10">
        <f t="shared" si="260"/>
        <v>17.399999999999999</v>
      </c>
      <c r="L2554" s="10">
        <f t="shared" si="261"/>
        <v>121.2</v>
      </c>
    </row>
    <row r="2555" spans="1:12" x14ac:dyDescent="0.25">
      <c r="A2555" s="7">
        <v>45742</v>
      </c>
      <c r="B2555" s="2" t="s">
        <v>551</v>
      </c>
      <c r="C2555" s="6">
        <v>6184</v>
      </c>
      <c r="D2555" s="5" t="s">
        <v>107</v>
      </c>
      <c r="E2555" s="1">
        <v>0.50902777777777775</v>
      </c>
      <c r="F2555" s="1">
        <v>0.69027777777777777</v>
      </c>
      <c r="G2555" s="9">
        <f t="shared" si="256"/>
        <v>45740</v>
      </c>
      <c r="H2555" s="11">
        <f t="shared" si="257"/>
        <v>4.4000000000000004</v>
      </c>
      <c r="I2555" s="10">
        <f t="shared" si="258"/>
        <v>7.9</v>
      </c>
      <c r="J2555" s="10">
        <f t="shared" si="259"/>
        <v>7.2</v>
      </c>
      <c r="K2555" s="10">
        <f t="shared" si="260"/>
        <v>21.799999999999997</v>
      </c>
      <c r="L2555" s="10">
        <f t="shared" si="261"/>
        <v>125.60000000000001</v>
      </c>
    </row>
    <row r="2556" spans="1:12" x14ac:dyDescent="0.25">
      <c r="A2556" s="7">
        <v>45743</v>
      </c>
      <c r="B2556" s="2" t="s">
        <v>551</v>
      </c>
      <c r="C2556" s="6">
        <v>6184</v>
      </c>
      <c r="D2556" s="5" t="s">
        <v>107</v>
      </c>
      <c r="E2556" s="1">
        <v>0.35833333333333334</v>
      </c>
      <c r="F2556" s="1">
        <v>0.51875000000000004</v>
      </c>
      <c r="G2556" s="9">
        <f t="shared" si="256"/>
        <v>45740</v>
      </c>
      <c r="H2556" s="11">
        <f t="shared" si="257"/>
        <v>3.9</v>
      </c>
      <c r="I2556" s="10">
        <f t="shared" si="258"/>
        <v>3.9</v>
      </c>
      <c r="J2556" s="10">
        <f t="shared" si="259"/>
        <v>7.2</v>
      </c>
      <c r="K2556" s="10">
        <f t="shared" si="260"/>
        <v>25.7</v>
      </c>
      <c r="L2556" s="10">
        <f t="shared" si="261"/>
        <v>129.5</v>
      </c>
    </row>
    <row r="2557" spans="1:12" x14ac:dyDescent="0.25">
      <c r="A2557" s="7">
        <v>45743</v>
      </c>
      <c r="B2557" s="2" t="s">
        <v>551</v>
      </c>
      <c r="C2557" s="6">
        <v>6184</v>
      </c>
      <c r="D2557" s="5" t="s">
        <v>107</v>
      </c>
      <c r="E2557" s="1">
        <v>0.53125</v>
      </c>
      <c r="F2557" s="1">
        <v>0.625</v>
      </c>
      <c r="G2557" s="9">
        <f t="shared" ref="G2557:G2611" si="262">IF(E2557&gt;0,INT((A2557-2)/7)*7+2,"")</f>
        <v>45740</v>
      </c>
      <c r="H2557" s="11">
        <f t="shared" ref="H2557:H2611" si="263">IF(E2557&gt;0,ROUND(24*(IF(F2557&gt;0,F2557,NowTime)-E2557),1),"")</f>
        <v>2.2999999999999998</v>
      </c>
      <c r="I2557" s="10">
        <f t="shared" ref="I2557:I2611" si="264">IF(H2557="",H2557,H2557+IF(A2557=A2556,_xlfn.NUMBERVALUE(I2556),0))</f>
        <v>6.1999999999999993</v>
      </c>
      <c r="J2557" s="10">
        <f t="shared" ref="J2557:J2611" si="265">IF(H2557="",H2557,7.2)</f>
        <v>7.2</v>
      </c>
      <c r="K2557" s="10">
        <f t="shared" ref="K2557:K2611" si="266">IF(H2557="",H2557,H2557+IF(G2557=G2556,_xlfn.NUMBERVALUE(K2556),0))</f>
        <v>28</v>
      </c>
      <c r="L2557" s="10">
        <f t="shared" ref="L2557:L2611" si="267">IF(H2557="",H2557,H2557+IF(MONTH(A2557)=MONTH(A2556),_xlfn.NUMBERVALUE(L2556),0))</f>
        <v>131.80000000000001</v>
      </c>
    </row>
    <row r="2558" spans="1:12" x14ac:dyDescent="0.25">
      <c r="A2558" s="7">
        <v>45743</v>
      </c>
      <c r="B2558" s="2" t="s">
        <v>464</v>
      </c>
      <c r="C2558" s="6">
        <v>2431</v>
      </c>
      <c r="D2558" s="5" t="s">
        <v>32</v>
      </c>
      <c r="E2558" s="1">
        <v>0.625</v>
      </c>
      <c r="F2558" s="1">
        <v>0.67500000000000004</v>
      </c>
      <c r="G2558" s="9">
        <f t="shared" si="262"/>
        <v>45740</v>
      </c>
      <c r="H2558" s="11">
        <f t="shared" si="263"/>
        <v>1.2</v>
      </c>
      <c r="I2558" s="10">
        <f t="shared" si="264"/>
        <v>7.4</v>
      </c>
      <c r="J2558" s="10">
        <f t="shared" si="265"/>
        <v>7.2</v>
      </c>
      <c r="K2558" s="10">
        <f t="shared" si="266"/>
        <v>29.2</v>
      </c>
      <c r="L2558" s="10">
        <f t="shared" si="267"/>
        <v>133</v>
      </c>
    </row>
    <row r="2559" spans="1:12" x14ac:dyDescent="0.25">
      <c r="A2559" s="7">
        <v>45744</v>
      </c>
      <c r="B2559" s="2" t="s">
        <v>551</v>
      </c>
      <c r="C2559" s="6">
        <v>6184</v>
      </c>
      <c r="D2559" s="5" t="s">
        <v>107</v>
      </c>
      <c r="E2559" s="1">
        <v>0.33888888888888891</v>
      </c>
      <c r="F2559" s="1">
        <v>0.54166666666666663</v>
      </c>
      <c r="G2559" s="9">
        <f t="shared" si="262"/>
        <v>45740</v>
      </c>
      <c r="H2559" s="11">
        <f t="shared" si="263"/>
        <v>4.9000000000000004</v>
      </c>
      <c r="I2559" s="10">
        <f t="shared" si="264"/>
        <v>4.9000000000000004</v>
      </c>
      <c r="J2559" s="10">
        <f t="shared" si="265"/>
        <v>7.2</v>
      </c>
      <c r="K2559" s="10">
        <f t="shared" si="266"/>
        <v>34.1</v>
      </c>
      <c r="L2559" s="10">
        <f t="shared" si="267"/>
        <v>137.9</v>
      </c>
    </row>
    <row r="2560" spans="1:12" x14ac:dyDescent="0.25">
      <c r="A2560" s="7">
        <v>45744</v>
      </c>
      <c r="B2560" t="s">
        <v>6</v>
      </c>
      <c r="C2560" s="6" t="s">
        <v>416</v>
      </c>
      <c r="D2560" s="5" t="s">
        <v>505</v>
      </c>
      <c r="E2560" s="1">
        <v>0.54166666666666663</v>
      </c>
      <c r="F2560" s="1">
        <v>0.57291666666666663</v>
      </c>
      <c r="G2560" s="9">
        <f t="shared" si="262"/>
        <v>45740</v>
      </c>
      <c r="H2560" s="11">
        <f t="shared" si="263"/>
        <v>0.8</v>
      </c>
      <c r="I2560" s="10">
        <f t="shared" si="264"/>
        <v>5.7</v>
      </c>
      <c r="J2560" s="10">
        <f t="shared" si="265"/>
        <v>7.2</v>
      </c>
      <c r="K2560" s="10">
        <f t="shared" si="266"/>
        <v>34.9</v>
      </c>
      <c r="L2560" s="10">
        <f t="shared" si="267"/>
        <v>138.70000000000002</v>
      </c>
    </row>
    <row r="2561" spans="1:12" x14ac:dyDescent="0.25">
      <c r="A2561" s="7">
        <v>45744</v>
      </c>
      <c r="B2561" s="2" t="s">
        <v>551</v>
      </c>
      <c r="C2561" s="6">
        <v>6184</v>
      </c>
      <c r="D2561" s="5" t="s">
        <v>107</v>
      </c>
      <c r="E2561" s="1">
        <v>0.57291666666666663</v>
      </c>
      <c r="F2561" s="1">
        <v>0.62708333333333333</v>
      </c>
      <c r="G2561" s="9">
        <f t="shared" si="262"/>
        <v>45740</v>
      </c>
      <c r="H2561" s="11">
        <f t="shared" si="263"/>
        <v>1.3</v>
      </c>
      <c r="I2561" s="10">
        <f t="shared" si="264"/>
        <v>7</v>
      </c>
      <c r="J2561" s="10">
        <f t="shared" si="265"/>
        <v>7.2</v>
      </c>
      <c r="K2561" s="10">
        <f t="shared" si="266"/>
        <v>36.199999999999996</v>
      </c>
      <c r="L2561" s="10">
        <f t="shared" si="267"/>
        <v>140</v>
      </c>
    </row>
    <row r="2562" spans="1:12" x14ac:dyDescent="0.25">
      <c r="A2562" s="7">
        <v>45747</v>
      </c>
      <c r="B2562" s="2" t="s">
        <v>464</v>
      </c>
      <c r="C2562" s="6">
        <v>2431</v>
      </c>
      <c r="D2562" s="5" t="s">
        <v>670</v>
      </c>
      <c r="E2562" s="1">
        <v>0.33194444444444443</v>
      </c>
      <c r="F2562" s="1">
        <v>0.45902777777777776</v>
      </c>
      <c r="G2562" s="9">
        <f t="shared" si="262"/>
        <v>45747</v>
      </c>
      <c r="H2562" s="11">
        <f t="shared" si="263"/>
        <v>3.1</v>
      </c>
      <c r="I2562" s="10">
        <f t="shared" si="264"/>
        <v>3.1</v>
      </c>
      <c r="J2562" s="10">
        <f t="shared" si="265"/>
        <v>7.2</v>
      </c>
      <c r="K2562" s="10">
        <f t="shared" si="266"/>
        <v>3.1</v>
      </c>
      <c r="L2562" s="10">
        <f t="shared" si="267"/>
        <v>143.1</v>
      </c>
    </row>
    <row r="2563" spans="1:12" x14ac:dyDescent="0.25">
      <c r="A2563" s="7">
        <v>45747</v>
      </c>
      <c r="B2563" s="2" t="s">
        <v>464</v>
      </c>
      <c r="C2563" s="6">
        <v>2431</v>
      </c>
      <c r="D2563" s="5" t="s">
        <v>670</v>
      </c>
      <c r="E2563" s="1">
        <v>0.51458333333333328</v>
      </c>
      <c r="F2563" s="1">
        <v>0.54166666666666663</v>
      </c>
      <c r="G2563" s="9">
        <f t="shared" si="262"/>
        <v>45747</v>
      </c>
      <c r="H2563" s="11">
        <f t="shared" si="263"/>
        <v>0.7</v>
      </c>
      <c r="I2563" s="10">
        <f t="shared" si="264"/>
        <v>3.8</v>
      </c>
      <c r="J2563" s="10">
        <f t="shared" si="265"/>
        <v>7.2</v>
      </c>
      <c r="K2563" s="10">
        <f t="shared" si="266"/>
        <v>3.8</v>
      </c>
      <c r="L2563" s="10">
        <f t="shared" si="267"/>
        <v>143.79999999999998</v>
      </c>
    </row>
    <row r="2564" spans="1:12" x14ac:dyDescent="0.25">
      <c r="A2564" s="7">
        <v>45747</v>
      </c>
      <c r="B2564" s="2" t="s">
        <v>551</v>
      </c>
      <c r="C2564" s="6">
        <v>6184</v>
      </c>
      <c r="D2564" s="5" t="s">
        <v>107</v>
      </c>
      <c r="E2564" s="1">
        <v>0.54166666666666663</v>
      </c>
      <c r="F2564" s="1">
        <v>0.58333333333333337</v>
      </c>
      <c r="G2564" s="9">
        <f t="shared" si="262"/>
        <v>45747</v>
      </c>
      <c r="H2564" s="11">
        <f t="shared" si="263"/>
        <v>1</v>
      </c>
      <c r="I2564" s="10">
        <f t="shared" si="264"/>
        <v>4.8</v>
      </c>
      <c r="J2564" s="10">
        <f t="shared" si="265"/>
        <v>7.2</v>
      </c>
      <c r="K2564" s="10">
        <f t="shared" si="266"/>
        <v>4.8</v>
      </c>
      <c r="L2564" s="10">
        <f t="shared" si="267"/>
        <v>144.80000000000001</v>
      </c>
    </row>
    <row r="2565" spans="1:12" x14ac:dyDescent="0.25">
      <c r="A2565" s="7">
        <v>45747</v>
      </c>
      <c r="B2565" t="s">
        <v>6</v>
      </c>
      <c r="C2565" s="6" t="s">
        <v>416</v>
      </c>
      <c r="D2565" s="5" t="s">
        <v>787</v>
      </c>
      <c r="E2565" s="1">
        <v>0.58333333333333337</v>
      </c>
      <c r="F2565" s="1">
        <v>0.61458333333333337</v>
      </c>
      <c r="G2565" s="9">
        <f t="shared" si="262"/>
        <v>45747</v>
      </c>
      <c r="H2565" s="11">
        <f t="shared" si="263"/>
        <v>0.8</v>
      </c>
      <c r="I2565" s="10">
        <f t="shared" si="264"/>
        <v>5.6</v>
      </c>
      <c r="J2565" s="10">
        <f t="shared" si="265"/>
        <v>7.2</v>
      </c>
      <c r="K2565" s="10">
        <f t="shared" si="266"/>
        <v>5.6</v>
      </c>
      <c r="L2565" s="10">
        <f t="shared" si="267"/>
        <v>145.60000000000002</v>
      </c>
    </row>
    <row r="2566" spans="1:12" x14ac:dyDescent="0.25">
      <c r="A2566" s="7">
        <v>45747</v>
      </c>
      <c r="B2566" s="2" t="s">
        <v>464</v>
      </c>
      <c r="C2566" s="6">
        <v>2431</v>
      </c>
      <c r="D2566" s="5" t="s">
        <v>32</v>
      </c>
      <c r="E2566" s="1">
        <v>0.61458333333333337</v>
      </c>
      <c r="F2566" s="1">
        <v>0.63888888888888884</v>
      </c>
      <c r="G2566" s="9">
        <f t="shared" si="262"/>
        <v>45747</v>
      </c>
      <c r="H2566" s="11">
        <f t="shared" si="263"/>
        <v>0.6</v>
      </c>
      <c r="I2566" s="10">
        <f t="shared" si="264"/>
        <v>6.1999999999999993</v>
      </c>
      <c r="J2566" s="10">
        <f t="shared" si="265"/>
        <v>7.2</v>
      </c>
      <c r="K2566" s="10">
        <f t="shared" si="266"/>
        <v>6.1999999999999993</v>
      </c>
      <c r="L2566" s="10">
        <f t="shared" si="267"/>
        <v>146.19999999999999</v>
      </c>
    </row>
    <row r="2567" spans="1:12" x14ac:dyDescent="0.25">
      <c r="A2567" s="7">
        <v>45747</v>
      </c>
      <c r="B2567" s="2" t="s">
        <v>464</v>
      </c>
      <c r="C2567" s="6">
        <v>2431</v>
      </c>
      <c r="D2567" s="5" t="s">
        <v>670</v>
      </c>
      <c r="E2567" s="1">
        <v>0.63888888888888884</v>
      </c>
      <c r="F2567" s="1">
        <v>0.64930555555555558</v>
      </c>
      <c r="G2567" s="9">
        <f t="shared" si="262"/>
        <v>45747</v>
      </c>
      <c r="H2567" s="11">
        <f t="shared" si="263"/>
        <v>0.3</v>
      </c>
      <c r="I2567" s="10">
        <f t="shared" si="264"/>
        <v>6.5</v>
      </c>
      <c r="J2567" s="10">
        <f t="shared" si="265"/>
        <v>7.2</v>
      </c>
      <c r="K2567" s="10">
        <f t="shared" si="266"/>
        <v>6.5</v>
      </c>
      <c r="L2567" s="10">
        <f t="shared" si="267"/>
        <v>146.5</v>
      </c>
    </row>
    <row r="2568" spans="1:12" x14ac:dyDescent="0.25">
      <c r="A2568" s="7">
        <v>45748</v>
      </c>
      <c r="B2568" s="2" t="s">
        <v>551</v>
      </c>
      <c r="C2568" s="6">
        <v>6184</v>
      </c>
      <c r="D2568" s="5" t="s">
        <v>107</v>
      </c>
      <c r="E2568" s="1">
        <v>0.36319444444444443</v>
      </c>
      <c r="F2568" s="1">
        <v>0.49583333333333335</v>
      </c>
      <c r="G2568" s="9">
        <f t="shared" si="262"/>
        <v>45747</v>
      </c>
      <c r="H2568" s="11">
        <f t="shared" si="263"/>
        <v>3.2</v>
      </c>
      <c r="I2568" s="10">
        <f t="shared" si="264"/>
        <v>3.2</v>
      </c>
      <c r="J2568" s="10">
        <f t="shared" si="265"/>
        <v>7.2</v>
      </c>
      <c r="K2568" s="10">
        <f t="shared" si="266"/>
        <v>9.6999999999999993</v>
      </c>
      <c r="L2568" s="10">
        <f t="shared" si="267"/>
        <v>3.2</v>
      </c>
    </row>
    <row r="2569" spans="1:12" x14ac:dyDescent="0.25">
      <c r="A2569" s="7">
        <v>45748</v>
      </c>
      <c r="B2569" s="2" t="s">
        <v>551</v>
      </c>
      <c r="C2569" s="6">
        <v>6184</v>
      </c>
      <c r="D2569" s="5" t="s">
        <v>107</v>
      </c>
      <c r="E2569" s="1">
        <v>0.51388888888888884</v>
      </c>
      <c r="F2569" s="1">
        <v>0.61041666666666672</v>
      </c>
      <c r="G2569" s="9">
        <f t="shared" si="262"/>
        <v>45747</v>
      </c>
      <c r="H2569" s="11">
        <f t="shared" si="263"/>
        <v>2.2999999999999998</v>
      </c>
      <c r="I2569" s="10">
        <f t="shared" si="264"/>
        <v>5.5</v>
      </c>
      <c r="J2569" s="10">
        <f t="shared" si="265"/>
        <v>7.2</v>
      </c>
      <c r="K2569" s="10">
        <f t="shared" si="266"/>
        <v>12</v>
      </c>
      <c r="L2569" s="10">
        <f t="shared" si="267"/>
        <v>5.5</v>
      </c>
    </row>
    <row r="2570" spans="1:12" x14ac:dyDescent="0.25">
      <c r="A2570" s="7">
        <v>45748</v>
      </c>
      <c r="B2570" t="s">
        <v>598</v>
      </c>
      <c r="C2570" s="6">
        <v>6004</v>
      </c>
      <c r="D2570" s="5" t="s">
        <v>107</v>
      </c>
      <c r="E2570" s="1">
        <v>0.61041666666666672</v>
      </c>
      <c r="F2570" s="1">
        <v>0.68402777777777779</v>
      </c>
      <c r="G2570" s="9">
        <f t="shared" si="262"/>
        <v>45747</v>
      </c>
      <c r="H2570" s="11">
        <f t="shared" si="263"/>
        <v>1.8</v>
      </c>
      <c r="I2570" s="10">
        <f t="shared" si="264"/>
        <v>7.3</v>
      </c>
      <c r="J2570" s="10">
        <f t="shared" si="265"/>
        <v>7.2</v>
      </c>
      <c r="K2570" s="10">
        <f t="shared" si="266"/>
        <v>13.8</v>
      </c>
      <c r="L2570" s="10">
        <f t="shared" si="267"/>
        <v>7.3</v>
      </c>
    </row>
    <row r="2571" spans="1:12" x14ac:dyDescent="0.25">
      <c r="A2571" s="7">
        <v>45749</v>
      </c>
      <c r="B2571" t="s">
        <v>598</v>
      </c>
      <c r="C2571" s="6">
        <v>6004</v>
      </c>
      <c r="D2571" s="5" t="s">
        <v>107</v>
      </c>
      <c r="E2571" s="1">
        <v>0.35694444444444445</v>
      </c>
      <c r="F2571" s="1">
        <v>0.52222222222222225</v>
      </c>
      <c r="G2571" s="9">
        <f t="shared" si="262"/>
        <v>45747</v>
      </c>
      <c r="H2571" s="11">
        <f t="shared" si="263"/>
        <v>4</v>
      </c>
      <c r="I2571" s="10">
        <f t="shared" si="264"/>
        <v>4</v>
      </c>
      <c r="J2571" s="10">
        <f t="shared" si="265"/>
        <v>7.2</v>
      </c>
      <c r="K2571" s="10">
        <f t="shared" si="266"/>
        <v>17.8</v>
      </c>
      <c r="L2571" s="10">
        <f t="shared" si="267"/>
        <v>11.3</v>
      </c>
    </row>
    <row r="2572" spans="1:12" x14ac:dyDescent="0.25">
      <c r="A2572" s="7">
        <v>45749</v>
      </c>
      <c r="B2572" t="s">
        <v>598</v>
      </c>
      <c r="C2572" s="6">
        <v>6004</v>
      </c>
      <c r="D2572" s="5" t="s">
        <v>107</v>
      </c>
      <c r="E2572" s="1">
        <v>0.54166666666666663</v>
      </c>
      <c r="F2572" s="1">
        <v>0.62013888888888891</v>
      </c>
      <c r="G2572" s="9">
        <f t="shared" si="262"/>
        <v>45747</v>
      </c>
      <c r="H2572" s="11">
        <f t="shared" si="263"/>
        <v>1.9</v>
      </c>
      <c r="I2572" s="10">
        <f t="shared" si="264"/>
        <v>5.9</v>
      </c>
      <c r="J2572" s="10">
        <f t="shared" si="265"/>
        <v>7.2</v>
      </c>
      <c r="K2572" s="10">
        <f t="shared" si="266"/>
        <v>19.7</v>
      </c>
      <c r="L2572" s="10">
        <f t="shared" si="267"/>
        <v>13.200000000000001</v>
      </c>
    </row>
    <row r="2573" spans="1:12" x14ac:dyDescent="0.25">
      <c r="A2573" s="7">
        <v>45749</v>
      </c>
      <c r="B2573" s="2" t="s">
        <v>464</v>
      </c>
      <c r="C2573" s="6">
        <v>2431</v>
      </c>
      <c r="D2573" s="5" t="s">
        <v>670</v>
      </c>
      <c r="E2573" s="1">
        <v>0.62013888888888891</v>
      </c>
      <c r="F2573" s="1">
        <v>0.66666666666666663</v>
      </c>
      <c r="G2573" s="9">
        <f t="shared" si="262"/>
        <v>45747</v>
      </c>
      <c r="H2573" s="11">
        <f t="shared" si="263"/>
        <v>1.1000000000000001</v>
      </c>
      <c r="I2573" s="10">
        <f t="shared" si="264"/>
        <v>7</v>
      </c>
      <c r="J2573" s="10">
        <f t="shared" si="265"/>
        <v>7.2</v>
      </c>
      <c r="K2573" s="10">
        <f t="shared" si="266"/>
        <v>20.8</v>
      </c>
      <c r="L2573" s="10">
        <f t="shared" si="267"/>
        <v>14.299999999999999</v>
      </c>
    </row>
    <row r="2574" spans="1:12" x14ac:dyDescent="0.25">
      <c r="A2574" s="7">
        <v>45750</v>
      </c>
      <c r="B2574" s="2" t="s">
        <v>464</v>
      </c>
      <c r="C2574" s="6">
        <v>2431</v>
      </c>
      <c r="D2574" s="5" t="s">
        <v>670</v>
      </c>
      <c r="E2574" s="1">
        <v>0.34444444444444444</v>
      </c>
      <c r="F2574" s="1">
        <v>0.45833333333333331</v>
      </c>
      <c r="G2574" s="9">
        <f t="shared" si="262"/>
        <v>45747</v>
      </c>
      <c r="H2574" s="11">
        <f t="shared" si="263"/>
        <v>2.7</v>
      </c>
      <c r="I2574" s="10">
        <f t="shared" si="264"/>
        <v>2.7</v>
      </c>
      <c r="J2574" s="10">
        <f t="shared" si="265"/>
        <v>7.2</v>
      </c>
      <c r="K2574" s="10">
        <f t="shared" si="266"/>
        <v>23.5</v>
      </c>
      <c r="L2574" s="10">
        <f t="shared" si="267"/>
        <v>17</v>
      </c>
    </row>
    <row r="2575" spans="1:12" x14ac:dyDescent="0.25">
      <c r="A2575" s="7">
        <v>45750</v>
      </c>
      <c r="B2575" s="2" t="s">
        <v>579</v>
      </c>
      <c r="C2575" s="6">
        <v>2682</v>
      </c>
      <c r="D2575" s="5" t="s">
        <v>44</v>
      </c>
      <c r="E2575" s="1">
        <v>0.45833333333333331</v>
      </c>
      <c r="F2575" s="1">
        <v>0.5</v>
      </c>
      <c r="G2575" s="9">
        <f t="shared" si="262"/>
        <v>45747</v>
      </c>
      <c r="H2575" s="11">
        <f t="shared" si="263"/>
        <v>1</v>
      </c>
      <c r="I2575" s="10">
        <f t="shared" si="264"/>
        <v>3.7</v>
      </c>
      <c r="J2575" s="10">
        <f t="shared" si="265"/>
        <v>7.2</v>
      </c>
      <c r="K2575" s="10">
        <f t="shared" si="266"/>
        <v>24.5</v>
      </c>
      <c r="L2575" s="10">
        <f t="shared" si="267"/>
        <v>18</v>
      </c>
    </row>
    <row r="2576" spans="1:12" x14ac:dyDescent="0.25">
      <c r="A2576" s="7">
        <v>45750</v>
      </c>
      <c r="B2576" s="2" t="s">
        <v>464</v>
      </c>
      <c r="C2576" s="6">
        <v>2431</v>
      </c>
      <c r="D2576" s="5" t="s">
        <v>670</v>
      </c>
      <c r="E2576" s="1">
        <v>0.5</v>
      </c>
      <c r="F2576" s="1">
        <v>0.52222222222222225</v>
      </c>
      <c r="G2576" s="9">
        <f t="shared" si="262"/>
        <v>45747</v>
      </c>
      <c r="H2576" s="11">
        <f t="shared" si="263"/>
        <v>0.5</v>
      </c>
      <c r="I2576" s="10">
        <f t="shared" si="264"/>
        <v>4.2</v>
      </c>
      <c r="J2576" s="10">
        <f t="shared" si="265"/>
        <v>7.2</v>
      </c>
      <c r="K2576" s="10">
        <f t="shared" si="266"/>
        <v>25</v>
      </c>
      <c r="L2576" s="10">
        <f t="shared" si="267"/>
        <v>18.5</v>
      </c>
    </row>
    <row r="2577" spans="1:12" x14ac:dyDescent="0.25">
      <c r="A2577" s="7">
        <v>45750</v>
      </c>
      <c r="B2577" s="2" t="s">
        <v>464</v>
      </c>
      <c r="C2577" s="6">
        <v>2431</v>
      </c>
      <c r="D2577" s="5" t="s">
        <v>670</v>
      </c>
      <c r="E2577" s="1">
        <v>0.53541666666666665</v>
      </c>
      <c r="F2577" s="1">
        <v>0.64513888888888893</v>
      </c>
      <c r="G2577" s="9">
        <f t="shared" si="262"/>
        <v>45747</v>
      </c>
      <c r="H2577" s="11">
        <f t="shared" si="263"/>
        <v>2.6</v>
      </c>
      <c r="I2577" s="10">
        <f t="shared" si="264"/>
        <v>6.8000000000000007</v>
      </c>
      <c r="J2577" s="10">
        <f t="shared" si="265"/>
        <v>7.2</v>
      </c>
      <c r="K2577" s="10">
        <f t="shared" si="266"/>
        <v>27.6</v>
      </c>
      <c r="L2577" s="10">
        <f t="shared" si="267"/>
        <v>21.1</v>
      </c>
    </row>
    <row r="2578" spans="1:12" x14ac:dyDescent="0.25">
      <c r="A2578" s="7">
        <v>45751</v>
      </c>
      <c r="B2578" s="2" t="s">
        <v>464</v>
      </c>
      <c r="C2578" s="6">
        <v>2431</v>
      </c>
      <c r="D2578" s="5" t="s">
        <v>670</v>
      </c>
      <c r="E2578" s="1">
        <v>0.35347222222222224</v>
      </c>
      <c r="F2578" s="1">
        <v>0.42291666666666666</v>
      </c>
      <c r="G2578" s="9">
        <f t="shared" si="262"/>
        <v>45747</v>
      </c>
      <c r="H2578" s="11">
        <f t="shared" si="263"/>
        <v>1.7</v>
      </c>
      <c r="I2578" s="10">
        <f t="shared" si="264"/>
        <v>1.7</v>
      </c>
      <c r="J2578" s="10">
        <f t="shared" si="265"/>
        <v>7.2</v>
      </c>
      <c r="K2578" s="10">
        <f t="shared" si="266"/>
        <v>29.3</v>
      </c>
      <c r="L2578" s="10">
        <f t="shared" si="267"/>
        <v>22.8</v>
      </c>
    </row>
    <row r="2579" spans="1:12" x14ac:dyDescent="0.25">
      <c r="A2579" s="7">
        <v>45751</v>
      </c>
      <c r="B2579" s="2" t="s">
        <v>551</v>
      </c>
      <c r="C2579" s="6">
        <v>6184</v>
      </c>
      <c r="D2579" s="5" t="s">
        <v>779</v>
      </c>
      <c r="E2579" s="1">
        <v>0.42291666666666666</v>
      </c>
      <c r="F2579" s="1">
        <v>0.48194444444444445</v>
      </c>
      <c r="G2579" s="9">
        <f t="shared" si="262"/>
        <v>45747</v>
      </c>
      <c r="H2579" s="11">
        <f t="shared" si="263"/>
        <v>1.4</v>
      </c>
      <c r="I2579" s="10">
        <f t="shared" si="264"/>
        <v>3.0999999999999996</v>
      </c>
      <c r="J2579" s="10">
        <f t="shared" si="265"/>
        <v>7.2</v>
      </c>
      <c r="K2579" s="10">
        <f t="shared" si="266"/>
        <v>30.7</v>
      </c>
      <c r="L2579" s="10">
        <f t="shared" si="267"/>
        <v>24.2</v>
      </c>
    </row>
    <row r="2580" spans="1:12" x14ac:dyDescent="0.25">
      <c r="A2580" s="7">
        <v>45751</v>
      </c>
      <c r="B2580" s="2" t="s">
        <v>464</v>
      </c>
      <c r="C2580" s="6">
        <v>2431</v>
      </c>
      <c r="D2580" s="5" t="s">
        <v>670</v>
      </c>
      <c r="E2580" s="1">
        <v>0.48194444444444445</v>
      </c>
      <c r="F2580" s="1">
        <v>0.5</v>
      </c>
      <c r="G2580" s="9">
        <f t="shared" si="262"/>
        <v>45747</v>
      </c>
      <c r="H2580" s="11">
        <f t="shared" si="263"/>
        <v>0.4</v>
      </c>
      <c r="I2580" s="10">
        <f t="shared" si="264"/>
        <v>3.5</v>
      </c>
      <c r="J2580" s="10">
        <f t="shared" si="265"/>
        <v>7.2</v>
      </c>
      <c r="K2580" s="10">
        <f t="shared" si="266"/>
        <v>31.099999999999998</v>
      </c>
      <c r="L2580" s="10">
        <f t="shared" si="267"/>
        <v>24.599999999999998</v>
      </c>
    </row>
    <row r="2581" spans="1:12" x14ac:dyDescent="0.25">
      <c r="A2581" s="7">
        <v>45751</v>
      </c>
      <c r="B2581" s="2" t="s">
        <v>464</v>
      </c>
      <c r="C2581" s="6">
        <v>2431</v>
      </c>
      <c r="D2581" s="5" t="s">
        <v>670</v>
      </c>
      <c r="E2581" s="1">
        <v>0.51458333333333328</v>
      </c>
      <c r="F2581" s="1">
        <v>0.6118055555555556</v>
      </c>
      <c r="G2581" s="9">
        <f t="shared" si="262"/>
        <v>45747</v>
      </c>
      <c r="H2581" s="11">
        <f t="shared" si="263"/>
        <v>2.2999999999999998</v>
      </c>
      <c r="I2581" s="10">
        <f t="shared" si="264"/>
        <v>5.8</v>
      </c>
      <c r="J2581" s="10">
        <f t="shared" si="265"/>
        <v>7.2</v>
      </c>
      <c r="K2581" s="10">
        <f t="shared" si="266"/>
        <v>33.4</v>
      </c>
      <c r="L2581" s="10">
        <f t="shared" si="267"/>
        <v>26.900000000000002</v>
      </c>
    </row>
    <row r="2582" spans="1:12" x14ac:dyDescent="0.25">
      <c r="A2582" s="7">
        <v>45754</v>
      </c>
      <c r="B2582" t="s">
        <v>7</v>
      </c>
      <c r="C2582" s="6" t="s">
        <v>22</v>
      </c>
      <c r="D2582" s="2" t="s">
        <v>788</v>
      </c>
      <c r="E2582" s="1">
        <v>0.40972222222222227</v>
      </c>
      <c r="F2582" s="1">
        <v>0.70833333333333337</v>
      </c>
      <c r="G2582" s="9">
        <f t="shared" si="262"/>
        <v>45754</v>
      </c>
      <c r="H2582" s="11">
        <f t="shared" si="263"/>
        <v>7.2</v>
      </c>
      <c r="I2582" s="10">
        <f t="shared" si="264"/>
        <v>7.2</v>
      </c>
      <c r="J2582" s="10">
        <f t="shared" si="265"/>
        <v>7.2</v>
      </c>
      <c r="K2582" s="10">
        <f t="shared" si="266"/>
        <v>7.2</v>
      </c>
      <c r="L2582" s="10">
        <f t="shared" si="267"/>
        <v>34.1</v>
      </c>
    </row>
    <row r="2583" spans="1:12" x14ac:dyDescent="0.25">
      <c r="A2583" s="7">
        <v>45755</v>
      </c>
      <c r="B2583" t="s">
        <v>7</v>
      </c>
      <c r="C2583" s="6" t="s">
        <v>22</v>
      </c>
      <c r="D2583" s="2" t="s">
        <v>742</v>
      </c>
      <c r="E2583" s="1">
        <v>0.40972222222222227</v>
      </c>
      <c r="F2583" s="1">
        <v>0.70833333333333337</v>
      </c>
      <c r="G2583" s="9">
        <f t="shared" si="262"/>
        <v>45754</v>
      </c>
      <c r="H2583" s="11">
        <f t="shared" si="263"/>
        <v>7.2</v>
      </c>
      <c r="I2583" s="10">
        <f t="shared" si="264"/>
        <v>7.2</v>
      </c>
      <c r="J2583" s="10">
        <f t="shared" si="265"/>
        <v>7.2</v>
      </c>
      <c r="K2583" s="10">
        <f t="shared" si="266"/>
        <v>14.4</v>
      </c>
      <c r="L2583" s="10">
        <f t="shared" si="267"/>
        <v>41.300000000000004</v>
      </c>
    </row>
    <row r="2584" spans="1:12" x14ac:dyDescent="0.25">
      <c r="A2584" s="7">
        <v>45756</v>
      </c>
      <c r="B2584" t="s">
        <v>7</v>
      </c>
      <c r="C2584" s="6" t="s">
        <v>22</v>
      </c>
      <c r="D2584" s="2" t="s">
        <v>742</v>
      </c>
      <c r="E2584" s="1">
        <v>0.40972222222222227</v>
      </c>
      <c r="F2584" s="1">
        <v>0.70833333333333337</v>
      </c>
      <c r="G2584" s="9">
        <f t="shared" si="262"/>
        <v>45754</v>
      </c>
      <c r="H2584" s="11">
        <f t="shared" si="263"/>
        <v>7.2</v>
      </c>
      <c r="I2584" s="10">
        <f t="shared" si="264"/>
        <v>7.2</v>
      </c>
      <c r="J2584" s="10">
        <f t="shared" si="265"/>
        <v>7.2</v>
      </c>
      <c r="K2584" s="10">
        <f t="shared" si="266"/>
        <v>21.6</v>
      </c>
      <c r="L2584" s="10">
        <f t="shared" si="267"/>
        <v>48.5</v>
      </c>
    </row>
    <row r="2585" spans="1:12" x14ac:dyDescent="0.25">
      <c r="A2585" s="7">
        <v>45757</v>
      </c>
      <c r="B2585" s="2" t="s">
        <v>464</v>
      </c>
      <c r="C2585" s="6">
        <v>2431</v>
      </c>
      <c r="D2585" s="5" t="s">
        <v>670</v>
      </c>
      <c r="E2585" s="1">
        <v>0.5708333333333333</v>
      </c>
      <c r="F2585" s="1">
        <v>0.63402777777777775</v>
      </c>
      <c r="G2585" s="9">
        <f t="shared" si="262"/>
        <v>45754</v>
      </c>
      <c r="H2585" s="11">
        <f t="shared" si="263"/>
        <v>1.5</v>
      </c>
      <c r="I2585" s="10">
        <f t="shared" si="264"/>
        <v>1.5</v>
      </c>
      <c r="J2585" s="10">
        <f t="shared" si="265"/>
        <v>7.2</v>
      </c>
      <c r="K2585" s="10">
        <f t="shared" si="266"/>
        <v>23.1</v>
      </c>
      <c r="L2585" s="10">
        <f t="shared" si="267"/>
        <v>50</v>
      </c>
    </row>
    <row r="2586" spans="1:12" x14ac:dyDescent="0.25">
      <c r="A2586" s="7">
        <v>45757</v>
      </c>
      <c r="B2586" s="2" t="s">
        <v>464</v>
      </c>
      <c r="C2586" s="6">
        <v>2431</v>
      </c>
      <c r="D2586" s="5" t="s">
        <v>670</v>
      </c>
      <c r="E2586" s="1">
        <v>0.64583333333333337</v>
      </c>
      <c r="F2586" s="1">
        <v>0.65694444444444444</v>
      </c>
      <c r="G2586" s="9">
        <f t="shared" si="262"/>
        <v>45754</v>
      </c>
      <c r="H2586" s="11">
        <f t="shared" si="263"/>
        <v>0.3</v>
      </c>
      <c r="I2586" s="10">
        <f t="shared" si="264"/>
        <v>1.8</v>
      </c>
      <c r="J2586" s="10">
        <f t="shared" si="265"/>
        <v>7.2</v>
      </c>
      <c r="K2586" s="10">
        <f t="shared" si="266"/>
        <v>23.400000000000002</v>
      </c>
      <c r="L2586" s="10">
        <f t="shared" si="267"/>
        <v>50.3</v>
      </c>
    </row>
    <row r="2587" spans="1:12" x14ac:dyDescent="0.25">
      <c r="A2587" s="7">
        <v>45757</v>
      </c>
      <c r="B2587" s="2" t="s">
        <v>464</v>
      </c>
      <c r="C2587" s="6">
        <v>2431</v>
      </c>
      <c r="D2587" s="5" t="s">
        <v>670</v>
      </c>
      <c r="E2587" s="1">
        <v>0.66319444444444442</v>
      </c>
      <c r="F2587" s="1">
        <v>0.66736111111111107</v>
      </c>
      <c r="G2587" s="9">
        <f t="shared" si="262"/>
        <v>45754</v>
      </c>
      <c r="H2587" s="11">
        <f t="shared" si="263"/>
        <v>0.1</v>
      </c>
      <c r="I2587" s="10">
        <f t="shared" si="264"/>
        <v>1.9000000000000001</v>
      </c>
      <c r="J2587" s="10">
        <f t="shared" si="265"/>
        <v>7.2</v>
      </c>
      <c r="K2587" s="10">
        <f t="shared" si="266"/>
        <v>23.5</v>
      </c>
      <c r="L2587" s="10">
        <f t="shared" si="267"/>
        <v>50.4</v>
      </c>
    </row>
    <row r="2588" spans="1:12" x14ac:dyDescent="0.25">
      <c r="A2588" s="7">
        <v>45757</v>
      </c>
      <c r="B2588" t="s">
        <v>6</v>
      </c>
      <c r="C2588" s="6" t="s">
        <v>416</v>
      </c>
      <c r="D2588" s="5" t="s">
        <v>71</v>
      </c>
      <c r="E2588" s="1">
        <v>0.36458333333333331</v>
      </c>
      <c r="F2588" s="1">
        <v>0.41736111111111113</v>
      </c>
      <c r="G2588" s="9">
        <f t="shared" si="262"/>
        <v>45754</v>
      </c>
      <c r="H2588" s="11">
        <f t="shared" si="263"/>
        <v>1.3</v>
      </c>
      <c r="I2588" s="10">
        <f t="shared" si="264"/>
        <v>3.2</v>
      </c>
      <c r="J2588" s="10">
        <f t="shared" si="265"/>
        <v>7.2</v>
      </c>
      <c r="K2588" s="10">
        <f t="shared" si="266"/>
        <v>24.8</v>
      </c>
      <c r="L2588" s="10">
        <f t="shared" si="267"/>
        <v>51.699999999999996</v>
      </c>
    </row>
    <row r="2589" spans="1:12" x14ac:dyDescent="0.25">
      <c r="A2589" s="7">
        <v>45757</v>
      </c>
      <c r="B2589" s="2" t="s">
        <v>551</v>
      </c>
      <c r="C2589" s="6">
        <v>6184</v>
      </c>
      <c r="D2589" s="5" t="s">
        <v>492</v>
      </c>
      <c r="E2589" s="1">
        <v>0.41736111111111113</v>
      </c>
      <c r="F2589" s="1">
        <v>0.54166666666666663</v>
      </c>
      <c r="G2589" s="9">
        <f t="shared" si="262"/>
        <v>45754</v>
      </c>
      <c r="H2589" s="11">
        <f t="shared" si="263"/>
        <v>3</v>
      </c>
      <c r="I2589" s="10">
        <f t="shared" si="264"/>
        <v>6.2</v>
      </c>
      <c r="J2589" s="10">
        <f t="shared" si="265"/>
        <v>7.2</v>
      </c>
      <c r="K2589" s="10">
        <f t="shared" si="266"/>
        <v>27.8</v>
      </c>
      <c r="L2589" s="10">
        <f t="shared" si="267"/>
        <v>54.7</v>
      </c>
    </row>
    <row r="2590" spans="1:12" x14ac:dyDescent="0.25">
      <c r="A2590" s="7">
        <v>45757</v>
      </c>
      <c r="B2590" t="s">
        <v>6</v>
      </c>
      <c r="C2590" s="6" t="s">
        <v>416</v>
      </c>
      <c r="D2590" s="5" t="s">
        <v>58</v>
      </c>
      <c r="E2590" s="1">
        <v>0.54166666666666663</v>
      </c>
      <c r="F2590" s="1">
        <v>0.58611111111111114</v>
      </c>
      <c r="G2590" s="9">
        <f t="shared" si="262"/>
        <v>45754</v>
      </c>
      <c r="H2590" s="11">
        <f t="shared" si="263"/>
        <v>1.1000000000000001</v>
      </c>
      <c r="I2590" s="10">
        <f t="shared" si="264"/>
        <v>7.3000000000000007</v>
      </c>
      <c r="J2590" s="10">
        <f t="shared" si="265"/>
        <v>7.2</v>
      </c>
      <c r="K2590" s="10">
        <f t="shared" si="266"/>
        <v>28.900000000000002</v>
      </c>
      <c r="L2590" s="10">
        <f t="shared" si="267"/>
        <v>55.800000000000004</v>
      </c>
    </row>
    <row r="2591" spans="1:12" x14ac:dyDescent="0.25">
      <c r="A2591" s="7">
        <v>45757</v>
      </c>
      <c r="B2591" s="2" t="s">
        <v>551</v>
      </c>
      <c r="C2591" s="6">
        <v>6184</v>
      </c>
      <c r="D2591" s="5" t="s">
        <v>492</v>
      </c>
      <c r="E2591" s="1">
        <v>0.58611111111111114</v>
      </c>
      <c r="F2591" s="1">
        <v>0.61875000000000002</v>
      </c>
      <c r="G2591" s="9">
        <f t="shared" si="262"/>
        <v>45754</v>
      </c>
      <c r="H2591" s="11">
        <f t="shared" si="263"/>
        <v>0.8</v>
      </c>
      <c r="I2591" s="10">
        <f t="shared" si="264"/>
        <v>8.1</v>
      </c>
      <c r="J2591" s="10">
        <f t="shared" si="265"/>
        <v>7.2</v>
      </c>
      <c r="K2591" s="10">
        <f t="shared" si="266"/>
        <v>29.7</v>
      </c>
      <c r="L2591" s="10">
        <f t="shared" si="267"/>
        <v>56.599999999999994</v>
      </c>
    </row>
    <row r="2592" spans="1:12" x14ac:dyDescent="0.25">
      <c r="A2592" s="7">
        <v>45758</v>
      </c>
      <c r="B2592" s="2" t="s">
        <v>551</v>
      </c>
      <c r="C2592" s="6">
        <v>6184</v>
      </c>
      <c r="D2592" s="5" t="s">
        <v>107</v>
      </c>
      <c r="E2592" s="1">
        <v>0.33333333333333331</v>
      </c>
      <c r="F2592" s="1">
        <v>0.57291666666666663</v>
      </c>
      <c r="G2592" s="9">
        <f t="shared" si="262"/>
        <v>45754</v>
      </c>
      <c r="H2592" s="11">
        <f t="shared" si="263"/>
        <v>5.8</v>
      </c>
      <c r="I2592" s="10">
        <f t="shared" si="264"/>
        <v>5.8</v>
      </c>
      <c r="J2592" s="10">
        <f t="shared" si="265"/>
        <v>7.2</v>
      </c>
      <c r="K2592" s="10">
        <f t="shared" si="266"/>
        <v>35.5</v>
      </c>
      <c r="L2592" s="10">
        <f t="shared" si="267"/>
        <v>62.4</v>
      </c>
    </row>
    <row r="2593" spans="1:12" x14ac:dyDescent="0.25">
      <c r="A2593" s="7">
        <v>45758</v>
      </c>
      <c r="B2593" s="2" t="s">
        <v>551</v>
      </c>
      <c r="C2593" s="6">
        <v>6184</v>
      </c>
      <c r="D2593" s="5" t="s">
        <v>107</v>
      </c>
      <c r="E2593" s="1">
        <v>0.58472222222222225</v>
      </c>
      <c r="F2593" s="1">
        <v>0.64097222222222228</v>
      </c>
      <c r="G2593" s="9">
        <f t="shared" si="262"/>
        <v>45754</v>
      </c>
      <c r="H2593" s="11">
        <f t="shared" si="263"/>
        <v>1.4</v>
      </c>
      <c r="I2593" s="10">
        <f t="shared" si="264"/>
        <v>7.1999999999999993</v>
      </c>
      <c r="J2593" s="10">
        <f t="shared" si="265"/>
        <v>7.2</v>
      </c>
      <c r="K2593" s="10">
        <f t="shared" si="266"/>
        <v>36.9</v>
      </c>
      <c r="L2593" s="10">
        <f t="shared" si="267"/>
        <v>63.8</v>
      </c>
    </row>
    <row r="2594" spans="1:12" x14ac:dyDescent="0.25">
      <c r="A2594" s="7">
        <v>45761</v>
      </c>
      <c r="B2594" s="2" t="s">
        <v>551</v>
      </c>
      <c r="C2594" s="6">
        <v>6184</v>
      </c>
      <c r="D2594" s="5" t="s">
        <v>107</v>
      </c>
      <c r="E2594" s="1">
        <v>0.33541666666666664</v>
      </c>
      <c r="F2594" s="1">
        <v>0.45416666666666666</v>
      </c>
      <c r="G2594" s="9">
        <f t="shared" si="262"/>
        <v>45761</v>
      </c>
      <c r="H2594" s="11">
        <f t="shared" si="263"/>
        <v>2.9</v>
      </c>
      <c r="I2594" s="10">
        <f t="shared" si="264"/>
        <v>2.9</v>
      </c>
      <c r="J2594" s="10">
        <f t="shared" si="265"/>
        <v>7.2</v>
      </c>
      <c r="K2594" s="10">
        <f t="shared" si="266"/>
        <v>2.9</v>
      </c>
      <c r="L2594" s="10">
        <f t="shared" si="267"/>
        <v>66.7</v>
      </c>
    </row>
    <row r="2595" spans="1:12" x14ac:dyDescent="0.25">
      <c r="A2595" s="7">
        <v>45761</v>
      </c>
      <c r="B2595" t="s">
        <v>598</v>
      </c>
      <c r="C2595" s="6">
        <v>6004</v>
      </c>
      <c r="D2595" s="5" t="s">
        <v>107</v>
      </c>
      <c r="E2595" s="1">
        <v>0.46805555555555556</v>
      </c>
      <c r="F2595" s="1">
        <v>0.54166666666666663</v>
      </c>
      <c r="G2595" s="9">
        <f t="shared" si="262"/>
        <v>45761</v>
      </c>
      <c r="H2595" s="11">
        <f t="shared" si="263"/>
        <v>1.8</v>
      </c>
      <c r="I2595" s="10">
        <f t="shared" si="264"/>
        <v>4.7</v>
      </c>
      <c r="J2595" s="10">
        <f t="shared" si="265"/>
        <v>7.2</v>
      </c>
      <c r="K2595" s="10">
        <f t="shared" si="266"/>
        <v>4.7</v>
      </c>
      <c r="L2595" s="10">
        <f t="shared" si="267"/>
        <v>68.5</v>
      </c>
    </row>
    <row r="2596" spans="1:12" x14ac:dyDescent="0.25">
      <c r="A2596" s="7">
        <v>45761</v>
      </c>
      <c r="B2596" t="s">
        <v>6</v>
      </c>
      <c r="C2596" s="6" t="s">
        <v>416</v>
      </c>
      <c r="D2596" s="5" t="s">
        <v>789</v>
      </c>
      <c r="E2596" s="1">
        <v>0.54166666666666663</v>
      </c>
      <c r="F2596" s="1">
        <v>0.58194444444444449</v>
      </c>
      <c r="G2596" s="9">
        <f t="shared" si="262"/>
        <v>45761</v>
      </c>
      <c r="H2596" s="11">
        <f t="shared" si="263"/>
        <v>1</v>
      </c>
      <c r="I2596" s="10">
        <f t="shared" si="264"/>
        <v>5.7</v>
      </c>
      <c r="J2596" s="10">
        <f t="shared" si="265"/>
        <v>7.2</v>
      </c>
      <c r="K2596" s="10">
        <f t="shared" si="266"/>
        <v>5.7</v>
      </c>
      <c r="L2596" s="10">
        <f t="shared" si="267"/>
        <v>69.5</v>
      </c>
    </row>
    <row r="2597" spans="1:12" x14ac:dyDescent="0.25">
      <c r="A2597" s="7">
        <v>45761</v>
      </c>
      <c r="B2597" t="s">
        <v>598</v>
      </c>
      <c r="C2597" s="6">
        <v>6004</v>
      </c>
      <c r="D2597" s="5" t="s">
        <v>107</v>
      </c>
      <c r="E2597" s="1">
        <v>0.58194444444444449</v>
      </c>
      <c r="F2597" s="1">
        <v>0.62013888888888891</v>
      </c>
      <c r="G2597" s="9">
        <f t="shared" si="262"/>
        <v>45761</v>
      </c>
      <c r="H2597" s="11">
        <f t="shared" si="263"/>
        <v>0.9</v>
      </c>
      <c r="I2597" s="10">
        <f t="shared" si="264"/>
        <v>6.6000000000000005</v>
      </c>
      <c r="J2597" s="10">
        <f t="shared" si="265"/>
        <v>7.2</v>
      </c>
      <c r="K2597" s="10">
        <f t="shared" si="266"/>
        <v>6.6000000000000005</v>
      </c>
      <c r="L2597" s="10">
        <f t="shared" si="267"/>
        <v>70.400000000000006</v>
      </c>
    </row>
    <row r="2598" spans="1:12" x14ac:dyDescent="0.25">
      <c r="A2598" s="7">
        <v>45762</v>
      </c>
      <c r="B2598" t="s">
        <v>598</v>
      </c>
      <c r="C2598" s="6">
        <v>6004</v>
      </c>
      <c r="D2598" s="5" t="s">
        <v>107</v>
      </c>
      <c r="E2598" s="1">
        <v>0.3347222222222222</v>
      </c>
      <c r="F2598" s="1">
        <v>0.47430555555555554</v>
      </c>
      <c r="G2598" s="9">
        <f t="shared" si="262"/>
        <v>45761</v>
      </c>
      <c r="H2598" s="11">
        <f t="shared" si="263"/>
        <v>3.4</v>
      </c>
      <c r="I2598" s="10">
        <f t="shared" si="264"/>
        <v>3.4</v>
      </c>
      <c r="J2598" s="10">
        <f t="shared" si="265"/>
        <v>7.2</v>
      </c>
      <c r="K2598" s="10">
        <f t="shared" si="266"/>
        <v>10</v>
      </c>
      <c r="L2598" s="10">
        <f t="shared" si="267"/>
        <v>73.800000000000011</v>
      </c>
    </row>
    <row r="2599" spans="1:12" x14ac:dyDescent="0.25">
      <c r="A2599" s="7">
        <v>45762</v>
      </c>
      <c r="B2599" t="s">
        <v>598</v>
      </c>
      <c r="C2599" s="6">
        <v>6004</v>
      </c>
      <c r="D2599" s="5" t="s">
        <v>107</v>
      </c>
      <c r="E2599" s="1">
        <v>0.4909722222222222</v>
      </c>
      <c r="F2599" s="1">
        <v>0.52083333333333337</v>
      </c>
      <c r="G2599" s="9">
        <f t="shared" si="262"/>
        <v>45761</v>
      </c>
      <c r="H2599" s="11">
        <f t="shared" si="263"/>
        <v>0.7</v>
      </c>
      <c r="I2599" s="10">
        <f t="shared" si="264"/>
        <v>4.0999999999999996</v>
      </c>
      <c r="J2599" s="10">
        <f t="shared" si="265"/>
        <v>7.2</v>
      </c>
      <c r="K2599" s="10">
        <f t="shared" si="266"/>
        <v>10.7</v>
      </c>
      <c r="L2599" s="10">
        <f t="shared" si="267"/>
        <v>74.5</v>
      </c>
    </row>
    <row r="2600" spans="1:12" x14ac:dyDescent="0.25">
      <c r="A2600" s="7">
        <v>45762</v>
      </c>
      <c r="B2600" s="2" t="s">
        <v>464</v>
      </c>
      <c r="C2600" s="6">
        <v>2431</v>
      </c>
      <c r="D2600" s="5" t="s">
        <v>32</v>
      </c>
      <c r="E2600" s="1">
        <v>0.52083333333333337</v>
      </c>
      <c r="F2600" s="1">
        <v>0.56111111111111112</v>
      </c>
      <c r="G2600" s="9">
        <f t="shared" si="262"/>
        <v>45761</v>
      </c>
      <c r="H2600" s="11">
        <f t="shared" si="263"/>
        <v>1</v>
      </c>
      <c r="I2600" s="10">
        <f t="shared" si="264"/>
        <v>5.0999999999999996</v>
      </c>
      <c r="J2600" s="10">
        <f t="shared" si="265"/>
        <v>7.2</v>
      </c>
      <c r="K2600" s="10">
        <f t="shared" si="266"/>
        <v>11.7</v>
      </c>
      <c r="L2600" s="10">
        <f t="shared" si="267"/>
        <v>75.5</v>
      </c>
    </row>
    <row r="2601" spans="1:12" x14ac:dyDescent="0.25">
      <c r="A2601" s="7">
        <v>45762</v>
      </c>
      <c r="B2601" t="s">
        <v>598</v>
      </c>
      <c r="C2601" s="6">
        <v>6004</v>
      </c>
      <c r="D2601" s="5" t="s">
        <v>107</v>
      </c>
      <c r="E2601" s="1">
        <v>0.56111111111111112</v>
      </c>
      <c r="F2601" s="1">
        <v>0.65972222222222221</v>
      </c>
      <c r="G2601" s="9">
        <f t="shared" si="262"/>
        <v>45761</v>
      </c>
      <c r="H2601" s="11">
        <f t="shared" si="263"/>
        <v>2.4</v>
      </c>
      <c r="I2601" s="10">
        <f t="shared" si="264"/>
        <v>7.5</v>
      </c>
      <c r="J2601" s="10">
        <f t="shared" si="265"/>
        <v>7.2</v>
      </c>
      <c r="K2601" s="10">
        <f t="shared" si="266"/>
        <v>14.1</v>
      </c>
      <c r="L2601" s="10">
        <f t="shared" si="267"/>
        <v>77.900000000000006</v>
      </c>
    </row>
    <row r="2602" spans="1:12" x14ac:dyDescent="0.25">
      <c r="A2602" s="7">
        <v>45763</v>
      </c>
      <c r="B2602" s="2" t="s">
        <v>551</v>
      </c>
      <c r="C2602" s="6">
        <v>6184</v>
      </c>
      <c r="D2602" s="5" t="s">
        <v>107</v>
      </c>
      <c r="E2602" s="1">
        <v>0.31527777777777777</v>
      </c>
      <c r="F2602" s="1">
        <v>0.46805555555555556</v>
      </c>
      <c r="G2602" s="9">
        <f t="shared" si="262"/>
        <v>45761</v>
      </c>
      <c r="H2602" s="11">
        <f t="shared" si="263"/>
        <v>3.7</v>
      </c>
      <c r="I2602" s="10">
        <f t="shared" si="264"/>
        <v>3.7</v>
      </c>
      <c r="J2602" s="10">
        <f t="shared" si="265"/>
        <v>7.2</v>
      </c>
      <c r="K2602" s="10">
        <f t="shared" si="266"/>
        <v>17.8</v>
      </c>
      <c r="L2602" s="10">
        <f t="shared" si="267"/>
        <v>81.600000000000009</v>
      </c>
    </row>
    <row r="2603" spans="1:12" x14ac:dyDescent="0.25">
      <c r="A2603" s="7">
        <v>45763</v>
      </c>
      <c r="B2603" s="2" t="s">
        <v>551</v>
      </c>
      <c r="C2603" s="6">
        <v>6184</v>
      </c>
      <c r="D2603" s="5" t="s">
        <v>107</v>
      </c>
      <c r="E2603" s="1">
        <v>0.48055555555555557</v>
      </c>
      <c r="F2603" s="1">
        <v>0.49930555555555556</v>
      </c>
      <c r="G2603" s="9">
        <f t="shared" si="262"/>
        <v>45761</v>
      </c>
      <c r="H2603" s="11">
        <f t="shared" si="263"/>
        <v>0.5</v>
      </c>
      <c r="I2603" s="10">
        <f t="shared" si="264"/>
        <v>4.2</v>
      </c>
      <c r="J2603" s="10">
        <f t="shared" si="265"/>
        <v>7.2</v>
      </c>
      <c r="K2603" s="10">
        <f t="shared" si="266"/>
        <v>18.3</v>
      </c>
      <c r="L2603" s="10">
        <f t="shared" si="267"/>
        <v>82.1</v>
      </c>
    </row>
    <row r="2604" spans="1:12" x14ac:dyDescent="0.25">
      <c r="A2604" s="7">
        <v>45763</v>
      </c>
      <c r="B2604" t="s">
        <v>6</v>
      </c>
      <c r="C2604" s="6" t="s">
        <v>416</v>
      </c>
      <c r="D2604" s="5" t="s">
        <v>773</v>
      </c>
      <c r="E2604" s="1">
        <v>0.49930555555555556</v>
      </c>
      <c r="F2604" s="1">
        <v>0.54166666666666663</v>
      </c>
      <c r="G2604" s="9">
        <f t="shared" si="262"/>
        <v>45761</v>
      </c>
      <c r="H2604" s="11">
        <f t="shared" si="263"/>
        <v>1</v>
      </c>
      <c r="I2604" s="10">
        <f t="shared" si="264"/>
        <v>5.2</v>
      </c>
      <c r="J2604" s="10">
        <f t="shared" si="265"/>
        <v>7.2</v>
      </c>
      <c r="K2604" s="10">
        <f t="shared" si="266"/>
        <v>19.3</v>
      </c>
      <c r="L2604" s="10">
        <f t="shared" si="267"/>
        <v>83.1</v>
      </c>
    </row>
    <row r="2605" spans="1:12" x14ac:dyDescent="0.25">
      <c r="A2605" s="7">
        <v>45763</v>
      </c>
      <c r="B2605" s="2" t="s">
        <v>464</v>
      </c>
      <c r="C2605" s="6">
        <v>2431</v>
      </c>
      <c r="D2605" s="5" t="s">
        <v>670</v>
      </c>
      <c r="E2605" s="1">
        <v>0.54166666666666663</v>
      </c>
      <c r="F2605" s="1">
        <v>0.56319444444444444</v>
      </c>
      <c r="G2605" s="9">
        <f t="shared" si="262"/>
        <v>45761</v>
      </c>
      <c r="H2605" s="11">
        <f t="shared" si="263"/>
        <v>0.5</v>
      </c>
      <c r="I2605" s="10">
        <f t="shared" si="264"/>
        <v>5.7</v>
      </c>
      <c r="J2605" s="10">
        <f t="shared" si="265"/>
        <v>7.2</v>
      </c>
      <c r="K2605" s="10">
        <f t="shared" si="266"/>
        <v>19.8</v>
      </c>
      <c r="L2605" s="10">
        <f t="shared" si="267"/>
        <v>83.6</v>
      </c>
    </row>
    <row r="2606" spans="1:12" x14ac:dyDescent="0.25">
      <c r="A2606" s="7">
        <v>45763</v>
      </c>
      <c r="B2606" s="2" t="s">
        <v>551</v>
      </c>
      <c r="C2606" s="6">
        <v>6184</v>
      </c>
      <c r="D2606" s="5" t="s">
        <v>107</v>
      </c>
      <c r="E2606" s="1">
        <v>0.56319444444444444</v>
      </c>
      <c r="F2606" s="1">
        <v>0.58750000000000002</v>
      </c>
      <c r="G2606" s="9">
        <f t="shared" si="262"/>
        <v>45761</v>
      </c>
      <c r="H2606" s="11">
        <f t="shared" si="263"/>
        <v>0.6</v>
      </c>
      <c r="I2606" s="10">
        <f t="shared" si="264"/>
        <v>6.3</v>
      </c>
      <c r="J2606" s="10">
        <f t="shared" si="265"/>
        <v>7.2</v>
      </c>
      <c r="K2606" s="10">
        <f t="shared" si="266"/>
        <v>20.400000000000002</v>
      </c>
      <c r="L2606" s="10">
        <f t="shared" si="267"/>
        <v>84.199999999999989</v>
      </c>
    </row>
    <row r="2607" spans="1:12" x14ac:dyDescent="0.25">
      <c r="A2607" s="7">
        <v>45764</v>
      </c>
      <c r="B2607" s="2" t="s">
        <v>551</v>
      </c>
      <c r="C2607" s="6">
        <v>6184</v>
      </c>
      <c r="D2607" s="5" t="s">
        <v>107</v>
      </c>
      <c r="E2607" s="1">
        <v>0.31527777777777777</v>
      </c>
      <c r="F2607" s="1">
        <v>0.36180555555555555</v>
      </c>
      <c r="G2607" s="9">
        <f t="shared" si="262"/>
        <v>45761</v>
      </c>
      <c r="H2607" s="11">
        <f t="shared" si="263"/>
        <v>1.1000000000000001</v>
      </c>
      <c r="I2607" s="10">
        <f t="shared" si="264"/>
        <v>1.1000000000000001</v>
      </c>
      <c r="J2607" s="10">
        <f t="shared" si="265"/>
        <v>7.2</v>
      </c>
      <c r="K2607" s="10">
        <f t="shared" si="266"/>
        <v>21.5</v>
      </c>
      <c r="L2607" s="10">
        <f t="shared" si="267"/>
        <v>85.3</v>
      </c>
    </row>
    <row r="2608" spans="1:12" x14ac:dyDescent="0.25">
      <c r="A2608" s="7">
        <v>45764</v>
      </c>
      <c r="B2608" t="s">
        <v>6</v>
      </c>
      <c r="C2608" s="6" t="s">
        <v>416</v>
      </c>
      <c r="D2608" s="5" t="s">
        <v>50</v>
      </c>
      <c r="E2608" s="1">
        <v>0.36180555555555555</v>
      </c>
      <c r="F2608" s="1">
        <v>0.41597222222222224</v>
      </c>
      <c r="G2608" s="9">
        <f t="shared" si="262"/>
        <v>45761</v>
      </c>
      <c r="H2608" s="11">
        <f t="shared" si="263"/>
        <v>1.3</v>
      </c>
      <c r="I2608" s="10">
        <f t="shared" si="264"/>
        <v>2.4000000000000004</v>
      </c>
      <c r="J2608" s="10">
        <f t="shared" si="265"/>
        <v>7.2</v>
      </c>
      <c r="K2608" s="10">
        <f t="shared" si="266"/>
        <v>22.8</v>
      </c>
      <c r="L2608" s="10">
        <f t="shared" si="267"/>
        <v>86.6</v>
      </c>
    </row>
    <row r="2609" spans="1:12" x14ac:dyDescent="0.25">
      <c r="A2609" s="7">
        <v>45764</v>
      </c>
      <c r="B2609" s="2" t="s">
        <v>551</v>
      </c>
      <c r="C2609" s="6">
        <v>6184</v>
      </c>
      <c r="D2609" s="5" t="s">
        <v>107</v>
      </c>
      <c r="E2609" s="1">
        <v>0.41597222222222224</v>
      </c>
      <c r="F2609" s="1">
        <v>0.63263888888888886</v>
      </c>
      <c r="G2609" s="9">
        <f t="shared" si="262"/>
        <v>45761</v>
      </c>
      <c r="H2609" s="11">
        <f t="shared" si="263"/>
        <v>5.2</v>
      </c>
      <c r="I2609" s="10">
        <f t="shared" si="264"/>
        <v>7.6</v>
      </c>
      <c r="J2609" s="10">
        <f t="shared" si="265"/>
        <v>7.2</v>
      </c>
      <c r="K2609" s="10">
        <f t="shared" si="266"/>
        <v>28</v>
      </c>
      <c r="L2609" s="10">
        <f t="shared" si="267"/>
        <v>91.8</v>
      </c>
    </row>
    <row r="2610" spans="1:12" x14ac:dyDescent="0.25">
      <c r="A2610" s="7">
        <v>45765</v>
      </c>
      <c r="B2610" s="2" t="s">
        <v>551</v>
      </c>
      <c r="C2610" s="6">
        <v>6184</v>
      </c>
      <c r="D2610" s="5" t="s">
        <v>107</v>
      </c>
      <c r="E2610" s="1">
        <v>0.38263888888888886</v>
      </c>
      <c r="F2610" s="1">
        <v>0.51875000000000004</v>
      </c>
      <c r="G2610" s="9">
        <f t="shared" si="262"/>
        <v>45761</v>
      </c>
      <c r="H2610" s="11">
        <f t="shared" si="263"/>
        <v>3.3</v>
      </c>
      <c r="I2610" s="10">
        <f t="shared" si="264"/>
        <v>3.3</v>
      </c>
      <c r="J2610" s="10">
        <f t="shared" si="265"/>
        <v>7.2</v>
      </c>
      <c r="K2610" s="10">
        <f t="shared" si="266"/>
        <v>31.3</v>
      </c>
      <c r="L2610" s="10">
        <f t="shared" si="267"/>
        <v>95.1</v>
      </c>
    </row>
    <row r="2611" spans="1:12" x14ac:dyDescent="0.25">
      <c r="A2611" s="7">
        <v>45765</v>
      </c>
      <c r="B2611" t="s">
        <v>6</v>
      </c>
      <c r="C2611" s="6" t="s">
        <v>416</v>
      </c>
      <c r="D2611" s="5" t="s">
        <v>790</v>
      </c>
      <c r="E2611" s="1">
        <v>0.51875000000000004</v>
      </c>
      <c r="F2611" s="1">
        <v>0.58125000000000004</v>
      </c>
      <c r="G2611" s="9">
        <f t="shared" si="262"/>
        <v>45761</v>
      </c>
      <c r="H2611" s="11">
        <f t="shared" si="263"/>
        <v>1.5</v>
      </c>
      <c r="I2611" s="10">
        <f t="shared" si="264"/>
        <v>4.8</v>
      </c>
      <c r="J2611" s="10">
        <f t="shared" si="265"/>
        <v>7.2</v>
      </c>
      <c r="K2611" s="10">
        <f t="shared" si="266"/>
        <v>32.799999999999997</v>
      </c>
      <c r="L2611" s="10">
        <f t="shared" si="267"/>
        <v>96.6</v>
      </c>
    </row>
    <row r="2612" spans="1:12" x14ac:dyDescent="0.25">
      <c r="A2612" s="7">
        <v>45765</v>
      </c>
      <c r="B2612" t="s">
        <v>7</v>
      </c>
      <c r="C2612" s="6" t="s">
        <v>22</v>
      </c>
      <c r="D2612" s="2" t="s">
        <v>565</v>
      </c>
      <c r="E2612" s="1">
        <v>0.40972222222222227</v>
      </c>
      <c r="F2612" s="1">
        <v>0.70833333333333337</v>
      </c>
      <c r="G2612" s="9">
        <f t="shared" ref="G2612:G2675" si="268">IF(E2612&gt;0,INT((A2612-2)/7)*7+2,"")</f>
        <v>45761</v>
      </c>
      <c r="H2612" s="11">
        <f t="shared" ref="H2612:H2675" si="269">IF(E2612&gt;0,ROUND(24*(IF(F2612&gt;0,F2612,NowTime)-E2612),1),"")</f>
        <v>7.2</v>
      </c>
      <c r="I2612" s="10">
        <f t="shared" ref="I2612:I2675" si="270">IF(H2612="",H2612,H2612+IF(A2612=A2611,_xlfn.NUMBERVALUE(I2611),0))</f>
        <v>12</v>
      </c>
      <c r="J2612" s="10">
        <f t="shared" ref="J2612:J2675" si="271">IF(H2612="",H2612,7.2)</f>
        <v>7.2</v>
      </c>
      <c r="K2612" s="10">
        <f t="shared" ref="K2612:K2675" si="272">IF(H2612="",H2612,H2612+IF(G2612=G2611,_xlfn.NUMBERVALUE(K2611),0))</f>
        <v>40</v>
      </c>
      <c r="L2612" s="10">
        <f t="shared" ref="L2612:L2675" si="273">IF(H2612="",H2612,H2612+IF(MONTH(A2612)=MONTH(A2611),_xlfn.NUMBERVALUE(L2611),0))</f>
        <v>103.8</v>
      </c>
    </row>
    <row r="2613" spans="1:12" x14ac:dyDescent="0.25">
      <c r="A2613" s="7">
        <v>45767</v>
      </c>
      <c r="B2613" t="s">
        <v>6</v>
      </c>
      <c r="C2613" s="6" t="s">
        <v>416</v>
      </c>
      <c r="D2613" s="5" t="s">
        <v>790</v>
      </c>
      <c r="E2613" s="1">
        <v>0.44861111111111113</v>
      </c>
      <c r="F2613" s="1">
        <v>0.50486111111111109</v>
      </c>
      <c r="G2613" s="9">
        <f t="shared" si="268"/>
        <v>45761</v>
      </c>
      <c r="H2613" s="11">
        <f t="shared" si="269"/>
        <v>1.4</v>
      </c>
      <c r="I2613" s="10">
        <f t="shared" si="270"/>
        <v>1.4</v>
      </c>
      <c r="J2613" s="10">
        <f t="shared" si="271"/>
        <v>7.2</v>
      </c>
      <c r="K2613" s="10">
        <f t="shared" si="272"/>
        <v>41.4</v>
      </c>
      <c r="L2613" s="10">
        <f t="shared" si="273"/>
        <v>105.2</v>
      </c>
    </row>
    <row r="2614" spans="1:12" x14ac:dyDescent="0.25">
      <c r="A2614" s="7">
        <v>45768</v>
      </c>
      <c r="B2614" t="s">
        <v>7</v>
      </c>
      <c r="C2614" s="6" t="s">
        <v>22</v>
      </c>
      <c r="D2614" s="2" t="s">
        <v>565</v>
      </c>
      <c r="E2614" s="1">
        <v>0.40972222222222227</v>
      </c>
      <c r="F2614" s="1">
        <v>0.70833333333333337</v>
      </c>
      <c r="G2614" s="9">
        <f t="shared" si="268"/>
        <v>45768</v>
      </c>
      <c r="H2614" s="11">
        <f t="shared" si="269"/>
        <v>7.2</v>
      </c>
      <c r="I2614" s="10">
        <f t="shared" si="270"/>
        <v>7.2</v>
      </c>
      <c r="J2614" s="10">
        <f t="shared" si="271"/>
        <v>7.2</v>
      </c>
      <c r="K2614" s="10">
        <f t="shared" si="272"/>
        <v>7.2</v>
      </c>
      <c r="L2614" s="10">
        <f t="shared" si="273"/>
        <v>112.4</v>
      </c>
    </row>
    <row r="2615" spans="1:12" x14ac:dyDescent="0.25">
      <c r="A2615" s="7">
        <v>45769</v>
      </c>
      <c r="B2615" t="s">
        <v>6</v>
      </c>
      <c r="C2615" s="6" t="s">
        <v>416</v>
      </c>
      <c r="D2615" s="5" t="s">
        <v>790</v>
      </c>
      <c r="E2615" s="1">
        <v>0.35625000000000001</v>
      </c>
      <c r="F2615" s="1">
        <v>0.48472222222222222</v>
      </c>
      <c r="G2615" s="9">
        <f t="shared" si="268"/>
        <v>45768</v>
      </c>
      <c r="H2615" s="11">
        <f t="shared" si="269"/>
        <v>3.1</v>
      </c>
      <c r="I2615" s="10">
        <f t="shared" si="270"/>
        <v>3.1</v>
      </c>
      <c r="J2615" s="10">
        <f t="shared" si="271"/>
        <v>7.2</v>
      </c>
      <c r="K2615" s="10">
        <f t="shared" si="272"/>
        <v>10.3</v>
      </c>
      <c r="L2615" s="10">
        <f t="shared" si="273"/>
        <v>115.5</v>
      </c>
    </row>
    <row r="2616" spans="1:12" x14ac:dyDescent="0.25">
      <c r="A2616" s="7">
        <v>45769</v>
      </c>
      <c r="B2616" s="2" t="s">
        <v>551</v>
      </c>
      <c r="C2616" s="6">
        <v>6184</v>
      </c>
      <c r="D2616" s="5" t="s">
        <v>107</v>
      </c>
      <c r="E2616" s="1">
        <v>0.49861111111111112</v>
      </c>
      <c r="F2616" s="1">
        <v>0.57916666666666672</v>
      </c>
      <c r="G2616" s="9">
        <f t="shared" si="268"/>
        <v>45768</v>
      </c>
      <c r="H2616" s="11">
        <f t="shared" si="269"/>
        <v>1.9</v>
      </c>
      <c r="I2616" s="10">
        <f t="shared" si="270"/>
        <v>5</v>
      </c>
      <c r="J2616" s="10">
        <f t="shared" si="271"/>
        <v>7.2</v>
      </c>
      <c r="K2616" s="10">
        <f t="shared" si="272"/>
        <v>12.200000000000001</v>
      </c>
      <c r="L2616" s="10">
        <f t="shared" si="273"/>
        <v>117.4</v>
      </c>
    </row>
    <row r="2617" spans="1:12" x14ac:dyDescent="0.25">
      <c r="A2617" s="7">
        <v>45769</v>
      </c>
      <c r="B2617" s="2" t="s">
        <v>551</v>
      </c>
      <c r="C2617" s="6">
        <v>6184</v>
      </c>
      <c r="D2617" s="5" t="s">
        <v>107</v>
      </c>
      <c r="E2617" s="1">
        <v>0.57916666666666672</v>
      </c>
      <c r="F2617" s="1">
        <v>0.60763888888888884</v>
      </c>
      <c r="G2617" s="9">
        <f t="shared" si="268"/>
        <v>45768</v>
      </c>
      <c r="H2617" s="11">
        <f t="shared" si="269"/>
        <v>0.7</v>
      </c>
      <c r="I2617" s="10">
        <f t="shared" si="270"/>
        <v>5.7</v>
      </c>
      <c r="J2617" s="10">
        <f t="shared" si="271"/>
        <v>7.2</v>
      </c>
      <c r="K2617" s="10">
        <f t="shared" si="272"/>
        <v>12.899999999999999</v>
      </c>
      <c r="L2617" s="10">
        <f t="shared" si="273"/>
        <v>118.10000000000001</v>
      </c>
    </row>
    <row r="2618" spans="1:12" x14ac:dyDescent="0.25">
      <c r="A2618" s="7">
        <v>45770</v>
      </c>
      <c r="B2618" t="s">
        <v>551</v>
      </c>
      <c r="C2618" s="6">
        <v>6184</v>
      </c>
      <c r="D2618" s="5" t="s">
        <v>107</v>
      </c>
      <c r="E2618" s="1">
        <v>0.35</v>
      </c>
      <c r="F2618" s="1">
        <v>0.47152777777777777</v>
      </c>
      <c r="G2618" s="9">
        <f t="shared" si="268"/>
        <v>45768</v>
      </c>
      <c r="H2618" s="11">
        <f t="shared" si="269"/>
        <v>2.9</v>
      </c>
      <c r="I2618" s="10">
        <f t="shared" si="270"/>
        <v>2.9</v>
      </c>
      <c r="J2618" s="10">
        <f t="shared" si="271"/>
        <v>7.2</v>
      </c>
      <c r="K2618" s="10">
        <f t="shared" si="272"/>
        <v>15.8</v>
      </c>
      <c r="L2618" s="10">
        <f t="shared" si="273"/>
        <v>121</v>
      </c>
    </row>
    <row r="2619" spans="1:12" x14ac:dyDescent="0.25">
      <c r="A2619" s="7">
        <v>45770</v>
      </c>
      <c r="B2619" t="s">
        <v>598</v>
      </c>
      <c r="C2619" s="6">
        <v>6004</v>
      </c>
      <c r="D2619" s="5" t="s">
        <v>107</v>
      </c>
      <c r="E2619" s="1">
        <v>0.47152777777777777</v>
      </c>
      <c r="F2619" s="1">
        <v>0.64583333333333337</v>
      </c>
      <c r="G2619" s="9">
        <f t="shared" si="268"/>
        <v>45768</v>
      </c>
      <c r="H2619" s="11">
        <f t="shared" si="269"/>
        <v>4.2</v>
      </c>
      <c r="I2619" s="10">
        <f t="shared" si="270"/>
        <v>7.1</v>
      </c>
      <c r="J2619" s="10">
        <f t="shared" si="271"/>
        <v>7.2</v>
      </c>
      <c r="K2619" s="10">
        <f t="shared" si="272"/>
        <v>20</v>
      </c>
      <c r="L2619" s="10">
        <f t="shared" si="273"/>
        <v>125.2</v>
      </c>
    </row>
    <row r="2620" spans="1:12" x14ac:dyDescent="0.25">
      <c r="A2620" s="7">
        <v>45771</v>
      </c>
      <c r="B2620" t="s">
        <v>598</v>
      </c>
      <c r="C2620" s="6">
        <v>6004</v>
      </c>
      <c r="D2620" s="5" t="s">
        <v>107</v>
      </c>
      <c r="E2620" s="1">
        <v>0.37222222222222223</v>
      </c>
      <c r="F2620" s="1">
        <v>0.63749999999999996</v>
      </c>
      <c r="G2620" s="9">
        <f t="shared" si="268"/>
        <v>45768</v>
      </c>
      <c r="H2620" s="11">
        <f t="shared" si="269"/>
        <v>6.4</v>
      </c>
      <c r="I2620" s="10">
        <f t="shared" si="270"/>
        <v>6.4</v>
      </c>
      <c r="J2620" s="10">
        <f t="shared" si="271"/>
        <v>7.2</v>
      </c>
      <c r="K2620" s="10">
        <f t="shared" si="272"/>
        <v>26.4</v>
      </c>
      <c r="L2620" s="10">
        <f t="shared" si="273"/>
        <v>131.6</v>
      </c>
    </row>
    <row r="2621" spans="1:12" x14ac:dyDescent="0.25">
      <c r="A2621" s="7">
        <v>45772</v>
      </c>
      <c r="B2621" t="s">
        <v>7</v>
      </c>
      <c r="C2621" s="6" t="s">
        <v>22</v>
      </c>
      <c r="D2621" s="2" t="s">
        <v>791</v>
      </c>
      <c r="E2621" s="1">
        <v>0.40972222222222227</v>
      </c>
      <c r="F2621" s="1">
        <v>0.70833333333333337</v>
      </c>
      <c r="G2621" s="9">
        <f t="shared" si="268"/>
        <v>45768</v>
      </c>
      <c r="H2621" s="11">
        <f t="shared" si="269"/>
        <v>7.2</v>
      </c>
      <c r="I2621" s="10">
        <f t="shared" si="270"/>
        <v>7.2</v>
      </c>
      <c r="J2621" s="10">
        <f t="shared" si="271"/>
        <v>7.2</v>
      </c>
      <c r="K2621" s="10">
        <f t="shared" si="272"/>
        <v>33.6</v>
      </c>
      <c r="L2621" s="10">
        <f t="shared" si="273"/>
        <v>138.79999999999998</v>
      </c>
    </row>
    <row r="2622" spans="1:12" x14ac:dyDescent="0.25">
      <c r="A2622" s="7">
        <v>45775</v>
      </c>
      <c r="B2622" t="s">
        <v>598</v>
      </c>
      <c r="C2622" s="6">
        <v>6004</v>
      </c>
      <c r="D2622" s="5" t="s">
        <v>107</v>
      </c>
      <c r="E2622" s="1">
        <v>0.32430555555555557</v>
      </c>
      <c r="F2622" s="1">
        <v>0.49236111111111114</v>
      </c>
      <c r="G2622" s="9">
        <f t="shared" si="268"/>
        <v>45775</v>
      </c>
      <c r="H2622" s="11">
        <f t="shared" si="269"/>
        <v>4</v>
      </c>
      <c r="I2622" s="10">
        <f t="shared" si="270"/>
        <v>4</v>
      </c>
      <c r="J2622" s="10">
        <f t="shared" si="271"/>
        <v>7.2</v>
      </c>
      <c r="K2622" s="10">
        <f t="shared" si="272"/>
        <v>4</v>
      </c>
      <c r="L2622" s="10">
        <f t="shared" si="273"/>
        <v>142.80000000000001</v>
      </c>
    </row>
    <row r="2623" spans="1:12" x14ac:dyDescent="0.25">
      <c r="A2623" s="7">
        <v>45775</v>
      </c>
      <c r="B2623" t="s">
        <v>598</v>
      </c>
      <c r="C2623" s="6">
        <v>6004</v>
      </c>
      <c r="D2623" s="5" t="s">
        <v>107</v>
      </c>
      <c r="E2623" s="1">
        <v>0.5180555555555556</v>
      </c>
      <c r="F2623" s="1">
        <v>0.59375</v>
      </c>
      <c r="G2623" s="9">
        <f t="shared" si="268"/>
        <v>45775</v>
      </c>
      <c r="H2623" s="11">
        <f t="shared" si="269"/>
        <v>1.8</v>
      </c>
      <c r="I2623" s="10">
        <f t="shared" si="270"/>
        <v>5.8</v>
      </c>
      <c r="J2623" s="10">
        <f t="shared" si="271"/>
        <v>7.2</v>
      </c>
      <c r="K2623" s="10">
        <f t="shared" si="272"/>
        <v>5.8</v>
      </c>
      <c r="L2623" s="10">
        <f t="shared" si="273"/>
        <v>144.60000000000002</v>
      </c>
    </row>
    <row r="2624" spans="1:12" x14ac:dyDescent="0.25">
      <c r="A2624" s="7">
        <v>45775</v>
      </c>
      <c r="B2624" s="2" t="s">
        <v>579</v>
      </c>
      <c r="C2624" s="6">
        <v>2682</v>
      </c>
      <c r="D2624" s="5" t="s">
        <v>792</v>
      </c>
      <c r="E2624" s="1">
        <v>0.59375</v>
      </c>
      <c r="F2624" s="1">
        <v>0.64930555555555558</v>
      </c>
      <c r="G2624" s="9">
        <f t="shared" si="268"/>
        <v>45775</v>
      </c>
      <c r="H2624" s="11">
        <f t="shared" si="269"/>
        <v>1.3</v>
      </c>
      <c r="I2624" s="10">
        <f t="shared" si="270"/>
        <v>7.1</v>
      </c>
      <c r="J2624" s="10">
        <f t="shared" si="271"/>
        <v>7.2</v>
      </c>
      <c r="K2624" s="10">
        <f t="shared" si="272"/>
        <v>7.1</v>
      </c>
      <c r="L2624" s="10">
        <f t="shared" si="273"/>
        <v>145.9</v>
      </c>
    </row>
    <row r="2625" spans="1:12" x14ac:dyDescent="0.25">
      <c r="A2625" s="7">
        <v>45776</v>
      </c>
      <c r="B2625" s="2" t="s">
        <v>579</v>
      </c>
      <c r="C2625" s="6">
        <v>2682</v>
      </c>
      <c r="D2625" s="5" t="s">
        <v>792</v>
      </c>
      <c r="E2625" s="1">
        <v>0.36805555555555558</v>
      </c>
      <c r="F2625" s="1">
        <v>0.47361111111111109</v>
      </c>
      <c r="G2625" s="9">
        <f t="shared" si="268"/>
        <v>45775</v>
      </c>
      <c r="H2625" s="11">
        <f t="shared" si="269"/>
        <v>2.5</v>
      </c>
      <c r="I2625" s="10">
        <f t="shared" si="270"/>
        <v>2.5</v>
      </c>
      <c r="J2625" s="10">
        <f t="shared" si="271"/>
        <v>7.2</v>
      </c>
      <c r="K2625" s="10">
        <f t="shared" si="272"/>
        <v>9.6</v>
      </c>
      <c r="L2625" s="10">
        <f t="shared" si="273"/>
        <v>148.4</v>
      </c>
    </row>
    <row r="2626" spans="1:12" x14ac:dyDescent="0.25">
      <c r="A2626" s="7">
        <v>45776</v>
      </c>
      <c r="B2626" s="2" t="s">
        <v>579</v>
      </c>
      <c r="C2626" s="6">
        <v>2682</v>
      </c>
      <c r="D2626" s="5" t="s">
        <v>792</v>
      </c>
      <c r="E2626" s="1">
        <v>0.49166666666666664</v>
      </c>
      <c r="F2626" s="1">
        <v>0.6743055555555556</v>
      </c>
      <c r="G2626" s="9">
        <f t="shared" si="268"/>
        <v>45775</v>
      </c>
      <c r="H2626" s="11">
        <f t="shared" si="269"/>
        <v>4.4000000000000004</v>
      </c>
      <c r="I2626" s="10">
        <f t="shared" si="270"/>
        <v>6.9</v>
      </c>
      <c r="J2626" s="10">
        <f t="shared" si="271"/>
        <v>7.2</v>
      </c>
      <c r="K2626" s="10">
        <f t="shared" si="272"/>
        <v>14</v>
      </c>
      <c r="L2626" s="10">
        <f t="shared" si="273"/>
        <v>152.80000000000001</v>
      </c>
    </row>
    <row r="2627" spans="1:12" x14ac:dyDescent="0.25">
      <c r="A2627" s="7">
        <v>45777</v>
      </c>
      <c r="B2627" t="s">
        <v>598</v>
      </c>
      <c r="C2627" s="6">
        <v>6004</v>
      </c>
      <c r="D2627" s="5" t="s">
        <v>107</v>
      </c>
      <c r="E2627" s="1">
        <v>0.35486111111111113</v>
      </c>
      <c r="F2627" s="1">
        <v>0.4</v>
      </c>
      <c r="G2627" s="9">
        <f t="shared" si="268"/>
        <v>45775</v>
      </c>
      <c r="H2627" s="11">
        <f t="shared" si="269"/>
        <v>1.1000000000000001</v>
      </c>
      <c r="I2627" s="10">
        <f t="shared" si="270"/>
        <v>1.1000000000000001</v>
      </c>
      <c r="J2627" s="10">
        <f t="shared" si="271"/>
        <v>7.2</v>
      </c>
      <c r="K2627" s="10">
        <f t="shared" si="272"/>
        <v>15.1</v>
      </c>
      <c r="L2627" s="10">
        <f t="shared" si="273"/>
        <v>153.9</v>
      </c>
    </row>
    <row r="2628" spans="1:12" x14ac:dyDescent="0.25">
      <c r="A2628" s="7">
        <v>45777</v>
      </c>
      <c r="B2628" s="2" t="s">
        <v>579</v>
      </c>
      <c r="C2628" s="6">
        <v>2682</v>
      </c>
      <c r="D2628" s="5" t="s">
        <v>792</v>
      </c>
      <c r="E2628" s="1">
        <v>0.4</v>
      </c>
      <c r="F2628" s="1">
        <v>0.47152777777777777</v>
      </c>
      <c r="G2628" s="9">
        <f t="shared" si="268"/>
        <v>45775</v>
      </c>
      <c r="H2628" s="11">
        <f t="shared" si="269"/>
        <v>1.7</v>
      </c>
      <c r="I2628" s="10">
        <f t="shared" si="270"/>
        <v>2.8</v>
      </c>
      <c r="J2628" s="10">
        <f t="shared" si="271"/>
        <v>7.2</v>
      </c>
      <c r="K2628" s="10">
        <f t="shared" si="272"/>
        <v>16.8</v>
      </c>
      <c r="L2628" s="10">
        <f t="shared" si="273"/>
        <v>155.6</v>
      </c>
    </row>
    <row r="2629" spans="1:12" x14ac:dyDescent="0.25">
      <c r="A2629" s="7">
        <v>45777</v>
      </c>
      <c r="B2629" s="2" t="s">
        <v>579</v>
      </c>
      <c r="C2629" s="6">
        <v>2682</v>
      </c>
      <c r="D2629" s="5" t="s">
        <v>792</v>
      </c>
      <c r="E2629" s="1">
        <v>0.4861111111111111</v>
      </c>
      <c r="F2629" s="1">
        <v>0.61458333333333337</v>
      </c>
      <c r="G2629" s="9">
        <f t="shared" si="268"/>
        <v>45775</v>
      </c>
      <c r="H2629" s="11">
        <f t="shared" si="269"/>
        <v>3.1</v>
      </c>
      <c r="I2629" s="10">
        <f t="shared" si="270"/>
        <v>5.9</v>
      </c>
      <c r="J2629" s="10">
        <f t="shared" si="271"/>
        <v>7.2</v>
      </c>
      <c r="K2629" s="10">
        <f t="shared" si="272"/>
        <v>19.900000000000002</v>
      </c>
      <c r="L2629" s="10">
        <f t="shared" si="273"/>
        <v>158.69999999999999</v>
      </c>
    </row>
    <row r="2630" spans="1:12" x14ac:dyDescent="0.25">
      <c r="A2630" s="7">
        <v>45778</v>
      </c>
      <c r="B2630" s="2" t="s">
        <v>579</v>
      </c>
      <c r="C2630" s="6">
        <v>2682</v>
      </c>
      <c r="D2630" s="5" t="s">
        <v>792</v>
      </c>
      <c r="E2630" s="1">
        <v>0.33611111111111114</v>
      </c>
      <c r="F2630" s="1">
        <v>0.375</v>
      </c>
      <c r="G2630" s="9">
        <f t="shared" si="268"/>
        <v>45775</v>
      </c>
      <c r="H2630" s="11">
        <f t="shared" si="269"/>
        <v>0.9</v>
      </c>
      <c r="I2630" s="10">
        <f t="shared" si="270"/>
        <v>0.9</v>
      </c>
      <c r="J2630" s="10">
        <f t="shared" si="271"/>
        <v>7.2</v>
      </c>
      <c r="K2630" s="10">
        <f t="shared" si="272"/>
        <v>20.799999999999997</v>
      </c>
      <c r="L2630" s="10">
        <f t="shared" si="273"/>
        <v>0.9</v>
      </c>
    </row>
    <row r="2631" spans="1:12" x14ac:dyDescent="0.25">
      <c r="A2631" s="7">
        <v>45778</v>
      </c>
      <c r="B2631" s="2" t="s">
        <v>464</v>
      </c>
      <c r="C2631" s="6">
        <v>2431</v>
      </c>
      <c r="D2631" s="5" t="s">
        <v>160</v>
      </c>
      <c r="E2631" s="1">
        <v>0.375</v>
      </c>
      <c r="F2631" s="1">
        <v>0.5854166666666667</v>
      </c>
      <c r="G2631" s="9">
        <f t="shared" si="268"/>
        <v>45775</v>
      </c>
      <c r="H2631" s="11">
        <f t="shared" si="269"/>
        <v>5.0999999999999996</v>
      </c>
      <c r="I2631" s="10">
        <f t="shared" si="270"/>
        <v>6</v>
      </c>
      <c r="J2631" s="10">
        <f t="shared" si="271"/>
        <v>7.2</v>
      </c>
      <c r="K2631" s="10">
        <f t="shared" si="272"/>
        <v>25.9</v>
      </c>
      <c r="L2631" s="10">
        <f t="shared" si="273"/>
        <v>6</v>
      </c>
    </row>
    <row r="2632" spans="1:12" x14ac:dyDescent="0.25">
      <c r="A2632" s="7">
        <v>45778</v>
      </c>
      <c r="B2632" s="2" t="s">
        <v>579</v>
      </c>
      <c r="C2632" s="6">
        <v>2682</v>
      </c>
      <c r="D2632" s="5" t="s">
        <v>792</v>
      </c>
      <c r="E2632" s="1">
        <v>0.5854166666666667</v>
      </c>
      <c r="F2632" s="1">
        <v>0.59305555555555556</v>
      </c>
      <c r="G2632" s="9">
        <f t="shared" si="268"/>
        <v>45775</v>
      </c>
      <c r="H2632" s="11">
        <f t="shared" si="269"/>
        <v>0.2</v>
      </c>
      <c r="I2632" s="10">
        <f t="shared" si="270"/>
        <v>6.2</v>
      </c>
      <c r="J2632" s="10">
        <f t="shared" si="271"/>
        <v>7.2</v>
      </c>
      <c r="K2632" s="10">
        <f t="shared" si="272"/>
        <v>26.099999999999998</v>
      </c>
      <c r="L2632" s="10">
        <f t="shared" si="273"/>
        <v>6.2</v>
      </c>
    </row>
    <row r="2633" spans="1:12" x14ac:dyDescent="0.25">
      <c r="A2633" s="7">
        <v>45779</v>
      </c>
      <c r="B2633" t="s">
        <v>598</v>
      </c>
      <c r="C2633" s="6">
        <v>6004</v>
      </c>
      <c r="D2633" s="5" t="s">
        <v>107</v>
      </c>
      <c r="E2633" s="1">
        <v>0.33611111111111114</v>
      </c>
      <c r="F2633" s="1">
        <v>0.45833333333333331</v>
      </c>
      <c r="G2633" s="9">
        <f t="shared" si="268"/>
        <v>45775</v>
      </c>
      <c r="H2633" s="11">
        <f t="shared" si="269"/>
        <v>2.9</v>
      </c>
      <c r="I2633" s="10">
        <f t="shared" si="270"/>
        <v>2.9</v>
      </c>
      <c r="J2633" s="10">
        <f t="shared" si="271"/>
        <v>7.2</v>
      </c>
      <c r="K2633" s="10">
        <f t="shared" si="272"/>
        <v>29</v>
      </c>
      <c r="L2633" s="10">
        <f t="shared" si="273"/>
        <v>9.1</v>
      </c>
    </row>
    <row r="2634" spans="1:12" x14ac:dyDescent="0.25">
      <c r="A2634" s="7">
        <v>45779</v>
      </c>
      <c r="B2634" s="2" t="s">
        <v>579</v>
      </c>
      <c r="C2634" s="6">
        <v>2682</v>
      </c>
      <c r="D2634" s="5" t="s">
        <v>44</v>
      </c>
      <c r="E2634" s="1">
        <v>0.45833333333333331</v>
      </c>
      <c r="F2634" s="1">
        <v>0.50694444444444442</v>
      </c>
      <c r="G2634" s="9">
        <f t="shared" si="268"/>
        <v>45775</v>
      </c>
      <c r="H2634" s="11">
        <f t="shared" si="269"/>
        <v>1.2</v>
      </c>
      <c r="I2634" s="10">
        <f t="shared" si="270"/>
        <v>4.0999999999999996</v>
      </c>
      <c r="J2634" s="10">
        <f t="shared" si="271"/>
        <v>7.2</v>
      </c>
      <c r="K2634" s="10">
        <f t="shared" si="272"/>
        <v>30.2</v>
      </c>
      <c r="L2634" s="10">
        <f t="shared" si="273"/>
        <v>10.299999999999999</v>
      </c>
    </row>
    <row r="2635" spans="1:12" x14ac:dyDescent="0.25">
      <c r="A2635" s="7">
        <v>45779</v>
      </c>
      <c r="B2635" t="s">
        <v>598</v>
      </c>
      <c r="C2635" s="6">
        <v>6004</v>
      </c>
      <c r="D2635" s="5" t="s">
        <v>107</v>
      </c>
      <c r="E2635" s="1">
        <v>0.50694444444444442</v>
      </c>
      <c r="F2635" s="1">
        <v>0.51666666666666672</v>
      </c>
      <c r="G2635" s="9">
        <f t="shared" si="268"/>
        <v>45775</v>
      </c>
      <c r="H2635" s="11">
        <f t="shared" si="269"/>
        <v>0.2</v>
      </c>
      <c r="I2635" s="10">
        <f t="shared" si="270"/>
        <v>4.3</v>
      </c>
      <c r="J2635" s="10">
        <f t="shared" si="271"/>
        <v>7.2</v>
      </c>
      <c r="K2635" s="10">
        <f t="shared" si="272"/>
        <v>30.4</v>
      </c>
      <c r="L2635" s="10">
        <f t="shared" si="273"/>
        <v>10.5</v>
      </c>
    </row>
    <row r="2636" spans="1:12" x14ac:dyDescent="0.25">
      <c r="A2636" s="7">
        <v>45779</v>
      </c>
      <c r="B2636" t="s">
        <v>598</v>
      </c>
      <c r="C2636" s="6">
        <v>6004</v>
      </c>
      <c r="D2636" s="5" t="s">
        <v>107</v>
      </c>
      <c r="E2636" s="1">
        <v>0.52916666666666667</v>
      </c>
      <c r="F2636" s="1">
        <v>0.65138888888888891</v>
      </c>
      <c r="G2636" s="9">
        <f t="shared" si="268"/>
        <v>45775</v>
      </c>
      <c r="H2636" s="11">
        <f t="shared" si="269"/>
        <v>2.9</v>
      </c>
      <c r="I2636" s="10">
        <f t="shared" si="270"/>
        <v>7.1999999999999993</v>
      </c>
      <c r="J2636" s="10">
        <f t="shared" si="271"/>
        <v>7.2</v>
      </c>
      <c r="K2636" s="10">
        <f t="shared" si="272"/>
        <v>33.299999999999997</v>
      </c>
      <c r="L2636" s="10">
        <f t="shared" si="273"/>
        <v>13.4</v>
      </c>
    </row>
    <row r="2637" spans="1:12" x14ac:dyDescent="0.25">
      <c r="A2637" s="7">
        <v>45782</v>
      </c>
      <c r="B2637" s="2" t="s">
        <v>579</v>
      </c>
      <c r="C2637" s="6">
        <v>2682</v>
      </c>
      <c r="D2637" s="5" t="s">
        <v>792</v>
      </c>
      <c r="E2637" s="1">
        <v>0.31944444444444442</v>
      </c>
      <c r="F2637" s="1">
        <v>0.65416666666666667</v>
      </c>
      <c r="G2637" s="9">
        <f t="shared" si="268"/>
        <v>45782</v>
      </c>
      <c r="H2637" s="11">
        <f t="shared" si="269"/>
        <v>8</v>
      </c>
      <c r="I2637" s="10">
        <f t="shared" si="270"/>
        <v>8</v>
      </c>
      <c r="J2637" s="10">
        <f t="shared" si="271"/>
        <v>7.2</v>
      </c>
      <c r="K2637" s="10">
        <f t="shared" si="272"/>
        <v>8</v>
      </c>
      <c r="L2637" s="10">
        <f t="shared" si="273"/>
        <v>21.4</v>
      </c>
    </row>
    <row r="2638" spans="1:12" x14ac:dyDescent="0.25">
      <c r="A2638" s="7">
        <v>45783</v>
      </c>
      <c r="B2638" s="2" t="s">
        <v>579</v>
      </c>
      <c r="C2638" s="6">
        <v>2682</v>
      </c>
      <c r="D2638" s="5" t="s">
        <v>792</v>
      </c>
      <c r="E2638" s="1">
        <v>0.35416666666666669</v>
      </c>
      <c r="F2638" s="1">
        <v>0.47430555555555554</v>
      </c>
      <c r="G2638" s="9">
        <f t="shared" si="268"/>
        <v>45782</v>
      </c>
      <c r="H2638" s="11">
        <f t="shared" si="269"/>
        <v>2.9</v>
      </c>
      <c r="I2638" s="10">
        <f t="shared" si="270"/>
        <v>2.9</v>
      </c>
      <c r="J2638" s="10">
        <f t="shared" si="271"/>
        <v>7.2</v>
      </c>
      <c r="K2638" s="10">
        <f t="shared" si="272"/>
        <v>10.9</v>
      </c>
      <c r="L2638" s="10">
        <f t="shared" si="273"/>
        <v>24.299999999999997</v>
      </c>
    </row>
    <row r="2639" spans="1:12" x14ac:dyDescent="0.25">
      <c r="A2639" s="7">
        <v>45783</v>
      </c>
      <c r="B2639" s="2" t="s">
        <v>579</v>
      </c>
      <c r="C2639" s="6">
        <v>2682</v>
      </c>
      <c r="D2639" s="5" t="s">
        <v>792</v>
      </c>
      <c r="E2639" s="1">
        <v>0.49583333333333335</v>
      </c>
      <c r="F2639" s="1">
        <v>0.68888888888888888</v>
      </c>
      <c r="G2639" s="9">
        <f t="shared" si="268"/>
        <v>45782</v>
      </c>
      <c r="H2639" s="11">
        <f t="shared" si="269"/>
        <v>4.5999999999999996</v>
      </c>
      <c r="I2639" s="10">
        <f t="shared" si="270"/>
        <v>7.5</v>
      </c>
      <c r="J2639" s="10">
        <f t="shared" si="271"/>
        <v>7.2</v>
      </c>
      <c r="K2639" s="10">
        <f t="shared" si="272"/>
        <v>15.5</v>
      </c>
      <c r="L2639" s="10">
        <f t="shared" si="273"/>
        <v>28.9</v>
      </c>
    </row>
    <row r="2640" spans="1:12" x14ac:dyDescent="0.25">
      <c r="A2640" s="7">
        <v>45784</v>
      </c>
      <c r="B2640" s="2" t="s">
        <v>579</v>
      </c>
      <c r="C2640" s="6">
        <v>2682</v>
      </c>
      <c r="D2640" s="5" t="s">
        <v>792</v>
      </c>
      <c r="E2640" s="1">
        <v>0.34097222222222223</v>
      </c>
      <c r="F2640" s="1">
        <v>0.48958333333333331</v>
      </c>
      <c r="G2640" s="9">
        <f t="shared" si="268"/>
        <v>45782</v>
      </c>
      <c r="H2640" s="11">
        <f t="shared" si="269"/>
        <v>3.6</v>
      </c>
      <c r="I2640" s="10">
        <f t="shared" si="270"/>
        <v>3.6</v>
      </c>
      <c r="J2640" s="10">
        <f t="shared" si="271"/>
        <v>7.2</v>
      </c>
      <c r="K2640" s="10">
        <f t="shared" si="272"/>
        <v>19.100000000000001</v>
      </c>
      <c r="L2640" s="10">
        <f t="shared" si="273"/>
        <v>32.5</v>
      </c>
    </row>
    <row r="2641" spans="1:12" x14ac:dyDescent="0.25">
      <c r="A2641" s="7">
        <v>45784</v>
      </c>
      <c r="B2641" s="2" t="s">
        <v>579</v>
      </c>
      <c r="C2641" s="6">
        <v>2682</v>
      </c>
      <c r="D2641" s="5" t="s">
        <v>792</v>
      </c>
      <c r="E2641" s="1">
        <v>0.51666666666666672</v>
      </c>
      <c r="F2641" s="1">
        <v>0.64166666666666672</v>
      </c>
      <c r="G2641" s="9">
        <f t="shared" si="268"/>
        <v>45782</v>
      </c>
      <c r="H2641" s="11">
        <f t="shared" si="269"/>
        <v>3</v>
      </c>
      <c r="I2641" s="10">
        <f t="shared" si="270"/>
        <v>6.6</v>
      </c>
      <c r="J2641" s="10">
        <f t="shared" si="271"/>
        <v>7.2</v>
      </c>
      <c r="K2641" s="10">
        <f t="shared" si="272"/>
        <v>22.1</v>
      </c>
      <c r="L2641" s="10">
        <f t="shared" si="273"/>
        <v>35.5</v>
      </c>
    </row>
    <row r="2642" spans="1:12" x14ac:dyDescent="0.25">
      <c r="A2642" s="7">
        <v>45785</v>
      </c>
      <c r="B2642" s="2" t="s">
        <v>579</v>
      </c>
      <c r="C2642" s="6">
        <v>2682</v>
      </c>
      <c r="D2642" s="5" t="s">
        <v>792</v>
      </c>
      <c r="E2642" s="1">
        <v>0.3347222222222222</v>
      </c>
      <c r="F2642" s="1">
        <v>0.51180555555555551</v>
      </c>
      <c r="G2642" s="9">
        <f t="shared" si="268"/>
        <v>45782</v>
      </c>
      <c r="H2642" s="11">
        <f t="shared" si="269"/>
        <v>4.3</v>
      </c>
      <c r="I2642" s="10">
        <f t="shared" si="270"/>
        <v>4.3</v>
      </c>
      <c r="J2642" s="10">
        <f t="shared" si="271"/>
        <v>7.2</v>
      </c>
      <c r="K2642" s="10">
        <f t="shared" si="272"/>
        <v>26.400000000000002</v>
      </c>
      <c r="L2642" s="10">
        <f t="shared" si="273"/>
        <v>39.799999999999997</v>
      </c>
    </row>
    <row r="2643" spans="1:12" x14ac:dyDescent="0.25">
      <c r="A2643" s="7">
        <v>45785</v>
      </c>
      <c r="B2643" t="s">
        <v>551</v>
      </c>
      <c r="C2643" s="6">
        <v>6184</v>
      </c>
      <c r="D2643" s="5" t="s">
        <v>107</v>
      </c>
      <c r="E2643" s="1">
        <v>0.52777777777777779</v>
      </c>
      <c r="F2643" s="1">
        <v>0.58958333333333335</v>
      </c>
      <c r="G2643" s="9">
        <f t="shared" si="268"/>
        <v>45782</v>
      </c>
      <c r="H2643" s="11">
        <f t="shared" si="269"/>
        <v>1.5</v>
      </c>
      <c r="I2643" s="10">
        <f t="shared" si="270"/>
        <v>5.8</v>
      </c>
      <c r="J2643" s="10">
        <f t="shared" si="271"/>
        <v>7.2</v>
      </c>
      <c r="K2643" s="10">
        <f t="shared" si="272"/>
        <v>27.9</v>
      </c>
      <c r="L2643" s="10">
        <f t="shared" si="273"/>
        <v>41.3</v>
      </c>
    </row>
    <row r="2644" spans="1:12" x14ac:dyDescent="0.25">
      <c r="A2644" s="7">
        <v>45785</v>
      </c>
      <c r="B2644" s="2" t="s">
        <v>579</v>
      </c>
      <c r="C2644" s="6">
        <v>2682</v>
      </c>
      <c r="D2644" s="5" t="s">
        <v>792</v>
      </c>
      <c r="E2644" s="1">
        <v>0.58958333333333335</v>
      </c>
      <c r="F2644" s="1">
        <v>0.62986111111111109</v>
      </c>
      <c r="G2644" s="9">
        <f t="shared" si="268"/>
        <v>45782</v>
      </c>
      <c r="H2644" s="11">
        <f t="shared" si="269"/>
        <v>1</v>
      </c>
      <c r="I2644" s="10">
        <f t="shared" si="270"/>
        <v>6.8</v>
      </c>
      <c r="J2644" s="10">
        <f t="shared" si="271"/>
        <v>7.2</v>
      </c>
      <c r="K2644" s="10">
        <f t="shared" si="272"/>
        <v>28.9</v>
      </c>
      <c r="L2644" s="10">
        <f t="shared" si="273"/>
        <v>42.3</v>
      </c>
    </row>
    <row r="2645" spans="1:12" x14ac:dyDescent="0.25">
      <c r="A2645" s="7">
        <v>45786</v>
      </c>
      <c r="B2645" t="s">
        <v>551</v>
      </c>
      <c r="C2645" s="6">
        <v>6184</v>
      </c>
      <c r="D2645" s="5" t="s">
        <v>107</v>
      </c>
      <c r="E2645" s="1">
        <v>0.35</v>
      </c>
      <c r="F2645" s="1">
        <v>0.41666666666666669</v>
      </c>
      <c r="G2645" s="9">
        <f t="shared" si="268"/>
        <v>45782</v>
      </c>
      <c r="H2645" s="11">
        <f t="shared" si="269"/>
        <v>1.6</v>
      </c>
      <c r="I2645" s="10">
        <f t="shared" si="270"/>
        <v>1.6</v>
      </c>
      <c r="J2645" s="10">
        <f t="shared" si="271"/>
        <v>7.2</v>
      </c>
      <c r="K2645" s="10">
        <f t="shared" si="272"/>
        <v>30.5</v>
      </c>
      <c r="L2645" s="10">
        <f t="shared" si="273"/>
        <v>43.9</v>
      </c>
    </row>
    <row r="2646" spans="1:12" x14ac:dyDescent="0.25">
      <c r="A2646" s="7">
        <v>45786</v>
      </c>
      <c r="B2646" s="2" t="s">
        <v>464</v>
      </c>
      <c r="C2646" s="6">
        <v>2431</v>
      </c>
      <c r="D2646" s="5" t="s">
        <v>32</v>
      </c>
      <c r="E2646" s="1">
        <v>0.41666666666666669</v>
      </c>
      <c r="F2646" s="1">
        <v>0.45555555555555555</v>
      </c>
      <c r="G2646" s="9">
        <f t="shared" si="268"/>
        <v>45782</v>
      </c>
      <c r="H2646" s="11">
        <f t="shared" si="269"/>
        <v>0.9</v>
      </c>
      <c r="I2646" s="10">
        <f t="shared" si="270"/>
        <v>2.5</v>
      </c>
      <c r="J2646" s="10">
        <f t="shared" si="271"/>
        <v>7.2</v>
      </c>
      <c r="K2646" s="10">
        <f t="shared" si="272"/>
        <v>31.4</v>
      </c>
      <c r="L2646" s="10">
        <f t="shared" si="273"/>
        <v>44.8</v>
      </c>
    </row>
    <row r="2647" spans="1:12" x14ac:dyDescent="0.25">
      <c r="A2647" s="7">
        <v>45786</v>
      </c>
      <c r="B2647" t="s">
        <v>551</v>
      </c>
      <c r="C2647" s="6">
        <v>6184</v>
      </c>
      <c r="D2647" s="5" t="s">
        <v>107</v>
      </c>
      <c r="E2647" s="1">
        <v>0.45555555555555555</v>
      </c>
      <c r="F2647" s="1">
        <v>0.52083333333333337</v>
      </c>
      <c r="G2647" s="9">
        <f t="shared" si="268"/>
        <v>45782</v>
      </c>
      <c r="H2647" s="11">
        <f t="shared" si="269"/>
        <v>1.6</v>
      </c>
      <c r="I2647" s="10">
        <f t="shared" si="270"/>
        <v>4.0999999999999996</v>
      </c>
      <c r="J2647" s="10">
        <f t="shared" si="271"/>
        <v>7.2</v>
      </c>
      <c r="K2647" s="10">
        <f t="shared" si="272"/>
        <v>33</v>
      </c>
      <c r="L2647" s="10">
        <f t="shared" si="273"/>
        <v>46.4</v>
      </c>
    </row>
    <row r="2648" spans="1:12" x14ac:dyDescent="0.25">
      <c r="A2648" s="7">
        <v>45786</v>
      </c>
      <c r="B2648" t="s">
        <v>6</v>
      </c>
      <c r="C2648" s="6" t="s">
        <v>416</v>
      </c>
      <c r="D2648" s="5" t="s">
        <v>374</v>
      </c>
      <c r="E2648" s="1">
        <v>0.54166666666666663</v>
      </c>
      <c r="F2648" s="1">
        <v>0.58819444444444446</v>
      </c>
      <c r="G2648" s="9">
        <f t="shared" si="268"/>
        <v>45782</v>
      </c>
      <c r="H2648" s="11">
        <f t="shared" si="269"/>
        <v>1.1000000000000001</v>
      </c>
      <c r="I2648" s="10">
        <f t="shared" si="270"/>
        <v>5.1999999999999993</v>
      </c>
      <c r="J2648" s="10">
        <f t="shared" si="271"/>
        <v>7.2</v>
      </c>
      <c r="K2648" s="10">
        <f t="shared" si="272"/>
        <v>34.1</v>
      </c>
      <c r="L2648" s="10">
        <f t="shared" si="273"/>
        <v>47.5</v>
      </c>
    </row>
    <row r="2649" spans="1:12" x14ac:dyDescent="0.25">
      <c r="A2649" s="7">
        <v>45786</v>
      </c>
      <c r="B2649" s="2" t="s">
        <v>579</v>
      </c>
      <c r="C2649" s="6">
        <v>2682</v>
      </c>
      <c r="D2649" s="5" t="s">
        <v>792</v>
      </c>
      <c r="E2649" s="1">
        <v>0.58819444444444446</v>
      </c>
      <c r="F2649" s="1">
        <v>0.64652777777777781</v>
      </c>
      <c r="G2649" s="9">
        <f t="shared" si="268"/>
        <v>45782</v>
      </c>
      <c r="H2649" s="11">
        <f t="shared" si="269"/>
        <v>1.4</v>
      </c>
      <c r="I2649" s="10">
        <f t="shared" si="270"/>
        <v>6.6</v>
      </c>
      <c r="J2649" s="10">
        <f t="shared" si="271"/>
        <v>7.2</v>
      </c>
      <c r="K2649" s="10">
        <f t="shared" si="272"/>
        <v>35.5</v>
      </c>
      <c r="L2649" s="10">
        <f t="shared" si="273"/>
        <v>48.9</v>
      </c>
    </row>
    <row r="2650" spans="1:12" x14ac:dyDescent="0.25">
      <c r="A2650" s="7">
        <v>45789</v>
      </c>
      <c r="B2650" s="2" t="s">
        <v>579</v>
      </c>
      <c r="C2650" s="6">
        <v>2682</v>
      </c>
      <c r="D2650" s="5" t="s">
        <v>792</v>
      </c>
      <c r="E2650" s="1">
        <v>0.34166666666666667</v>
      </c>
      <c r="F2650" s="1">
        <v>0.48055555555555557</v>
      </c>
      <c r="G2650" s="9">
        <f t="shared" si="268"/>
        <v>45789</v>
      </c>
      <c r="H2650" s="11">
        <f t="shared" si="269"/>
        <v>3.3</v>
      </c>
      <c r="I2650" s="10">
        <f t="shared" si="270"/>
        <v>3.3</v>
      </c>
      <c r="J2650" s="10">
        <f t="shared" si="271"/>
        <v>7.2</v>
      </c>
      <c r="K2650" s="10">
        <f t="shared" si="272"/>
        <v>3.3</v>
      </c>
      <c r="L2650" s="10">
        <f t="shared" si="273"/>
        <v>52.199999999999996</v>
      </c>
    </row>
    <row r="2651" spans="1:12" x14ac:dyDescent="0.25">
      <c r="A2651" s="7">
        <v>45789</v>
      </c>
      <c r="B2651" s="2" t="s">
        <v>579</v>
      </c>
      <c r="C2651" s="6">
        <v>2682</v>
      </c>
      <c r="D2651" s="5" t="s">
        <v>792</v>
      </c>
      <c r="E2651" s="1">
        <v>0.50416666666666665</v>
      </c>
      <c r="F2651" s="1">
        <v>0.60416666666666663</v>
      </c>
      <c r="G2651" s="9">
        <f t="shared" si="268"/>
        <v>45789</v>
      </c>
      <c r="H2651" s="11">
        <f t="shared" si="269"/>
        <v>2.4</v>
      </c>
      <c r="I2651" s="10">
        <f t="shared" si="270"/>
        <v>5.6999999999999993</v>
      </c>
      <c r="J2651" s="10">
        <f t="shared" si="271"/>
        <v>7.2</v>
      </c>
      <c r="K2651" s="10">
        <f t="shared" si="272"/>
        <v>5.6999999999999993</v>
      </c>
      <c r="L2651" s="10">
        <f t="shared" si="273"/>
        <v>54.6</v>
      </c>
    </row>
    <row r="2652" spans="1:12" x14ac:dyDescent="0.25">
      <c r="A2652" s="7">
        <v>45790</v>
      </c>
      <c r="B2652" t="s">
        <v>6</v>
      </c>
      <c r="C2652" s="6" t="s">
        <v>416</v>
      </c>
      <c r="D2652" s="5" t="s">
        <v>793</v>
      </c>
      <c r="E2652" s="1">
        <v>0.33263888888888887</v>
      </c>
      <c r="F2652" s="1">
        <v>0.4375</v>
      </c>
      <c r="G2652" s="9">
        <f t="shared" si="268"/>
        <v>45789</v>
      </c>
      <c r="H2652" s="11">
        <f t="shared" si="269"/>
        <v>2.5</v>
      </c>
      <c r="I2652" s="10">
        <f t="shared" si="270"/>
        <v>2.5</v>
      </c>
      <c r="J2652" s="10">
        <f t="shared" si="271"/>
        <v>7.2</v>
      </c>
      <c r="K2652" s="10">
        <f t="shared" si="272"/>
        <v>8.1999999999999993</v>
      </c>
      <c r="L2652" s="10">
        <f t="shared" si="273"/>
        <v>57.1</v>
      </c>
    </row>
    <row r="2653" spans="1:12" x14ac:dyDescent="0.25">
      <c r="A2653" s="7">
        <v>45790</v>
      </c>
      <c r="B2653" s="2" t="s">
        <v>579</v>
      </c>
      <c r="C2653" s="6">
        <v>2682</v>
      </c>
      <c r="D2653" s="5" t="s">
        <v>792</v>
      </c>
      <c r="E2653" s="1">
        <v>0.4375</v>
      </c>
      <c r="F2653" s="1">
        <v>0.50624999999999998</v>
      </c>
      <c r="G2653" s="9">
        <f t="shared" si="268"/>
        <v>45789</v>
      </c>
      <c r="H2653" s="11">
        <f t="shared" si="269"/>
        <v>1.7</v>
      </c>
      <c r="I2653" s="10">
        <f t="shared" si="270"/>
        <v>4.2</v>
      </c>
      <c r="J2653" s="10">
        <f t="shared" si="271"/>
        <v>7.2</v>
      </c>
      <c r="K2653" s="10">
        <f t="shared" si="272"/>
        <v>9.8999999999999986</v>
      </c>
      <c r="L2653" s="10">
        <f t="shared" si="273"/>
        <v>58.800000000000004</v>
      </c>
    </row>
    <row r="2654" spans="1:12" x14ac:dyDescent="0.25">
      <c r="A2654" s="7">
        <v>45790</v>
      </c>
      <c r="B2654" t="s">
        <v>6</v>
      </c>
      <c r="C2654" s="6" t="s">
        <v>416</v>
      </c>
      <c r="D2654" s="5" t="s">
        <v>793</v>
      </c>
      <c r="E2654" s="1">
        <v>0.50624999999999998</v>
      </c>
      <c r="F2654" s="1">
        <v>0.59513888888888888</v>
      </c>
      <c r="G2654" s="9">
        <f t="shared" si="268"/>
        <v>45789</v>
      </c>
      <c r="H2654" s="11">
        <f t="shared" si="269"/>
        <v>2.1</v>
      </c>
      <c r="I2654" s="10">
        <f t="shared" si="270"/>
        <v>6.3000000000000007</v>
      </c>
      <c r="J2654" s="10">
        <f t="shared" si="271"/>
        <v>7.2</v>
      </c>
      <c r="K2654" s="10">
        <f t="shared" si="272"/>
        <v>12</v>
      </c>
      <c r="L2654" s="10">
        <f t="shared" si="273"/>
        <v>60.9</v>
      </c>
    </row>
    <row r="2655" spans="1:12" x14ac:dyDescent="0.25">
      <c r="A2655" s="7">
        <v>45790</v>
      </c>
      <c r="B2655" s="2" t="s">
        <v>579</v>
      </c>
      <c r="C2655" s="6">
        <v>2682</v>
      </c>
      <c r="D2655" s="5" t="s">
        <v>792</v>
      </c>
      <c r="E2655" s="1">
        <v>0.59513888888888888</v>
      </c>
      <c r="F2655" s="1">
        <v>0.61875000000000002</v>
      </c>
      <c r="G2655" s="9">
        <f t="shared" si="268"/>
        <v>45789</v>
      </c>
      <c r="H2655" s="11">
        <f t="shared" si="269"/>
        <v>0.6</v>
      </c>
      <c r="I2655" s="10">
        <f t="shared" si="270"/>
        <v>6.8999999999999995</v>
      </c>
      <c r="J2655" s="10">
        <f t="shared" si="271"/>
        <v>7.2</v>
      </c>
      <c r="K2655" s="10">
        <f t="shared" si="272"/>
        <v>12.6</v>
      </c>
      <c r="L2655" s="10">
        <f t="shared" si="273"/>
        <v>61.5</v>
      </c>
    </row>
    <row r="2656" spans="1:12" x14ac:dyDescent="0.25">
      <c r="A2656" s="7">
        <v>45791</v>
      </c>
      <c r="B2656" s="2" t="s">
        <v>579</v>
      </c>
      <c r="C2656" s="6">
        <v>2682</v>
      </c>
      <c r="D2656" s="5" t="s">
        <v>792</v>
      </c>
      <c r="E2656" s="1">
        <v>0.35347222222222224</v>
      </c>
      <c r="F2656" s="1">
        <v>0.41666666666666669</v>
      </c>
      <c r="G2656" s="9">
        <f t="shared" si="268"/>
        <v>45789</v>
      </c>
      <c r="H2656" s="11">
        <f t="shared" si="269"/>
        <v>1.5</v>
      </c>
      <c r="I2656" s="10">
        <f t="shared" si="270"/>
        <v>1.5</v>
      </c>
      <c r="J2656" s="10">
        <f t="shared" si="271"/>
        <v>7.2</v>
      </c>
      <c r="K2656" s="10">
        <f t="shared" si="272"/>
        <v>14.1</v>
      </c>
      <c r="L2656" s="10">
        <f t="shared" si="273"/>
        <v>63</v>
      </c>
    </row>
    <row r="2657" spans="1:12" x14ac:dyDescent="0.25">
      <c r="A2657" s="7">
        <v>45791</v>
      </c>
      <c r="B2657" s="2" t="s">
        <v>464</v>
      </c>
      <c r="C2657" s="6">
        <v>2431</v>
      </c>
      <c r="D2657" s="5" t="s">
        <v>794</v>
      </c>
      <c r="E2657" s="1">
        <v>0.41666666666666669</v>
      </c>
      <c r="F2657" s="1">
        <v>0.54305555555555551</v>
      </c>
      <c r="G2657" s="9">
        <f t="shared" si="268"/>
        <v>45789</v>
      </c>
      <c r="H2657" s="11">
        <f t="shared" si="269"/>
        <v>3</v>
      </c>
      <c r="I2657" s="10">
        <f t="shared" si="270"/>
        <v>4.5</v>
      </c>
      <c r="J2657" s="10">
        <f t="shared" si="271"/>
        <v>7.2</v>
      </c>
      <c r="K2657" s="10">
        <f t="shared" si="272"/>
        <v>17.100000000000001</v>
      </c>
      <c r="L2657" s="10">
        <f t="shared" si="273"/>
        <v>66</v>
      </c>
    </row>
    <row r="2658" spans="1:12" x14ac:dyDescent="0.25">
      <c r="A2658" s="7">
        <v>45791</v>
      </c>
      <c r="B2658" s="2" t="s">
        <v>464</v>
      </c>
      <c r="C2658" s="6">
        <v>2431</v>
      </c>
      <c r="D2658" s="5" t="s">
        <v>794</v>
      </c>
      <c r="E2658" s="1">
        <v>0.55763888888888891</v>
      </c>
      <c r="F2658" s="1">
        <v>0.625</v>
      </c>
      <c r="G2658" s="9">
        <f t="shared" si="268"/>
        <v>45789</v>
      </c>
      <c r="H2658" s="11">
        <f t="shared" si="269"/>
        <v>1.6</v>
      </c>
      <c r="I2658" s="10">
        <f t="shared" si="270"/>
        <v>6.1</v>
      </c>
      <c r="J2658" s="10">
        <f t="shared" si="271"/>
        <v>7.2</v>
      </c>
      <c r="K2658" s="10">
        <f t="shared" si="272"/>
        <v>18.700000000000003</v>
      </c>
      <c r="L2658" s="10">
        <f t="shared" si="273"/>
        <v>67.599999999999994</v>
      </c>
    </row>
    <row r="2659" spans="1:12" x14ac:dyDescent="0.25">
      <c r="A2659" s="7">
        <v>45791</v>
      </c>
      <c r="B2659" s="2" t="s">
        <v>579</v>
      </c>
      <c r="C2659" s="6">
        <v>2682</v>
      </c>
      <c r="D2659" s="5" t="s">
        <v>44</v>
      </c>
      <c r="E2659" s="1">
        <v>0.625</v>
      </c>
      <c r="F2659" s="1">
        <v>0.66527777777777775</v>
      </c>
      <c r="G2659" s="9">
        <f t="shared" si="268"/>
        <v>45789</v>
      </c>
      <c r="H2659" s="11">
        <f t="shared" si="269"/>
        <v>1</v>
      </c>
      <c r="I2659" s="10">
        <f t="shared" si="270"/>
        <v>7.1</v>
      </c>
      <c r="J2659" s="10">
        <f t="shared" si="271"/>
        <v>7.2</v>
      </c>
      <c r="K2659" s="10">
        <f t="shared" si="272"/>
        <v>19.7</v>
      </c>
      <c r="L2659" s="10">
        <f t="shared" si="273"/>
        <v>68.599999999999994</v>
      </c>
    </row>
    <row r="2660" spans="1:12" x14ac:dyDescent="0.25">
      <c r="A2660" s="7">
        <v>45792</v>
      </c>
      <c r="B2660" s="2" t="s">
        <v>579</v>
      </c>
      <c r="C2660" s="6">
        <v>2682</v>
      </c>
      <c r="D2660" s="5" t="s">
        <v>792</v>
      </c>
      <c r="E2660" s="1">
        <v>0.35625000000000001</v>
      </c>
      <c r="F2660" s="1">
        <v>0.65902777777777777</v>
      </c>
      <c r="G2660" s="9">
        <f t="shared" si="268"/>
        <v>45789</v>
      </c>
      <c r="H2660" s="11">
        <f t="shared" si="269"/>
        <v>7.3</v>
      </c>
      <c r="I2660" s="10">
        <f t="shared" si="270"/>
        <v>7.3</v>
      </c>
      <c r="J2660" s="10">
        <f t="shared" si="271"/>
        <v>7.2</v>
      </c>
      <c r="K2660" s="10">
        <f t="shared" si="272"/>
        <v>27</v>
      </c>
      <c r="L2660" s="10">
        <f t="shared" si="273"/>
        <v>75.899999999999991</v>
      </c>
    </row>
    <row r="2661" spans="1:12" x14ac:dyDescent="0.25">
      <c r="A2661" s="7">
        <v>45793</v>
      </c>
      <c r="B2661" t="s">
        <v>6</v>
      </c>
      <c r="C2661" s="6" t="s">
        <v>416</v>
      </c>
      <c r="D2661" s="5" t="s">
        <v>795</v>
      </c>
      <c r="E2661" s="1">
        <v>0.35347222222222224</v>
      </c>
      <c r="F2661" s="1">
        <v>0.41666666666666669</v>
      </c>
      <c r="G2661" s="9">
        <f t="shared" si="268"/>
        <v>45789</v>
      </c>
      <c r="H2661" s="11">
        <f t="shared" si="269"/>
        <v>1.5</v>
      </c>
      <c r="I2661" s="10">
        <f t="shared" si="270"/>
        <v>1.5</v>
      </c>
      <c r="J2661" s="10">
        <f t="shared" si="271"/>
        <v>7.2</v>
      </c>
      <c r="K2661" s="10">
        <f t="shared" si="272"/>
        <v>28.5</v>
      </c>
      <c r="L2661" s="10">
        <f t="shared" si="273"/>
        <v>77.400000000000006</v>
      </c>
    </row>
    <row r="2662" spans="1:12" x14ac:dyDescent="0.25">
      <c r="A2662" s="7">
        <v>45793</v>
      </c>
      <c r="B2662" s="2" t="s">
        <v>579</v>
      </c>
      <c r="C2662" s="6">
        <v>2682</v>
      </c>
      <c r="D2662" s="5" t="s">
        <v>796</v>
      </c>
      <c r="E2662" s="1">
        <v>0.41666666666666669</v>
      </c>
      <c r="F2662" s="1">
        <v>0.51458333333333328</v>
      </c>
      <c r="G2662" s="9">
        <f t="shared" si="268"/>
        <v>45789</v>
      </c>
      <c r="H2662" s="11">
        <f t="shared" si="269"/>
        <v>2.4</v>
      </c>
      <c r="I2662" s="10">
        <f t="shared" si="270"/>
        <v>3.9</v>
      </c>
      <c r="J2662" s="10">
        <f t="shared" si="271"/>
        <v>7.2</v>
      </c>
      <c r="K2662" s="10">
        <f t="shared" si="272"/>
        <v>30.9</v>
      </c>
      <c r="L2662" s="10">
        <f t="shared" si="273"/>
        <v>79.800000000000011</v>
      </c>
    </row>
    <row r="2663" spans="1:12" x14ac:dyDescent="0.25">
      <c r="A2663" s="7">
        <v>45793</v>
      </c>
      <c r="B2663" s="2" t="s">
        <v>579</v>
      </c>
      <c r="C2663" s="6">
        <v>2682</v>
      </c>
      <c r="D2663" s="5" t="s">
        <v>797</v>
      </c>
      <c r="E2663" s="1">
        <v>0.53125</v>
      </c>
      <c r="F2663" s="1">
        <v>0.56666666666666665</v>
      </c>
      <c r="G2663" s="9">
        <f t="shared" si="268"/>
        <v>45789</v>
      </c>
      <c r="H2663" s="11">
        <f t="shared" si="269"/>
        <v>0.9</v>
      </c>
      <c r="I2663" s="10">
        <f t="shared" si="270"/>
        <v>4.8</v>
      </c>
      <c r="J2663" s="10">
        <f t="shared" si="271"/>
        <v>7.2</v>
      </c>
      <c r="K2663" s="10">
        <f t="shared" si="272"/>
        <v>31.799999999999997</v>
      </c>
      <c r="L2663" s="10">
        <f t="shared" si="273"/>
        <v>80.7</v>
      </c>
    </row>
    <row r="2664" spans="1:12" x14ac:dyDescent="0.25">
      <c r="A2664" s="7">
        <v>45793</v>
      </c>
      <c r="B2664" s="2" t="s">
        <v>464</v>
      </c>
      <c r="C2664" s="6">
        <v>2431</v>
      </c>
      <c r="D2664" s="5" t="s">
        <v>794</v>
      </c>
      <c r="E2664" s="1">
        <v>0.56666666666666665</v>
      </c>
      <c r="F2664" s="1">
        <v>0.65972222222222221</v>
      </c>
      <c r="G2664" s="9">
        <f t="shared" si="268"/>
        <v>45789</v>
      </c>
      <c r="H2664" s="11">
        <f t="shared" si="269"/>
        <v>2.2000000000000002</v>
      </c>
      <c r="I2664" s="10">
        <f t="shared" si="270"/>
        <v>7</v>
      </c>
      <c r="J2664" s="10">
        <f t="shared" si="271"/>
        <v>7.2</v>
      </c>
      <c r="K2664" s="10">
        <f t="shared" si="272"/>
        <v>34</v>
      </c>
      <c r="L2664" s="10">
        <f t="shared" si="273"/>
        <v>82.9</v>
      </c>
    </row>
    <row r="2665" spans="1:12" x14ac:dyDescent="0.25">
      <c r="A2665" s="7">
        <v>45796</v>
      </c>
      <c r="B2665" t="s">
        <v>6</v>
      </c>
      <c r="C2665" s="6" t="s">
        <v>416</v>
      </c>
      <c r="D2665" s="5" t="s">
        <v>104</v>
      </c>
      <c r="E2665" s="1">
        <v>0.34027777777777779</v>
      </c>
      <c r="F2665" s="1">
        <v>0.39652777777777776</v>
      </c>
      <c r="G2665" s="9">
        <f t="shared" si="268"/>
        <v>45796</v>
      </c>
      <c r="H2665" s="11">
        <f t="shared" si="269"/>
        <v>1.4</v>
      </c>
      <c r="I2665" s="10">
        <f t="shared" si="270"/>
        <v>1.4</v>
      </c>
      <c r="J2665" s="10">
        <f t="shared" si="271"/>
        <v>7.2</v>
      </c>
      <c r="K2665" s="10">
        <f t="shared" si="272"/>
        <v>1.4</v>
      </c>
      <c r="L2665" s="10">
        <f t="shared" si="273"/>
        <v>84.300000000000011</v>
      </c>
    </row>
    <row r="2666" spans="1:12" x14ac:dyDescent="0.25">
      <c r="A2666" s="7">
        <v>45796</v>
      </c>
      <c r="B2666" s="2" t="s">
        <v>579</v>
      </c>
      <c r="C2666" s="6">
        <v>2682</v>
      </c>
      <c r="D2666" s="5" t="s">
        <v>219</v>
      </c>
      <c r="E2666" s="1">
        <v>0.39652777777777776</v>
      </c>
      <c r="F2666" s="1">
        <v>0.44583333333333336</v>
      </c>
      <c r="G2666" s="9">
        <f t="shared" si="268"/>
        <v>45796</v>
      </c>
      <c r="H2666" s="11">
        <f t="shared" si="269"/>
        <v>1.2</v>
      </c>
      <c r="I2666" s="10">
        <f t="shared" si="270"/>
        <v>2.5999999999999996</v>
      </c>
      <c r="J2666" s="10">
        <f t="shared" si="271"/>
        <v>7.2</v>
      </c>
      <c r="K2666" s="10">
        <f t="shared" si="272"/>
        <v>2.5999999999999996</v>
      </c>
      <c r="L2666" s="10">
        <f t="shared" si="273"/>
        <v>85.5</v>
      </c>
    </row>
    <row r="2667" spans="1:12" x14ac:dyDescent="0.25">
      <c r="A2667" s="7">
        <v>45796</v>
      </c>
      <c r="B2667" s="2" t="s">
        <v>579</v>
      </c>
      <c r="C2667" s="6">
        <v>2682</v>
      </c>
      <c r="D2667" s="5" t="s">
        <v>275</v>
      </c>
      <c r="E2667" s="1">
        <v>0.44583333333333336</v>
      </c>
      <c r="F2667" s="1">
        <v>0.49513888888888891</v>
      </c>
      <c r="G2667" s="9">
        <f t="shared" si="268"/>
        <v>45796</v>
      </c>
      <c r="H2667" s="11">
        <f t="shared" si="269"/>
        <v>1.2</v>
      </c>
      <c r="I2667" s="10">
        <f t="shared" si="270"/>
        <v>3.8</v>
      </c>
      <c r="J2667" s="10">
        <f t="shared" si="271"/>
        <v>7.2</v>
      </c>
      <c r="K2667" s="10">
        <f t="shared" si="272"/>
        <v>3.8</v>
      </c>
      <c r="L2667" s="10">
        <f t="shared" si="273"/>
        <v>86.7</v>
      </c>
    </row>
    <row r="2668" spans="1:12" x14ac:dyDescent="0.25">
      <c r="A2668" s="7">
        <v>45796</v>
      </c>
      <c r="B2668" s="2" t="s">
        <v>579</v>
      </c>
      <c r="C2668" s="6">
        <v>2682</v>
      </c>
      <c r="D2668" s="5" t="s">
        <v>275</v>
      </c>
      <c r="E2668" s="1">
        <v>0.51597222222222228</v>
      </c>
      <c r="F2668" s="1">
        <v>0.52152777777777781</v>
      </c>
      <c r="G2668" s="9">
        <f t="shared" si="268"/>
        <v>45796</v>
      </c>
      <c r="H2668" s="11">
        <f t="shared" si="269"/>
        <v>0.1</v>
      </c>
      <c r="I2668" s="10">
        <f t="shared" si="270"/>
        <v>3.9</v>
      </c>
      <c r="J2668" s="10">
        <f t="shared" si="271"/>
        <v>7.2</v>
      </c>
      <c r="K2668" s="10">
        <f t="shared" si="272"/>
        <v>3.9</v>
      </c>
      <c r="L2668" s="10">
        <f t="shared" si="273"/>
        <v>86.8</v>
      </c>
    </row>
    <row r="2669" spans="1:12" x14ac:dyDescent="0.25">
      <c r="A2669" s="7">
        <v>45796</v>
      </c>
      <c r="B2669" s="2" t="s">
        <v>798</v>
      </c>
      <c r="C2669" s="6">
        <v>2674</v>
      </c>
      <c r="D2669" s="5" t="s">
        <v>799</v>
      </c>
      <c r="E2669" s="1">
        <v>0.52152777777777781</v>
      </c>
      <c r="F2669" s="1">
        <v>0.63402777777777775</v>
      </c>
      <c r="G2669" s="9">
        <f t="shared" si="268"/>
        <v>45796</v>
      </c>
      <c r="H2669" s="11">
        <f t="shared" si="269"/>
        <v>2.7</v>
      </c>
      <c r="I2669" s="10">
        <f t="shared" si="270"/>
        <v>6.6</v>
      </c>
      <c r="J2669" s="10">
        <f t="shared" si="271"/>
        <v>7.2</v>
      </c>
      <c r="K2669" s="10">
        <f t="shared" si="272"/>
        <v>6.6</v>
      </c>
      <c r="L2669" s="10">
        <f t="shared" si="273"/>
        <v>89.5</v>
      </c>
    </row>
    <row r="2670" spans="1:12" x14ac:dyDescent="0.25">
      <c r="A2670" s="7">
        <v>45797</v>
      </c>
      <c r="B2670" s="2" t="s">
        <v>464</v>
      </c>
      <c r="C2670" s="6">
        <v>2431</v>
      </c>
      <c r="D2670" s="5" t="s">
        <v>44</v>
      </c>
      <c r="E2670" s="1">
        <v>0.34513888888888888</v>
      </c>
      <c r="F2670" s="1">
        <v>0.40625</v>
      </c>
      <c r="G2670" s="9">
        <f t="shared" si="268"/>
        <v>45796</v>
      </c>
      <c r="H2670" s="11">
        <f t="shared" si="269"/>
        <v>1.5</v>
      </c>
      <c r="I2670" s="10">
        <f t="shared" si="270"/>
        <v>1.5</v>
      </c>
      <c r="J2670" s="10">
        <f t="shared" si="271"/>
        <v>7.2</v>
      </c>
      <c r="K2670" s="10">
        <f t="shared" si="272"/>
        <v>8.1</v>
      </c>
      <c r="L2670" s="10">
        <f t="shared" si="273"/>
        <v>91</v>
      </c>
    </row>
    <row r="2671" spans="1:12" x14ac:dyDescent="0.25">
      <c r="A2671" s="7">
        <v>45797</v>
      </c>
      <c r="B2671" s="2" t="s">
        <v>464</v>
      </c>
      <c r="C2671" s="6">
        <v>2431</v>
      </c>
      <c r="D2671" s="5" t="s">
        <v>794</v>
      </c>
      <c r="E2671" s="1">
        <v>0.40694444444444444</v>
      </c>
      <c r="F2671" s="1">
        <v>0.51041666666666663</v>
      </c>
      <c r="G2671" s="9">
        <f t="shared" si="268"/>
        <v>45796</v>
      </c>
      <c r="H2671" s="11">
        <f t="shared" si="269"/>
        <v>2.5</v>
      </c>
      <c r="I2671" s="10">
        <f t="shared" si="270"/>
        <v>4</v>
      </c>
      <c r="J2671" s="10">
        <f t="shared" si="271"/>
        <v>7.2</v>
      </c>
      <c r="K2671" s="10">
        <f t="shared" si="272"/>
        <v>10.6</v>
      </c>
      <c r="L2671" s="10">
        <f t="shared" si="273"/>
        <v>93.5</v>
      </c>
    </row>
    <row r="2672" spans="1:12" x14ac:dyDescent="0.25">
      <c r="A2672" s="7">
        <v>45797</v>
      </c>
      <c r="B2672" s="2" t="s">
        <v>464</v>
      </c>
      <c r="C2672" s="6">
        <v>2431</v>
      </c>
      <c r="D2672" s="5" t="s">
        <v>794</v>
      </c>
      <c r="E2672" s="1">
        <v>0.52569444444444446</v>
      </c>
      <c r="F2672" s="1">
        <v>0.5444444444444444</v>
      </c>
      <c r="G2672" s="9">
        <f t="shared" si="268"/>
        <v>45796</v>
      </c>
      <c r="H2672" s="11">
        <f t="shared" si="269"/>
        <v>0.4</v>
      </c>
      <c r="I2672" s="10">
        <f t="shared" si="270"/>
        <v>4.4000000000000004</v>
      </c>
      <c r="J2672" s="10">
        <f t="shared" si="271"/>
        <v>7.2</v>
      </c>
      <c r="K2672" s="10">
        <f t="shared" si="272"/>
        <v>11</v>
      </c>
      <c r="L2672" s="10">
        <f t="shared" si="273"/>
        <v>93.9</v>
      </c>
    </row>
    <row r="2673" spans="1:12" x14ac:dyDescent="0.25">
      <c r="A2673" s="7">
        <v>45797</v>
      </c>
      <c r="B2673" s="2" t="s">
        <v>798</v>
      </c>
      <c r="C2673" s="6">
        <v>2674</v>
      </c>
      <c r="D2673" s="5" t="s">
        <v>799</v>
      </c>
      <c r="E2673" s="1">
        <v>0.5444444444444444</v>
      </c>
      <c r="F2673" s="1">
        <v>0.67708333333333337</v>
      </c>
      <c r="G2673" s="9">
        <f t="shared" si="268"/>
        <v>45796</v>
      </c>
      <c r="H2673" s="11">
        <f t="shared" si="269"/>
        <v>3.2</v>
      </c>
      <c r="I2673" s="10">
        <f t="shared" si="270"/>
        <v>7.6000000000000005</v>
      </c>
      <c r="J2673" s="10">
        <f t="shared" si="271"/>
        <v>7.2</v>
      </c>
      <c r="K2673" s="10">
        <f t="shared" si="272"/>
        <v>14.2</v>
      </c>
      <c r="L2673" s="10">
        <f t="shared" si="273"/>
        <v>97.100000000000009</v>
      </c>
    </row>
    <row r="2674" spans="1:12" x14ac:dyDescent="0.25">
      <c r="A2674" s="7">
        <v>45798</v>
      </c>
      <c r="B2674" s="2" t="s">
        <v>464</v>
      </c>
      <c r="C2674" s="6">
        <v>2431</v>
      </c>
      <c r="D2674" s="5" t="s">
        <v>794</v>
      </c>
      <c r="E2674" s="1">
        <v>0.33888888888888891</v>
      </c>
      <c r="F2674" s="1">
        <v>0.41666666666666669</v>
      </c>
      <c r="G2674" s="9">
        <f t="shared" si="268"/>
        <v>45796</v>
      </c>
      <c r="H2674" s="11">
        <f t="shared" si="269"/>
        <v>1.9</v>
      </c>
      <c r="I2674" s="10">
        <f t="shared" si="270"/>
        <v>1.9</v>
      </c>
      <c r="J2674" s="10">
        <f t="shared" si="271"/>
        <v>7.2</v>
      </c>
      <c r="K2674" s="10">
        <f t="shared" si="272"/>
        <v>16.099999999999998</v>
      </c>
      <c r="L2674" s="10">
        <f t="shared" si="273"/>
        <v>99</v>
      </c>
    </row>
    <row r="2675" spans="1:12" x14ac:dyDescent="0.25">
      <c r="A2675" s="7">
        <v>45798</v>
      </c>
      <c r="B2675" t="s">
        <v>6</v>
      </c>
      <c r="C2675" s="6" t="s">
        <v>416</v>
      </c>
      <c r="D2675" s="5" t="s">
        <v>58</v>
      </c>
      <c r="E2675" s="1">
        <v>0.41666666666666669</v>
      </c>
      <c r="F2675" s="1">
        <v>0.45416666666666666</v>
      </c>
      <c r="G2675" s="9">
        <f t="shared" si="268"/>
        <v>45796</v>
      </c>
      <c r="H2675" s="11">
        <f t="shared" si="269"/>
        <v>0.9</v>
      </c>
      <c r="I2675" s="10">
        <f t="shared" si="270"/>
        <v>2.8</v>
      </c>
      <c r="J2675" s="10">
        <f t="shared" si="271"/>
        <v>7.2</v>
      </c>
      <c r="K2675" s="10">
        <f t="shared" si="272"/>
        <v>17</v>
      </c>
      <c r="L2675" s="10">
        <f t="shared" si="273"/>
        <v>99.9</v>
      </c>
    </row>
    <row r="2676" spans="1:12" x14ac:dyDescent="0.25">
      <c r="A2676" s="7">
        <v>45798</v>
      </c>
      <c r="B2676" s="2" t="s">
        <v>798</v>
      </c>
      <c r="C2676" s="6">
        <v>2674</v>
      </c>
      <c r="D2676" s="5" t="s">
        <v>800</v>
      </c>
      <c r="E2676" s="1">
        <v>0.45416666666666666</v>
      </c>
      <c r="F2676" s="1">
        <v>0.49166666666666664</v>
      </c>
      <c r="G2676" s="9">
        <f t="shared" ref="G2676:G2692" si="274">IF(E2676&gt;0,INT((A2676-2)/7)*7+2,"")</f>
        <v>45796</v>
      </c>
      <c r="H2676" s="11">
        <f t="shared" ref="H2676:H2692" si="275">IF(E2676&gt;0,ROUND(24*(IF(F2676&gt;0,F2676,NowTime)-E2676),1),"")</f>
        <v>0.9</v>
      </c>
      <c r="I2676" s="10">
        <f t="shared" ref="I2676:I2692" si="276">IF(H2676="",H2676,H2676+IF(A2676=A2675,_xlfn.NUMBERVALUE(I2675),0))</f>
        <v>3.6999999999999997</v>
      </c>
      <c r="J2676" s="10">
        <f t="shared" ref="J2676:J2692" si="277">IF(H2676="",H2676,7.2)</f>
        <v>7.2</v>
      </c>
      <c r="K2676" s="10">
        <f t="shared" ref="K2676:K2692" si="278">IF(H2676="",H2676,H2676+IF(G2676=G2675,_xlfn.NUMBERVALUE(K2675),0))</f>
        <v>17.899999999999999</v>
      </c>
      <c r="L2676" s="10">
        <f t="shared" ref="L2676:L2692" si="279">IF(H2676="",H2676,H2676+IF(MONTH(A2676)=MONTH(A2675),_xlfn.NUMBERVALUE(L2675),0))</f>
        <v>100.80000000000001</v>
      </c>
    </row>
    <row r="2677" spans="1:12" x14ac:dyDescent="0.25">
      <c r="A2677" s="7">
        <v>45798</v>
      </c>
      <c r="B2677" s="2" t="s">
        <v>798</v>
      </c>
      <c r="C2677" s="6">
        <v>2674</v>
      </c>
      <c r="D2677" s="5" t="s">
        <v>800</v>
      </c>
      <c r="E2677" s="1">
        <v>0.50972222222222219</v>
      </c>
      <c r="F2677" s="1">
        <v>0.66180555555555554</v>
      </c>
      <c r="G2677" s="9">
        <f t="shared" si="274"/>
        <v>45796</v>
      </c>
      <c r="H2677" s="11">
        <f t="shared" si="275"/>
        <v>3.7</v>
      </c>
      <c r="I2677" s="10">
        <f t="shared" si="276"/>
        <v>7.4</v>
      </c>
      <c r="J2677" s="10">
        <f t="shared" si="277"/>
        <v>7.2</v>
      </c>
      <c r="K2677" s="10">
        <f t="shared" si="278"/>
        <v>21.599999999999998</v>
      </c>
      <c r="L2677" s="10">
        <f t="shared" si="279"/>
        <v>104.5</v>
      </c>
    </row>
    <row r="2678" spans="1:12" x14ac:dyDescent="0.25">
      <c r="A2678" s="7">
        <v>45799</v>
      </c>
      <c r="B2678" s="2" t="s">
        <v>798</v>
      </c>
      <c r="C2678" s="6">
        <v>2674</v>
      </c>
      <c r="D2678" s="5" t="s">
        <v>800</v>
      </c>
      <c r="E2678" s="1">
        <v>0.36319444444444443</v>
      </c>
      <c r="F2678" s="1">
        <v>0.66388888888888886</v>
      </c>
      <c r="G2678" s="9">
        <f t="shared" si="274"/>
        <v>45796</v>
      </c>
      <c r="H2678" s="11">
        <f t="shared" si="275"/>
        <v>7.2</v>
      </c>
      <c r="I2678" s="10">
        <f t="shared" si="276"/>
        <v>7.2</v>
      </c>
      <c r="J2678" s="10">
        <f t="shared" si="277"/>
        <v>7.2</v>
      </c>
      <c r="K2678" s="10">
        <f t="shared" si="278"/>
        <v>28.8</v>
      </c>
      <c r="L2678" s="10">
        <f t="shared" si="279"/>
        <v>111.7</v>
      </c>
    </row>
    <row r="2679" spans="1:12" x14ac:dyDescent="0.25">
      <c r="A2679" s="7">
        <v>45800</v>
      </c>
      <c r="B2679" s="2" t="s">
        <v>798</v>
      </c>
      <c r="C2679" s="6">
        <v>2674</v>
      </c>
      <c r="D2679" s="5" t="s">
        <v>800</v>
      </c>
      <c r="E2679" s="1">
        <v>0.37777777777777777</v>
      </c>
      <c r="F2679" s="1">
        <v>0.47569444444444442</v>
      </c>
      <c r="G2679" s="9">
        <f t="shared" si="274"/>
        <v>45796</v>
      </c>
      <c r="H2679" s="11">
        <f t="shared" si="275"/>
        <v>2.4</v>
      </c>
      <c r="I2679" s="10">
        <f t="shared" si="276"/>
        <v>2.4</v>
      </c>
      <c r="J2679" s="10">
        <f t="shared" si="277"/>
        <v>7.2</v>
      </c>
      <c r="K2679" s="10">
        <f t="shared" si="278"/>
        <v>31.2</v>
      </c>
      <c r="L2679" s="10">
        <f t="shared" si="279"/>
        <v>114.10000000000001</v>
      </c>
    </row>
    <row r="2680" spans="1:12" x14ac:dyDescent="0.25">
      <c r="A2680" s="7">
        <v>45800</v>
      </c>
      <c r="B2680" s="2" t="s">
        <v>798</v>
      </c>
      <c r="C2680" s="6">
        <v>2674</v>
      </c>
      <c r="D2680" s="5" t="s">
        <v>800</v>
      </c>
      <c r="E2680" s="1">
        <v>0.48958333333333331</v>
      </c>
      <c r="F2680" s="1">
        <v>0.64375000000000004</v>
      </c>
      <c r="G2680" s="9">
        <f t="shared" si="274"/>
        <v>45796</v>
      </c>
      <c r="H2680" s="11">
        <f t="shared" si="275"/>
        <v>3.7</v>
      </c>
      <c r="I2680" s="10">
        <f t="shared" si="276"/>
        <v>6.1</v>
      </c>
      <c r="J2680" s="10">
        <f t="shared" si="277"/>
        <v>7.2</v>
      </c>
      <c r="K2680" s="10">
        <f t="shared" si="278"/>
        <v>34.9</v>
      </c>
      <c r="L2680" s="10">
        <f t="shared" si="279"/>
        <v>117.8</v>
      </c>
    </row>
    <row r="2681" spans="1:12" x14ac:dyDescent="0.25">
      <c r="A2681" s="7">
        <v>45803</v>
      </c>
      <c r="B2681" s="2" t="s">
        <v>579</v>
      </c>
      <c r="C2681" s="6">
        <v>2682</v>
      </c>
      <c r="D2681" s="5" t="s">
        <v>801</v>
      </c>
      <c r="E2681" s="1">
        <v>0.35416666666666669</v>
      </c>
      <c r="F2681" s="1">
        <v>0.375</v>
      </c>
      <c r="G2681" s="9">
        <f t="shared" si="274"/>
        <v>45803</v>
      </c>
      <c r="H2681" s="11">
        <f t="shared" si="275"/>
        <v>0.5</v>
      </c>
      <c r="I2681" s="10">
        <f t="shared" si="276"/>
        <v>0.5</v>
      </c>
      <c r="J2681" s="10">
        <f t="shared" si="277"/>
        <v>7.2</v>
      </c>
      <c r="K2681" s="10">
        <f t="shared" si="278"/>
        <v>0.5</v>
      </c>
      <c r="L2681" s="10">
        <f t="shared" si="279"/>
        <v>118.3</v>
      </c>
    </row>
    <row r="2682" spans="1:12" x14ac:dyDescent="0.25">
      <c r="A2682" s="7">
        <v>45803</v>
      </c>
      <c r="B2682" s="2" t="s">
        <v>464</v>
      </c>
      <c r="C2682" s="6">
        <v>2431</v>
      </c>
      <c r="D2682" s="5" t="s">
        <v>32</v>
      </c>
      <c r="E2682" s="1">
        <v>0.41666666666666669</v>
      </c>
      <c r="F2682" s="1">
        <v>0.46458333333333335</v>
      </c>
      <c r="G2682" s="9">
        <f t="shared" si="274"/>
        <v>45803</v>
      </c>
      <c r="H2682" s="11">
        <f t="shared" si="275"/>
        <v>1.2</v>
      </c>
      <c r="I2682" s="10">
        <f t="shared" si="276"/>
        <v>1.7</v>
      </c>
      <c r="J2682" s="10">
        <f t="shared" si="277"/>
        <v>7.2</v>
      </c>
      <c r="K2682" s="10">
        <f t="shared" si="278"/>
        <v>1.7</v>
      </c>
      <c r="L2682" s="10">
        <f t="shared" si="279"/>
        <v>119.5</v>
      </c>
    </row>
    <row r="2683" spans="1:12" x14ac:dyDescent="0.25">
      <c r="A2683" s="7">
        <v>45803</v>
      </c>
      <c r="B2683" s="2" t="s">
        <v>579</v>
      </c>
      <c r="C2683" s="6">
        <v>2682</v>
      </c>
      <c r="D2683" s="5" t="s">
        <v>801</v>
      </c>
      <c r="E2683" s="1">
        <v>0.46458333333333335</v>
      </c>
      <c r="F2683" s="1">
        <v>0.46805555555555556</v>
      </c>
      <c r="G2683" s="9">
        <f t="shared" si="274"/>
        <v>45803</v>
      </c>
      <c r="H2683" s="11">
        <f t="shared" si="275"/>
        <v>0.1</v>
      </c>
      <c r="I2683" s="10">
        <f t="shared" si="276"/>
        <v>1.8</v>
      </c>
      <c r="J2683" s="10">
        <f t="shared" si="277"/>
        <v>7.2</v>
      </c>
      <c r="K2683" s="10">
        <f t="shared" si="278"/>
        <v>1.8</v>
      </c>
      <c r="L2683" s="10">
        <f t="shared" si="279"/>
        <v>119.6</v>
      </c>
    </row>
    <row r="2684" spans="1:12" x14ac:dyDescent="0.25">
      <c r="A2684" s="7">
        <v>45803</v>
      </c>
      <c r="B2684" s="2" t="s">
        <v>798</v>
      </c>
      <c r="C2684" s="6">
        <v>2674</v>
      </c>
      <c r="D2684" s="5" t="s">
        <v>492</v>
      </c>
      <c r="E2684" s="1">
        <v>0.48194444444444445</v>
      </c>
      <c r="F2684" s="1">
        <v>0.625</v>
      </c>
      <c r="G2684" s="9">
        <f t="shared" si="274"/>
        <v>45803</v>
      </c>
      <c r="H2684" s="11">
        <f t="shared" si="275"/>
        <v>3.4</v>
      </c>
      <c r="I2684" s="10">
        <f t="shared" si="276"/>
        <v>5.2</v>
      </c>
      <c r="J2684" s="10">
        <f t="shared" si="277"/>
        <v>7.2</v>
      </c>
      <c r="K2684" s="10">
        <f t="shared" si="278"/>
        <v>5.2</v>
      </c>
      <c r="L2684" s="10">
        <f t="shared" si="279"/>
        <v>123</v>
      </c>
    </row>
    <row r="2685" spans="1:12" x14ac:dyDescent="0.25">
      <c r="A2685" s="7">
        <v>45804</v>
      </c>
      <c r="B2685" s="2" t="s">
        <v>579</v>
      </c>
      <c r="C2685" s="6">
        <v>2682</v>
      </c>
      <c r="D2685" s="5" t="s">
        <v>802</v>
      </c>
      <c r="E2685" s="1">
        <v>0.33402777777777776</v>
      </c>
      <c r="F2685" s="1">
        <v>0.53819444444444442</v>
      </c>
      <c r="G2685" s="9">
        <f t="shared" si="274"/>
        <v>45803</v>
      </c>
      <c r="H2685" s="11">
        <f t="shared" si="275"/>
        <v>4.9000000000000004</v>
      </c>
      <c r="I2685" s="10">
        <f t="shared" si="276"/>
        <v>4.9000000000000004</v>
      </c>
      <c r="J2685" s="10">
        <f t="shared" si="277"/>
        <v>7.2</v>
      </c>
      <c r="K2685" s="10">
        <f t="shared" si="278"/>
        <v>10.100000000000001</v>
      </c>
      <c r="L2685" s="10">
        <f t="shared" si="279"/>
        <v>127.9</v>
      </c>
    </row>
    <row r="2686" spans="1:12" x14ac:dyDescent="0.25">
      <c r="A2686" s="7">
        <v>45804</v>
      </c>
      <c r="B2686" t="s">
        <v>598</v>
      </c>
      <c r="C2686" s="6">
        <v>6004</v>
      </c>
      <c r="D2686" s="5" t="s">
        <v>803</v>
      </c>
      <c r="E2686" s="1">
        <v>0.53819444444444442</v>
      </c>
      <c r="F2686" s="1">
        <v>0.73333333333333328</v>
      </c>
      <c r="G2686" s="9">
        <f t="shared" si="274"/>
        <v>45803</v>
      </c>
      <c r="H2686" s="11">
        <f t="shared" si="275"/>
        <v>4.7</v>
      </c>
      <c r="I2686" s="10">
        <f t="shared" si="276"/>
        <v>9.6000000000000014</v>
      </c>
      <c r="J2686" s="10">
        <f t="shared" si="277"/>
        <v>7.2</v>
      </c>
      <c r="K2686" s="10">
        <f t="shared" si="278"/>
        <v>14.8</v>
      </c>
      <c r="L2686" s="10">
        <f t="shared" si="279"/>
        <v>132.6</v>
      </c>
    </row>
    <row r="2687" spans="1:12" x14ac:dyDescent="0.25">
      <c r="A2687" s="7">
        <v>45805</v>
      </c>
      <c r="B2687" t="s">
        <v>598</v>
      </c>
      <c r="C2687" s="6">
        <v>6004</v>
      </c>
      <c r="D2687" s="5" t="s">
        <v>803</v>
      </c>
      <c r="E2687" s="1">
        <v>0.3576388888888889</v>
      </c>
      <c r="F2687" s="1">
        <v>0.375</v>
      </c>
      <c r="G2687" s="9">
        <f t="shared" si="274"/>
        <v>45803</v>
      </c>
      <c r="H2687" s="11">
        <f t="shared" si="275"/>
        <v>0.4</v>
      </c>
      <c r="I2687" s="10">
        <f t="shared" si="276"/>
        <v>0.4</v>
      </c>
      <c r="J2687" s="10">
        <f t="shared" si="277"/>
        <v>7.2</v>
      </c>
      <c r="K2687" s="10">
        <f t="shared" si="278"/>
        <v>15.200000000000001</v>
      </c>
      <c r="L2687" s="10">
        <f t="shared" si="279"/>
        <v>133</v>
      </c>
    </row>
    <row r="2688" spans="1:12" x14ac:dyDescent="0.25">
      <c r="A2688" s="7">
        <v>45805</v>
      </c>
      <c r="B2688" s="2" t="s">
        <v>464</v>
      </c>
      <c r="C2688" s="6">
        <v>2431</v>
      </c>
      <c r="D2688" s="5" t="s">
        <v>32</v>
      </c>
      <c r="E2688" s="1">
        <v>0.375</v>
      </c>
      <c r="F2688" s="1">
        <v>0.40138888888888891</v>
      </c>
      <c r="G2688" s="9">
        <f t="shared" si="274"/>
        <v>45803</v>
      </c>
      <c r="H2688" s="11">
        <f t="shared" si="275"/>
        <v>0.6</v>
      </c>
      <c r="I2688" s="10">
        <f t="shared" si="276"/>
        <v>1</v>
      </c>
      <c r="J2688" s="10">
        <f t="shared" si="277"/>
        <v>7.2</v>
      </c>
      <c r="K2688" s="10">
        <f t="shared" si="278"/>
        <v>15.799999999999999</v>
      </c>
      <c r="L2688" s="10">
        <f t="shared" si="279"/>
        <v>133.6</v>
      </c>
    </row>
    <row r="2689" spans="1:12" x14ac:dyDescent="0.25">
      <c r="A2689" s="7">
        <v>45805</v>
      </c>
      <c r="B2689" t="s">
        <v>598</v>
      </c>
      <c r="C2689" s="6">
        <v>6004</v>
      </c>
      <c r="D2689" s="5" t="s">
        <v>803</v>
      </c>
      <c r="E2689" s="1">
        <v>0.40138888888888891</v>
      </c>
      <c r="F2689" s="1">
        <v>0.625</v>
      </c>
      <c r="G2689" s="9">
        <f t="shared" si="274"/>
        <v>45803</v>
      </c>
      <c r="H2689" s="11">
        <f t="shared" si="275"/>
        <v>5.4</v>
      </c>
      <c r="I2689" s="10">
        <f t="shared" si="276"/>
        <v>6.4</v>
      </c>
      <c r="J2689" s="10">
        <f t="shared" si="277"/>
        <v>7.2</v>
      </c>
      <c r="K2689" s="10">
        <f t="shared" si="278"/>
        <v>21.200000000000003</v>
      </c>
      <c r="L2689" s="10">
        <f t="shared" si="279"/>
        <v>139</v>
      </c>
    </row>
    <row r="2690" spans="1:12" x14ac:dyDescent="0.25">
      <c r="A2690" s="7">
        <v>45805</v>
      </c>
      <c r="B2690" t="s">
        <v>6</v>
      </c>
      <c r="C2690" s="6" t="s">
        <v>416</v>
      </c>
      <c r="D2690" s="5" t="s">
        <v>566</v>
      </c>
      <c r="E2690" s="1">
        <v>0.625</v>
      </c>
      <c r="F2690" s="1">
        <v>0.65</v>
      </c>
      <c r="G2690" s="9">
        <f t="shared" si="274"/>
        <v>45803</v>
      </c>
      <c r="H2690" s="11">
        <f t="shared" si="275"/>
        <v>0.6</v>
      </c>
      <c r="I2690" s="10">
        <f t="shared" si="276"/>
        <v>7</v>
      </c>
      <c r="J2690" s="10">
        <f t="shared" si="277"/>
        <v>7.2</v>
      </c>
      <c r="K2690" s="10">
        <f t="shared" si="278"/>
        <v>21.8</v>
      </c>
      <c r="L2690" s="10">
        <f t="shared" si="279"/>
        <v>139.6</v>
      </c>
    </row>
    <row r="2691" spans="1:12" x14ac:dyDescent="0.25">
      <c r="A2691" s="7">
        <v>45806</v>
      </c>
      <c r="B2691" t="s">
        <v>598</v>
      </c>
      <c r="C2691" s="6">
        <v>6004</v>
      </c>
      <c r="D2691" s="5" t="s">
        <v>803</v>
      </c>
      <c r="E2691" s="1">
        <v>0.34097222222222223</v>
      </c>
      <c r="F2691" s="1">
        <v>0.58194444444444449</v>
      </c>
      <c r="G2691" s="9">
        <f t="shared" ref="G2691" si="280">IF(E2691&gt;0,INT((A2691-2)/7)*7+2,"")</f>
        <v>45803</v>
      </c>
      <c r="H2691" s="11">
        <f t="shared" ref="H2691" si="281">IF(E2691&gt;0,ROUND(24*(IF(F2691&gt;0,F2691,NowTime)-E2691),1),"")</f>
        <v>5.8</v>
      </c>
      <c r="I2691" s="10">
        <f t="shared" ref="I2691" si="282">IF(H2691="",H2691,H2691+IF(A2691=A2690,_xlfn.NUMBERVALUE(I2690),0))</f>
        <v>5.8</v>
      </c>
      <c r="J2691" s="10">
        <f t="shared" ref="J2691" si="283">IF(H2691="",H2691,7.2)</f>
        <v>7.2</v>
      </c>
      <c r="K2691" s="10">
        <f t="shared" ref="K2691" si="284">IF(H2691="",H2691,H2691+IF(G2691=G2690,_xlfn.NUMBERVALUE(K2690),0))</f>
        <v>27.6</v>
      </c>
      <c r="L2691" s="10">
        <f t="shared" ref="L2691" si="285">IF(H2691="",H2691,H2691+IF(MONTH(A2691)=MONTH(A2690),_xlfn.NUMBERVALUE(L2690),0))</f>
        <v>145.4</v>
      </c>
    </row>
    <row r="2692" spans="1:12" x14ac:dyDescent="0.25">
      <c r="A2692" s="7">
        <v>45806</v>
      </c>
      <c r="B2692" t="s">
        <v>598</v>
      </c>
      <c r="C2692" s="6">
        <v>6004</v>
      </c>
      <c r="D2692" s="5" t="s">
        <v>803</v>
      </c>
      <c r="E2692" s="1">
        <v>0.62291666666666667</v>
      </c>
      <c r="F2692" s="1">
        <v>0.70138888888888884</v>
      </c>
      <c r="G2692" s="9">
        <f t="shared" si="274"/>
        <v>45803</v>
      </c>
      <c r="H2692" s="11">
        <f t="shared" si="275"/>
        <v>1.9</v>
      </c>
      <c r="I2692" s="10">
        <f t="shared" si="276"/>
        <v>7.6999999999999993</v>
      </c>
      <c r="J2692" s="10">
        <f t="shared" si="277"/>
        <v>7.2</v>
      </c>
      <c r="K2692" s="10">
        <f t="shared" si="278"/>
        <v>29.5</v>
      </c>
      <c r="L2692" s="10">
        <f t="shared" si="279"/>
        <v>147.30000000000001</v>
      </c>
    </row>
    <row r="2693" spans="1:12" x14ac:dyDescent="0.25">
      <c r="A2693" s="7">
        <v>45807</v>
      </c>
      <c r="B2693" t="s">
        <v>598</v>
      </c>
      <c r="C2693" s="6">
        <v>6004</v>
      </c>
      <c r="D2693" s="5" t="s">
        <v>803</v>
      </c>
      <c r="E2693" s="1">
        <v>0.35972222222222222</v>
      </c>
      <c r="F2693" s="1">
        <v>0.41388888888888886</v>
      </c>
      <c r="G2693" s="9">
        <f t="shared" ref="G2693:G2756" si="286">IF(E2693&gt;0,INT((A2693-2)/7)*7+2,"")</f>
        <v>45803</v>
      </c>
      <c r="H2693" s="11">
        <f t="shared" ref="H2693:H2756" si="287">IF(E2693&gt;0,ROUND(24*(IF(F2693&gt;0,F2693,NowTime)-E2693),1),"")</f>
        <v>1.3</v>
      </c>
      <c r="I2693" s="10">
        <f t="shared" ref="I2693:I2756" si="288">IF(H2693="",H2693,H2693+IF(A2693=A2692,_xlfn.NUMBERVALUE(I2692),0))</f>
        <v>1.3</v>
      </c>
      <c r="J2693" s="10">
        <f t="shared" ref="J2693:J2756" si="289">IF(H2693="",H2693,7.2)</f>
        <v>7.2</v>
      </c>
      <c r="K2693" s="10">
        <f t="shared" ref="K2693:K2756" si="290">IF(H2693="",H2693,H2693+IF(G2693=G2692,_xlfn.NUMBERVALUE(K2692),0))</f>
        <v>30.8</v>
      </c>
      <c r="L2693" s="10">
        <f t="shared" ref="L2693:L2756" si="291">IF(H2693="",H2693,H2693+IF(MONTH(A2693)=MONTH(A2692),_xlfn.NUMBERVALUE(L2692),0))</f>
        <v>148.60000000000002</v>
      </c>
    </row>
    <row r="2694" spans="1:12" x14ac:dyDescent="0.25">
      <c r="A2694" s="7">
        <v>45807</v>
      </c>
      <c r="B2694" s="2" t="s">
        <v>464</v>
      </c>
      <c r="C2694" s="6">
        <v>2431</v>
      </c>
      <c r="D2694" s="5" t="s">
        <v>32</v>
      </c>
      <c r="E2694" s="1">
        <v>0.41388888888888886</v>
      </c>
      <c r="F2694" s="1">
        <v>0.47361111111111109</v>
      </c>
      <c r="G2694" s="9">
        <f t="shared" si="286"/>
        <v>45803</v>
      </c>
      <c r="H2694" s="11">
        <f t="shared" si="287"/>
        <v>1.4</v>
      </c>
      <c r="I2694" s="10">
        <f t="shared" si="288"/>
        <v>2.7</v>
      </c>
      <c r="J2694" s="10">
        <f t="shared" si="289"/>
        <v>7.2</v>
      </c>
      <c r="K2694" s="10">
        <f t="shared" si="290"/>
        <v>32.200000000000003</v>
      </c>
      <c r="L2694" s="10">
        <f t="shared" si="291"/>
        <v>150</v>
      </c>
    </row>
    <row r="2695" spans="1:12" x14ac:dyDescent="0.25">
      <c r="A2695" s="7">
        <v>45807</v>
      </c>
      <c r="B2695" s="2" t="s">
        <v>464</v>
      </c>
      <c r="C2695" s="6">
        <v>2431</v>
      </c>
      <c r="D2695" s="5" t="s">
        <v>32</v>
      </c>
      <c r="E2695" s="1">
        <v>0.49513888888888891</v>
      </c>
      <c r="F2695" s="1">
        <v>0.51527777777777772</v>
      </c>
      <c r="G2695" s="9">
        <f t="shared" si="286"/>
        <v>45803</v>
      </c>
      <c r="H2695" s="11">
        <f t="shared" si="287"/>
        <v>0.5</v>
      </c>
      <c r="I2695" s="10">
        <f t="shared" si="288"/>
        <v>3.2</v>
      </c>
      <c r="J2695" s="10">
        <f t="shared" si="289"/>
        <v>7.2</v>
      </c>
      <c r="K2695" s="10">
        <f t="shared" si="290"/>
        <v>32.700000000000003</v>
      </c>
      <c r="L2695" s="10">
        <f t="shared" si="291"/>
        <v>150.5</v>
      </c>
    </row>
    <row r="2696" spans="1:12" x14ac:dyDescent="0.25">
      <c r="A2696" s="7">
        <v>45807</v>
      </c>
      <c r="B2696" t="s">
        <v>6</v>
      </c>
      <c r="C2696" s="6" t="s">
        <v>416</v>
      </c>
      <c r="D2696" s="5" t="s">
        <v>804</v>
      </c>
      <c r="E2696" s="1">
        <v>0.51527777777777772</v>
      </c>
      <c r="F2696" s="1">
        <v>0.55138888888888893</v>
      </c>
      <c r="G2696" s="9">
        <f t="shared" si="286"/>
        <v>45803</v>
      </c>
      <c r="H2696" s="11">
        <f t="shared" si="287"/>
        <v>0.9</v>
      </c>
      <c r="I2696" s="10">
        <f t="shared" si="288"/>
        <v>4.1000000000000005</v>
      </c>
      <c r="J2696" s="10">
        <f t="shared" si="289"/>
        <v>7.2</v>
      </c>
      <c r="K2696" s="10">
        <f t="shared" si="290"/>
        <v>33.6</v>
      </c>
      <c r="L2696" s="10">
        <f t="shared" si="291"/>
        <v>151.4</v>
      </c>
    </row>
    <row r="2697" spans="1:12" x14ac:dyDescent="0.25">
      <c r="A2697" s="7">
        <v>45807</v>
      </c>
      <c r="B2697" s="2" t="s">
        <v>579</v>
      </c>
      <c r="C2697" s="6">
        <v>2682</v>
      </c>
      <c r="D2697" s="5" t="s">
        <v>805</v>
      </c>
      <c r="E2697" s="1">
        <v>0.59375</v>
      </c>
      <c r="F2697" s="1">
        <v>0.71388888888888891</v>
      </c>
      <c r="G2697" s="9">
        <f t="shared" si="286"/>
        <v>45803</v>
      </c>
      <c r="H2697" s="11">
        <f t="shared" si="287"/>
        <v>2.9</v>
      </c>
      <c r="I2697" s="10">
        <f t="shared" si="288"/>
        <v>7</v>
      </c>
      <c r="J2697" s="10">
        <f t="shared" si="289"/>
        <v>7.2</v>
      </c>
      <c r="K2697" s="10">
        <f t="shared" si="290"/>
        <v>36.5</v>
      </c>
      <c r="L2697" s="10">
        <f t="shared" si="291"/>
        <v>154.30000000000001</v>
      </c>
    </row>
    <row r="2698" spans="1:12" x14ac:dyDescent="0.25">
      <c r="A2698" s="7">
        <v>45808</v>
      </c>
      <c r="B2698" s="2" t="s">
        <v>579</v>
      </c>
      <c r="C2698" s="6">
        <v>2682</v>
      </c>
      <c r="D2698" s="5" t="s">
        <v>805</v>
      </c>
      <c r="E2698" s="1">
        <v>0.36180555555555555</v>
      </c>
      <c r="F2698" s="1">
        <v>0.38263888888888886</v>
      </c>
      <c r="G2698" s="9">
        <f t="shared" si="286"/>
        <v>45803</v>
      </c>
      <c r="H2698" s="11">
        <f t="shared" si="287"/>
        <v>0.5</v>
      </c>
      <c r="I2698" s="10">
        <f t="shared" si="288"/>
        <v>0.5</v>
      </c>
      <c r="J2698" s="10">
        <f t="shared" si="289"/>
        <v>7.2</v>
      </c>
      <c r="K2698" s="10">
        <f t="shared" si="290"/>
        <v>37</v>
      </c>
      <c r="L2698" s="10">
        <f t="shared" si="291"/>
        <v>154.80000000000001</v>
      </c>
    </row>
    <row r="2699" spans="1:12" x14ac:dyDescent="0.25">
      <c r="A2699" s="7">
        <v>45810</v>
      </c>
      <c r="B2699" t="s">
        <v>7</v>
      </c>
      <c r="C2699" s="6" t="s">
        <v>22</v>
      </c>
      <c r="D2699" s="2" t="s">
        <v>352</v>
      </c>
      <c r="E2699" s="1">
        <v>0.40972222222222227</v>
      </c>
      <c r="F2699" s="1">
        <v>0.70833333333333337</v>
      </c>
      <c r="G2699" s="9">
        <f t="shared" si="286"/>
        <v>45810</v>
      </c>
      <c r="H2699" s="11">
        <f t="shared" si="287"/>
        <v>7.2</v>
      </c>
      <c r="I2699" s="10">
        <f t="shared" si="288"/>
        <v>7.2</v>
      </c>
      <c r="J2699" s="10">
        <f t="shared" si="289"/>
        <v>7.2</v>
      </c>
      <c r="K2699" s="10">
        <f t="shared" si="290"/>
        <v>7.2</v>
      </c>
      <c r="L2699" s="10">
        <f t="shared" si="291"/>
        <v>7.2</v>
      </c>
    </row>
    <row r="2700" spans="1:12" x14ac:dyDescent="0.25">
      <c r="A2700" s="7">
        <v>45811</v>
      </c>
      <c r="B2700" s="2" t="s">
        <v>579</v>
      </c>
      <c r="C2700" s="6">
        <v>2682</v>
      </c>
      <c r="D2700" s="5" t="s">
        <v>805</v>
      </c>
      <c r="E2700" s="1">
        <v>0.33888888888888891</v>
      </c>
      <c r="F2700" s="1">
        <v>0.46875</v>
      </c>
      <c r="G2700" s="9">
        <f t="shared" si="286"/>
        <v>45810</v>
      </c>
      <c r="H2700" s="11">
        <f t="shared" si="287"/>
        <v>3.1</v>
      </c>
      <c r="I2700" s="10">
        <f t="shared" si="288"/>
        <v>3.1</v>
      </c>
      <c r="J2700" s="10">
        <f t="shared" si="289"/>
        <v>7.2</v>
      </c>
      <c r="K2700" s="10">
        <f t="shared" si="290"/>
        <v>10.3</v>
      </c>
      <c r="L2700" s="10">
        <f t="shared" si="291"/>
        <v>10.3</v>
      </c>
    </row>
    <row r="2701" spans="1:12" x14ac:dyDescent="0.25">
      <c r="A2701" s="7">
        <v>45811</v>
      </c>
      <c r="B2701" s="2" t="s">
        <v>579</v>
      </c>
      <c r="C2701" s="6">
        <v>2682</v>
      </c>
      <c r="D2701" s="5" t="s">
        <v>805</v>
      </c>
      <c r="E2701" s="1">
        <v>0.48472222222222222</v>
      </c>
      <c r="F2701" s="1">
        <v>0.65833333333333333</v>
      </c>
      <c r="G2701" s="9">
        <f t="shared" si="286"/>
        <v>45810</v>
      </c>
      <c r="H2701" s="11">
        <f t="shared" si="287"/>
        <v>4.2</v>
      </c>
      <c r="I2701" s="10">
        <f t="shared" si="288"/>
        <v>7.3000000000000007</v>
      </c>
      <c r="J2701" s="10">
        <f t="shared" si="289"/>
        <v>7.2</v>
      </c>
      <c r="K2701" s="10">
        <f t="shared" si="290"/>
        <v>14.5</v>
      </c>
      <c r="L2701" s="10">
        <f t="shared" si="291"/>
        <v>14.5</v>
      </c>
    </row>
    <row r="2702" spans="1:12" x14ac:dyDescent="0.25">
      <c r="A2702" s="7">
        <v>45812</v>
      </c>
      <c r="B2702" s="2" t="s">
        <v>798</v>
      </c>
      <c r="C2702" s="6">
        <v>2674</v>
      </c>
      <c r="D2702" s="5" t="s">
        <v>384</v>
      </c>
      <c r="E2702" s="1">
        <v>0.30694444444444446</v>
      </c>
      <c r="F2702" s="1">
        <v>0.47569444444444442</v>
      </c>
      <c r="G2702" s="9">
        <f t="shared" si="286"/>
        <v>45810</v>
      </c>
      <c r="H2702" s="11">
        <f t="shared" si="287"/>
        <v>4.0999999999999996</v>
      </c>
      <c r="I2702" s="10">
        <f t="shared" si="288"/>
        <v>4.0999999999999996</v>
      </c>
      <c r="J2702" s="10">
        <f t="shared" si="289"/>
        <v>7.2</v>
      </c>
      <c r="K2702" s="10">
        <f t="shared" si="290"/>
        <v>18.600000000000001</v>
      </c>
      <c r="L2702" s="10">
        <f t="shared" si="291"/>
        <v>18.600000000000001</v>
      </c>
    </row>
    <row r="2703" spans="1:12" x14ac:dyDescent="0.25">
      <c r="A2703" s="7">
        <v>45812</v>
      </c>
      <c r="B2703" s="2" t="s">
        <v>798</v>
      </c>
      <c r="C2703" s="6">
        <v>2674</v>
      </c>
      <c r="D2703" s="5" t="s">
        <v>384</v>
      </c>
      <c r="E2703" s="1">
        <v>0.49861111111111112</v>
      </c>
      <c r="F2703" s="1">
        <v>0.59722222222222221</v>
      </c>
      <c r="G2703" s="9">
        <f t="shared" si="286"/>
        <v>45810</v>
      </c>
      <c r="H2703" s="11">
        <f t="shared" si="287"/>
        <v>2.4</v>
      </c>
      <c r="I2703" s="10">
        <f t="shared" si="288"/>
        <v>6.5</v>
      </c>
      <c r="J2703" s="10">
        <f t="shared" si="289"/>
        <v>7.2</v>
      </c>
      <c r="K2703" s="10">
        <f t="shared" si="290"/>
        <v>21</v>
      </c>
      <c r="L2703" s="10">
        <f t="shared" si="291"/>
        <v>21</v>
      </c>
    </row>
    <row r="2704" spans="1:12" x14ac:dyDescent="0.25">
      <c r="A2704" s="7">
        <v>45813</v>
      </c>
      <c r="B2704" s="2" t="s">
        <v>798</v>
      </c>
      <c r="C2704" s="6">
        <v>2674</v>
      </c>
      <c r="D2704" s="5" t="s">
        <v>384</v>
      </c>
      <c r="E2704" s="1">
        <v>0.35833333333333334</v>
      </c>
      <c r="F2704" s="1">
        <v>0.3923611111111111</v>
      </c>
      <c r="G2704" s="9">
        <f t="shared" si="286"/>
        <v>45810</v>
      </c>
      <c r="H2704" s="11">
        <f t="shared" si="287"/>
        <v>0.8</v>
      </c>
      <c r="I2704" s="10">
        <f t="shared" si="288"/>
        <v>0.8</v>
      </c>
      <c r="J2704" s="10">
        <f t="shared" si="289"/>
        <v>7.2</v>
      </c>
      <c r="K2704" s="10">
        <f t="shared" si="290"/>
        <v>21.8</v>
      </c>
      <c r="L2704" s="10">
        <f t="shared" si="291"/>
        <v>21.8</v>
      </c>
    </row>
    <row r="2705" spans="1:12" x14ac:dyDescent="0.25">
      <c r="A2705" s="7">
        <v>45813</v>
      </c>
      <c r="B2705" s="2" t="s">
        <v>579</v>
      </c>
      <c r="C2705" s="6">
        <v>2682</v>
      </c>
      <c r="D2705" s="5" t="s">
        <v>805</v>
      </c>
      <c r="E2705" s="1">
        <v>0.3923611111111111</v>
      </c>
      <c r="F2705" s="1">
        <v>0.64861111111111114</v>
      </c>
      <c r="G2705" s="9">
        <f t="shared" si="286"/>
        <v>45810</v>
      </c>
      <c r="H2705" s="11">
        <f t="shared" si="287"/>
        <v>6.2</v>
      </c>
      <c r="I2705" s="10">
        <f t="shared" si="288"/>
        <v>7</v>
      </c>
      <c r="J2705" s="10">
        <f t="shared" si="289"/>
        <v>7.2</v>
      </c>
      <c r="K2705" s="10">
        <f t="shared" si="290"/>
        <v>28</v>
      </c>
      <c r="L2705" s="10">
        <f t="shared" si="291"/>
        <v>28</v>
      </c>
    </row>
    <row r="2706" spans="1:12" x14ac:dyDescent="0.25">
      <c r="A2706" s="7">
        <v>45814</v>
      </c>
      <c r="B2706" s="2" t="s">
        <v>579</v>
      </c>
      <c r="C2706" s="6">
        <v>2682</v>
      </c>
      <c r="D2706" s="5" t="s">
        <v>805</v>
      </c>
      <c r="E2706" s="1">
        <v>0.33611111111111114</v>
      </c>
      <c r="F2706" s="1">
        <v>0.41666666666666669</v>
      </c>
      <c r="G2706" s="9">
        <f t="shared" si="286"/>
        <v>45810</v>
      </c>
      <c r="H2706" s="11">
        <f t="shared" si="287"/>
        <v>1.9</v>
      </c>
      <c r="I2706" s="10">
        <f t="shared" si="288"/>
        <v>1.9</v>
      </c>
      <c r="J2706" s="10">
        <f t="shared" si="289"/>
        <v>7.2</v>
      </c>
      <c r="K2706" s="10">
        <f t="shared" si="290"/>
        <v>29.9</v>
      </c>
      <c r="L2706" s="10">
        <f t="shared" si="291"/>
        <v>29.9</v>
      </c>
    </row>
    <row r="2707" spans="1:12" x14ac:dyDescent="0.25">
      <c r="A2707" s="7">
        <v>45814</v>
      </c>
      <c r="B2707" s="2" t="s">
        <v>798</v>
      </c>
      <c r="C2707" s="6">
        <v>2674</v>
      </c>
      <c r="D2707" s="5" t="s">
        <v>44</v>
      </c>
      <c r="E2707" s="1">
        <v>0.41666666666666669</v>
      </c>
      <c r="F2707" s="1">
        <v>0.45833333333333331</v>
      </c>
      <c r="G2707" s="9">
        <f t="shared" si="286"/>
        <v>45810</v>
      </c>
      <c r="H2707" s="11">
        <f t="shared" si="287"/>
        <v>1</v>
      </c>
      <c r="I2707" s="10">
        <f t="shared" si="288"/>
        <v>2.9</v>
      </c>
      <c r="J2707" s="10">
        <f t="shared" si="289"/>
        <v>7.2</v>
      </c>
      <c r="K2707" s="10">
        <f t="shared" si="290"/>
        <v>30.9</v>
      </c>
      <c r="L2707" s="10">
        <f t="shared" si="291"/>
        <v>30.9</v>
      </c>
    </row>
    <row r="2708" spans="1:12" x14ac:dyDescent="0.25">
      <c r="A2708" s="7">
        <v>45814</v>
      </c>
      <c r="B2708" s="2" t="s">
        <v>579</v>
      </c>
      <c r="C2708" s="6">
        <v>2682</v>
      </c>
      <c r="D2708" s="5" t="s">
        <v>805</v>
      </c>
      <c r="E2708" s="1">
        <v>0.45833333333333331</v>
      </c>
      <c r="F2708" s="1">
        <v>0.47638888888888886</v>
      </c>
      <c r="G2708" s="9">
        <f t="shared" si="286"/>
        <v>45810</v>
      </c>
      <c r="H2708" s="11">
        <f t="shared" si="287"/>
        <v>0.4</v>
      </c>
      <c r="I2708" s="10">
        <f t="shared" si="288"/>
        <v>3.3</v>
      </c>
      <c r="J2708" s="10">
        <f t="shared" si="289"/>
        <v>7.2</v>
      </c>
      <c r="K2708" s="10">
        <f t="shared" si="290"/>
        <v>31.299999999999997</v>
      </c>
      <c r="L2708" s="10">
        <f t="shared" si="291"/>
        <v>31.299999999999997</v>
      </c>
    </row>
    <row r="2709" spans="1:12" x14ac:dyDescent="0.25">
      <c r="A2709" s="7">
        <v>45814</v>
      </c>
      <c r="B2709" s="2" t="s">
        <v>579</v>
      </c>
      <c r="C2709" s="6">
        <v>2682</v>
      </c>
      <c r="D2709" s="5" t="s">
        <v>805</v>
      </c>
      <c r="E2709" s="1">
        <v>0.49583333333333335</v>
      </c>
      <c r="F2709" s="1">
        <v>0.53472222222222221</v>
      </c>
      <c r="G2709" s="9">
        <f t="shared" si="286"/>
        <v>45810</v>
      </c>
      <c r="H2709" s="11">
        <f t="shared" si="287"/>
        <v>0.9</v>
      </c>
      <c r="I2709" s="10">
        <f t="shared" si="288"/>
        <v>4.2</v>
      </c>
      <c r="J2709" s="10">
        <f t="shared" si="289"/>
        <v>7.2</v>
      </c>
      <c r="K2709" s="10">
        <f t="shared" si="290"/>
        <v>32.200000000000003</v>
      </c>
      <c r="L2709" s="10">
        <f t="shared" si="291"/>
        <v>32.200000000000003</v>
      </c>
    </row>
    <row r="2710" spans="1:12" x14ac:dyDescent="0.25">
      <c r="A2710" s="7">
        <v>45814</v>
      </c>
      <c r="B2710" s="2" t="s">
        <v>798</v>
      </c>
      <c r="C2710" s="6">
        <v>2674</v>
      </c>
      <c r="D2710" s="5" t="s">
        <v>806</v>
      </c>
      <c r="E2710" s="1">
        <v>0.53472222222222221</v>
      </c>
      <c r="F2710" s="1">
        <v>0.66736111111111107</v>
      </c>
      <c r="G2710" s="9">
        <f t="shared" si="286"/>
        <v>45810</v>
      </c>
      <c r="H2710" s="11">
        <f t="shared" si="287"/>
        <v>3.2</v>
      </c>
      <c r="I2710" s="10">
        <f t="shared" si="288"/>
        <v>7.4</v>
      </c>
      <c r="J2710" s="10">
        <f t="shared" si="289"/>
        <v>7.2</v>
      </c>
      <c r="K2710" s="10">
        <f t="shared" si="290"/>
        <v>35.400000000000006</v>
      </c>
      <c r="L2710" s="10">
        <f t="shared" si="291"/>
        <v>35.400000000000006</v>
      </c>
    </row>
    <row r="2711" spans="1:12" x14ac:dyDescent="0.25">
      <c r="A2711" s="7">
        <v>45817</v>
      </c>
      <c r="B2711" t="s">
        <v>6</v>
      </c>
      <c r="C2711" s="6" t="s">
        <v>416</v>
      </c>
      <c r="D2711" s="5" t="s">
        <v>337</v>
      </c>
      <c r="E2711" s="1">
        <v>0.3576388888888889</v>
      </c>
      <c r="F2711" s="1">
        <v>0.47708333333333336</v>
      </c>
      <c r="G2711" s="9">
        <f t="shared" si="286"/>
        <v>45817</v>
      </c>
      <c r="H2711" s="11">
        <f t="shared" si="287"/>
        <v>2.9</v>
      </c>
      <c r="I2711" s="10">
        <f t="shared" si="288"/>
        <v>2.9</v>
      </c>
      <c r="J2711" s="10">
        <f t="shared" si="289"/>
        <v>7.2</v>
      </c>
      <c r="K2711" s="10">
        <f t="shared" si="290"/>
        <v>2.9</v>
      </c>
      <c r="L2711" s="10">
        <f t="shared" si="291"/>
        <v>38.299999999999997</v>
      </c>
    </row>
    <row r="2712" spans="1:12" x14ac:dyDescent="0.25">
      <c r="A2712" s="7">
        <v>45817</v>
      </c>
      <c r="B2712" t="s">
        <v>6</v>
      </c>
      <c r="C2712" s="6" t="s">
        <v>416</v>
      </c>
      <c r="D2712" s="5" t="s">
        <v>337</v>
      </c>
      <c r="E2712" s="1">
        <v>0.5180555555555556</v>
      </c>
      <c r="F2712" s="1">
        <v>0.54236111111111107</v>
      </c>
      <c r="G2712" s="9">
        <f t="shared" si="286"/>
        <v>45817</v>
      </c>
      <c r="H2712" s="11">
        <f t="shared" si="287"/>
        <v>0.6</v>
      </c>
      <c r="I2712" s="10">
        <f t="shared" si="288"/>
        <v>3.5</v>
      </c>
      <c r="J2712" s="10">
        <f t="shared" si="289"/>
        <v>7.2</v>
      </c>
      <c r="K2712" s="10">
        <f t="shared" si="290"/>
        <v>3.5</v>
      </c>
      <c r="L2712" s="10">
        <f t="shared" si="291"/>
        <v>38.9</v>
      </c>
    </row>
    <row r="2713" spans="1:12" x14ac:dyDescent="0.25">
      <c r="A2713" s="7">
        <v>45817</v>
      </c>
      <c r="B2713" t="s">
        <v>598</v>
      </c>
      <c r="C2713" s="6">
        <v>6004</v>
      </c>
      <c r="D2713" s="5" t="s">
        <v>50</v>
      </c>
      <c r="E2713" s="1">
        <v>0.54236111111111107</v>
      </c>
      <c r="F2713" s="1">
        <v>0.57430555555555551</v>
      </c>
      <c r="G2713" s="9">
        <f t="shared" si="286"/>
        <v>45817</v>
      </c>
      <c r="H2713" s="11">
        <f t="shared" si="287"/>
        <v>0.8</v>
      </c>
      <c r="I2713" s="10">
        <f t="shared" si="288"/>
        <v>4.3</v>
      </c>
      <c r="J2713" s="10">
        <f t="shared" si="289"/>
        <v>7.2</v>
      </c>
      <c r="K2713" s="10">
        <f t="shared" si="290"/>
        <v>4.3</v>
      </c>
      <c r="L2713" s="10">
        <f t="shared" si="291"/>
        <v>39.699999999999996</v>
      </c>
    </row>
    <row r="2714" spans="1:12" x14ac:dyDescent="0.25">
      <c r="A2714" s="7">
        <v>45817</v>
      </c>
      <c r="B2714" s="2" t="s">
        <v>798</v>
      </c>
      <c r="C2714" s="6">
        <v>2674</v>
      </c>
      <c r="D2714" s="5" t="s">
        <v>807</v>
      </c>
      <c r="E2714" s="1">
        <v>0.57430555555555551</v>
      </c>
      <c r="F2714" s="1">
        <v>0.70486111111111116</v>
      </c>
      <c r="G2714" s="9">
        <f t="shared" si="286"/>
        <v>45817</v>
      </c>
      <c r="H2714" s="11">
        <f t="shared" si="287"/>
        <v>3.1</v>
      </c>
      <c r="I2714" s="10">
        <f t="shared" si="288"/>
        <v>7.4</v>
      </c>
      <c r="J2714" s="10">
        <f t="shared" si="289"/>
        <v>7.2</v>
      </c>
      <c r="K2714" s="10">
        <f t="shared" si="290"/>
        <v>7.4</v>
      </c>
      <c r="L2714" s="10">
        <f t="shared" si="291"/>
        <v>42.800000000000004</v>
      </c>
    </row>
    <row r="2715" spans="1:12" x14ac:dyDescent="0.25">
      <c r="A2715" s="7">
        <v>45818</v>
      </c>
      <c r="B2715" s="2" t="s">
        <v>798</v>
      </c>
      <c r="C2715" s="6">
        <v>2674</v>
      </c>
      <c r="D2715" s="5" t="s">
        <v>807</v>
      </c>
      <c r="E2715" s="1">
        <v>0.33055555555555555</v>
      </c>
      <c r="F2715" s="1">
        <v>0.46944444444444444</v>
      </c>
      <c r="G2715" s="9">
        <f t="shared" si="286"/>
        <v>45817</v>
      </c>
      <c r="H2715" s="11">
        <f t="shared" si="287"/>
        <v>3.3</v>
      </c>
      <c r="I2715" s="10">
        <f t="shared" si="288"/>
        <v>3.3</v>
      </c>
      <c r="J2715" s="10">
        <f t="shared" si="289"/>
        <v>7.2</v>
      </c>
      <c r="K2715" s="10">
        <f t="shared" si="290"/>
        <v>10.7</v>
      </c>
      <c r="L2715" s="10">
        <f t="shared" si="291"/>
        <v>46.099999999999994</v>
      </c>
    </row>
    <row r="2716" spans="1:12" x14ac:dyDescent="0.25">
      <c r="A2716" s="7">
        <v>45818</v>
      </c>
      <c r="B2716" s="2" t="s">
        <v>798</v>
      </c>
      <c r="C2716" s="6">
        <v>2674</v>
      </c>
      <c r="D2716" s="5" t="s">
        <v>807</v>
      </c>
      <c r="E2716" s="1">
        <v>0.48958333333333331</v>
      </c>
      <c r="F2716" s="1">
        <v>0.51041666666666663</v>
      </c>
      <c r="G2716" s="9">
        <f t="shared" si="286"/>
        <v>45817</v>
      </c>
      <c r="H2716" s="11">
        <f t="shared" si="287"/>
        <v>0.5</v>
      </c>
      <c r="I2716" s="10">
        <f t="shared" si="288"/>
        <v>3.8</v>
      </c>
      <c r="J2716" s="10">
        <f t="shared" si="289"/>
        <v>7.2</v>
      </c>
      <c r="K2716" s="10">
        <f t="shared" si="290"/>
        <v>11.2</v>
      </c>
      <c r="L2716" s="10">
        <f t="shared" si="291"/>
        <v>46.6</v>
      </c>
    </row>
    <row r="2717" spans="1:12" x14ac:dyDescent="0.25">
      <c r="A2717" s="7">
        <v>45818</v>
      </c>
      <c r="B2717" s="2" t="s">
        <v>579</v>
      </c>
      <c r="C2717" s="6">
        <v>2682</v>
      </c>
      <c r="D2717" s="5" t="s">
        <v>107</v>
      </c>
      <c r="E2717" s="1">
        <v>0.53055555555555556</v>
      </c>
      <c r="F2717" s="1">
        <v>0.66527777777777775</v>
      </c>
      <c r="G2717" s="9">
        <f t="shared" si="286"/>
        <v>45817</v>
      </c>
      <c r="H2717" s="11">
        <f t="shared" si="287"/>
        <v>3.2</v>
      </c>
      <c r="I2717" s="10">
        <f t="shared" si="288"/>
        <v>7</v>
      </c>
      <c r="J2717" s="10">
        <f t="shared" si="289"/>
        <v>7.2</v>
      </c>
      <c r="K2717" s="10">
        <f t="shared" si="290"/>
        <v>14.399999999999999</v>
      </c>
      <c r="L2717" s="10">
        <f t="shared" si="291"/>
        <v>49.800000000000004</v>
      </c>
    </row>
    <row r="2718" spans="1:12" x14ac:dyDescent="0.25">
      <c r="A2718" s="7">
        <v>45819</v>
      </c>
      <c r="B2718" t="s">
        <v>551</v>
      </c>
      <c r="C2718" s="6">
        <v>6184</v>
      </c>
      <c r="D2718" s="5" t="s">
        <v>107</v>
      </c>
      <c r="E2718" s="1">
        <v>0.32916666666666666</v>
      </c>
      <c r="F2718" s="1">
        <v>0.42569444444444443</v>
      </c>
      <c r="G2718" s="9">
        <f t="shared" si="286"/>
        <v>45817</v>
      </c>
      <c r="H2718" s="11">
        <f t="shared" si="287"/>
        <v>2.2999999999999998</v>
      </c>
      <c r="I2718" s="10">
        <f t="shared" si="288"/>
        <v>2.2999999999999998</v>
      </c>
      <c r="J2718" s="10">
        <f t="shared" si="289"/>
        <v>7.2</v>
      </c>
      <c r="K2718" s="10">
        <f t="shared" si="290"/>
        <v>16.7</v>
      </c>
      <c r="L2718" s="10">
        <f t="shared" si="291"/>
        <v>52.099999999999994</v>
      </c>
    </row>
    <row r="2719" spans="1:12" x14ac:dyDescent="0.25">
      <c r="A2719" s="7">
        <v>45819</v>
      </c>
      <c r="B2719" t="s">
        <v>551</v>
      </c>
      <c r="C2719" s="6">
        <v>6184</v>
      </c>
      <c r="D2719" s="5" t="s">
        <v>107</v>
      </c>
      <c r="E2719" s="1">
        <v>0.44722222222222224</v>
      </c>
      <c r="F2719" s="1">
        <v>0.49652777777777779</v>
      </c>
      <c r="G2719" s="9">
        <f t="shared" si="286"/>
        <v>45817</v>
      </c>
      <c r="H2719" s="11">
        <f t="shared" si="287"/>
        <v>1.2</v>
      </c>
      <c r="I2719" s="10">
        <f t="shared" si="288"/>
        <v>3.5</v>
      </c>
      <c r="J2719" s="10">
        <f t="shared" si="289"/>
        <v>7.2</v>
      </c>
      <c r="K2719" s="10">
        <f t="shared" si="290"/>
        <v>17.899999999999999</v>
      </c>
      <c r="L2719" s="10">
        <f t="shared" si="291"/>
        <v>53.300000000000004</v>
      </c>
    </row>
    <row r="2720" spans="1:12" x14ac:dyDescent="0.25">
      <c r="A2720" s="7">
        <v>45819</v>
      </c>
      <c r="B2720" t="s">
        <v>551</v>
      </c>
      <c r="C2720" s="6">
        <v>6184</v>
      </c>
      <c r="D2720" s="5" t="s">
        <v>107</v>
      </c>
      <c r="E2720" s="1">
        <v>0.5131944444444444</v>
      </c>
      <c r="F2720" s="1">
        <v>0.55694444444444446</v>
      </c>
      <c r="G2720" s="9">
        <f t="shared" si="286"/>
        <v>45817</v>
      </c>
      <c r="H2720" s="11">
        <f t="shared" si="287"/>
        <v>1.1000000000000001</v>
      </c>
      <c r="I2720" s="10">
        <f t="shared" si="288"/>
        <v>4.5999999999999996</v>
      </c>
      <c r="J2720" s="10">
        <f t="shared" si="289"/>
        <v>7.2</v>
      </c>
      <c r="K2720" s="10">
        <f t="shared" si="290"/>
        <v>19</v>
      </c>
      <c r="L2720" s="10">
        <f t="shared" si="291"/>
        <v>54.4</v>
      </c>
    </row>
    <row r="2721" spans="1:12" x14ac:dyDescent="0.25">
      <c r="A2721" s="7">
        <v>45819</v>
      </c>
      <c r="B2721" t="s">
        <v>551</v>
      </c>
      <c r="C2721" s="6">
        <v>6184</v>
      </c>
      <c r="D2721" s="5" t="s">
        <v>107</v>
      </c>
      <c r="E2721" s="1">
        <v>0.58472222222222225</v>
      </c>
      <c r="F2721" s="1">
        <v>0.66249999999999998</v>
      </c>
      <c r="G2721" s="9">
        <f t="shared" si="286"/>
        <v>45817</v>
      </c>
      <c r="H2721" s="11">
        <f t="shared" si="287"/>
        <v>1.9</v>
      </c>
      <c r="I2721" s="10">
        <f t="shared" si="288"/>
        <v>6.5</v>
      </c>
      <c r="J2721" s="10">
        <f t="shared" si="289"/>
        <v>7.2</v>
      </c>
      <c r="K2721" s="10">
        <f t="shared" si="290"/>
        <v>20.9</v>
      </c>
      <c r="L2721" s="10">
        <f t="shared" si="291"/>
        <v>56.3</v>
      </c>
    </row>
    <row r="2722" spans="1:12" x14ac:dyDescent="0.25">
      <c r="A2722" s="7">
        <v>45820</v>
      </c>
      <c r="B2722" s="2" t="s">
        <v>579</v>
      </c>
      <c r="C2722" s="6">
        <v>2682</v>
      </c>
      <c r="D2722" s="5" t="s">
        <v>107</v>
      </c>
      <c r="E2722" s="1">
        <v>0.37430555555555556</v>
      </c>
      <c r="F2722" s="1">
        <v>0.4375</v>
      </c>
      <c r="G2722" s="9">
        <f t="shared" si="286"/>
        <v>45817</v>
      </c>
      <c r="H2722" s="11">
        <f t="shared" si="287"/>
        <v>1.5</v>
      </c>
      <c r="I2722" s="10">
        <f t="shared" si="288"/>
        <v>1.5</v>
      </c>
      <c r="J2722" s="10">
        <f t="shared" si="289"/>
        <v>7.2</v>
      </c>
      <c r="K2722" s="10">
        <f t="shared" si="290"/>
        <v>22.4</v>
      </c>
      <c r="L2722" s="10">
        <f t="shared" si="291"/>
        <v>57.8</v>
      </c>
    </row>
    <row r="2723" spans="1:12" x14ac:dyDescent="0.25">
      <c r="A2723" s="7">
        <v>45820</v>
      </c>
      <c r="B2723" s="2" t="s">
        <v>579</v>
      </c>
      <c r="C2723" s="6">
        <v>2682</v>
      </c>
      <c r="D2723" s="5" t="s">
        <v>107</v>
      </c>
      <c r="E2723" s="1">
        <v>0.52430555555555558</v>
      </c>
      <c r="F2723" s="1">
        <v>0.63124999999999998</v>
      </c>
      <c r="G2723" s="9">
        <f t="shared" si="286"/>
        <v>45817</v>
      </c>
      <c r="H2723" s="11">
        <f t="shared" si="287"/>
        <v>2.6</v>
      </c>
      <c r="I2723" s="10">
        <f t="shared" si="288"/>
        <v>4.0999999999999996</v>
      </c>
      <c r="J2723" s="10">
        <f t="shared" si="289"/>
        <v>7.2</v>
      </c>
      <c r="K2723" s="10">
        <f t="shared" si="290"/>
        <v>25</v>
      </c>
      <c r="L2723" s="10">
        <f t="shared" si="291"/>
        <v>60.4</v>
      </c>
    </row>
    <row r="2724" spans="1:12" x14ac:dyDescent="0.25">
      <c r="A2724" s="7">
        <v>45821</v>
      </c>
      <c r="B2724" t="s">
        <v>551</v>
      </c>
      <c r="C2724" s="6">
        <v>6184</v>
      </c>
      <c r="D2724" s="5" t="s">
        <v>107</v>
      </c>
      <c r="E2724" s="1">
        <v>0.34583333333333333</v>
      </c>
      <c r="F2724" s="1">
        <v>0.53333333333333333</v>
      </c>
      <c r="G2724" s="9">
        <f t="shared" si="286"/>
        <v>45817</v>
      </c>
      <c r="H2724" s="11">
        <f t="shared" si="287"/>
        <v>4.5</v>
      </c>
      <c r="I2724" s="10">
        <f t="shared" si="288"/>
        <v>4.5</v>
      </c>
      <c r="J2724" s="10">
        <f t="shared" si="289"/>
        <v>7.2</v>
      </c>
      <c r="K2724" s="10">
        <f t="shared" si="290"/>
        <v>29.5</v>
      </c>
      <c r="L2724" s="10">
        <f t="shared" si="291"/>
        <v>64.900000000000006</v>
      </c>
    </row>
    <row r="2725" spans="1:12" x14ac:dyDescent="0.25">
      <c r="A2725" s="7">
        <v>45821</v>
      </c>
      <c r="B2725" t="s">
        <v>6</v>
      </c>
      <c r="C2725" s="6" t="s">
        <v>416</v>
      </c>
      <c r="D2725" s="5" t="s">
        <v>374</v>
      </c>
      <c r="E2725" s="1">
        <v>0.53333333333333333</v>
      </c>
      <c r="F2725" s="1">
        <v>0.56805555555555554</v>
      </c>
      <c r="G2725" s="9">
        <f t="shared" si="286"/>
        <v>45817</v>
      </c>
      <c r="H2725" s="11">
        <f t="shared" si="287"/>
        <v>0.8</v>
      </c>
      <c r="I2725" s="10">
        <f t="shared" si="288"/>
        <v>5.3</v>
      </c>
      <c r="J2725" s="10">
        <f t="shared" si="289"/>
        <v>7.2</v>
      </c>
      <c r="K2725" s="10">
        <f t="shared" si="290"/>
        <v>30.3</v>
      </c>
      <c r="L2725" s="10">
        <f t="shared" si="291"/>
        <v>65.7</v>
      </c>
    </row>
    <row r="2726" spans="1:12" x14ac:dyDescent="0.25">
      <c r="A2726" s="7">
        <v>45821</v>
      </c>
      <c r="B2726" t="s">
        <v>598</v>
      </c>
      <c r="C2726" s="6">
        <v>6004</v>
      </c>
      <c r="D2726" s="5" t="s">
        <v>808</v>
      </c>
      <c r="E2726" s="1">
        <v>0.56805555555555554</v>
      </c>
      <c r="F2726" s="1">
        <v>0.60972222222222228</v>
      </c>
      <c r="G2726" s="9">
        <f t="shared" si="286"/>
        <v>45817</v>
      </c>
      <c r="H2726" s="11">
        <f t="shared" si="287"/>
        <v>1</v>
      </c>
      <c r="I2726" s="10">
        <f t="shared" si="288"/>
        <v>6.3</v>
      </c>
      <c r="J2726" s="10">
        <f t="shared" si="289"/>
        <v>7.2</v>
      </c>
      <c r="K2726" s="10">
        <f t="shared" si="290"/>
        <v>31.3</v>
      </c>
      <c r="L2726" s="10">
        <f t="shared" si="291"/>
        <v>66.7</v>
      </c>
    </row>
    <row r="2727" spans="1:12" x14ac:dyDescent="0.25">
      <c r="A2727" s="7">
        <v>45824</v>
      </c>
      <c r="B2727" s="2" t="s">
        <v>579</v>
      </c>
      <c r="C2727" s="6">
        <v>2682</v>
      </c>
      <c r="D2727" s="5" t="s">
        <v>107</v>
      </c>
      <c r="E2727" s="1">
        <v>0.34097222222222223</v>
      </c>
      <c r="F2727" s="1">
        <v>0.39583333333333331</v>
      </c>
      <c r="G2727" s="9">
        <f t="shared" si="286"/>
        <v>45824</v>
      </c>
      <c r="H2727" s="11">
        <f t="shared" si="287"/>
        <v>1.3</v>
      </c>
      <c r="I2727" s="10">
        <f t="shared" si="288"/>
        <v>1.3</v>
      </c>
      <c r="J2727" s="10">
        <f t="shared" si="289"/>
        <v>7.2</v>
      </c>
      <c r="K2727" s="10">
        <f t="shared" si="290"/>
        <v>1.3</v>
      </c>
      <c r="L2727" s="10">
        <f t="shared" si="291"/>
        <v>68</v>
      </c>
    </row>
    <row r="2728" spans="1:12" x14ac:dyDescent="0.25">
      <c r="A2728" s="7">
        <v>45824</v>
      </c>
      <c r="B2728" t="s">
        <v>598</v>
      </c>
      <c r="C2728" s="6">
        <v>6004</v>
      </c>
      <c r="D2728" s="5" t="s">
        <v>44</v>
      </c>
      <c r="E2728" s="1">
        <v>0.39583333333333331</v>
      </c>
      <c r="F2728" s="1">
        <v>0.44027777777777777</v>
      </c>
      <c r="G2728" s="9">
        <f t="shared" si="286"/>
        <v>45824</v>
      </c>
      <c r="H2728" s="11">
        <f t="shared" si="287"/>
        <v>1.1000000000000001</v>
      </c>
      <c r="I2728" s="10">
        <f t="shared" si="288"/>
        <v>2.4000000000000004</v>
      </c>
      <c r="J2728" s="10">
        <f t="shared" si="289"/>
        <v>7.2</v>
      </c>
      <c r="K2728" s="10">
        <f t="shared" si="290"/>
        <v>2.4000000000000004</v>
      </c>
      <c r="L2728" s="10">
        <f t="shared" si="291"/>
        <v>69.099999999999994</v>
      </c>
    </row>
    <row r="2729" spans="1:12" x14ac:dyDescent="0.25">
      <c r="A2729" s="7">
        <v>45824</v>
      </c>
      <c r="B2729" t="s">
        <v>598</v>
      </c>
      <c r="C2729" s="6">
        <v>6004</v>
      </c>
      <c r="D2729" s="5" t="s">
        <v>809</v>
      </c>
      <c r="E2729" s="1">
        <v>0.44027777777777777</v>
      </c>
      <c r="F2729" s="1">
        <v>0.49791666666666667</v>
      </c>
      <c r="G2729" s="9">
        <f t="shared" si="286"/>
        <v>45824</v>
      </c>
      <c r="H2729" s="11">
        <f t="shared" si="287"/>
        <v>1.4</v>
      </c>
      <c r="I2729" s="10">
        <f t="shared" si="288"/>
        <v>3.8</v>
      </c>
      <c r="J2729" s="10">
        <f t="shared" si="289"/>
        <v>7.2</v>
      </c>
      <c r="K2729" s="10">
        <f t="shared" si="290"/>
        <v>3.8</v>
      </c>
      <c r="L2729" s="10">
        <f t="shared" si="291"/>
        <v>70.5</v>
      </c>
    </row>
    <row r="2730" spans="1:12" x14ac:dyDescent="0.25">
      <c r="A2730" s="7">
        <v>45824</v>
      </c>
      <c r="B2730" t="s">
        <v>598</v>
      </c>
      <c r="C2730" s="6">
        <v>6004</v>
      </c>
      <c r="D2730" s="5" t="s">
        <v>809</v>
      </c>
      <c r="E2730" s="1">
        <v>0.51875000000000004</v>
      </c>
      <c r="F2730" s="1">
        <v>0.67500000000000004</v>
      </c>
      <c r="G2730" s="9">
        <f t="shared" si="286"/>
        <v>45824</v>
      </c>
      <c r="H2730" s="11">
        <f t="shared" si="287"/>
        <v>3.8</v>
      </c>
      <c r="I2730" s="10">
        <f t="shared" si="288"/>
        <v>7.6</v>
      </c>
      <c r="J2730" s="10">
        <f t="shared" si="289"/>
        <v>7.2</v>
      </c>
      <c r="K2730" s="10">
        <f t="shared" si="290"/>
        <v>7.6</v>
      </c>
      <c r="L2730" s="10">
        <f t="shared" si="291"/>
        <v>74.3</v>
      </c>
    </row>
    <row r="2731" spans="1:12" x14ac:dyDescent="0.25">
      <c r="A2731" s="7">
        <v>45825</v>
      </c>
      <c r="B2731" t="s">
        <v>598</v>
      </c>
      <c r="C2731" s="6">
        <v>6004</v>
      </c>
      <c r="D2731" s="5" t="s">
        <v>809</v>
      </c>
      <c r="E2731" s="1">
        <v>0.33055555555555555</v>
      </c>
      <c r="F2731" s="1">
        <v>0.60416666666666663</v>
      </c>
      <c r="G2731" s="9">
        <f t="shared" si="286"/>
        <v>45824</v>
      </c>
      <c r="H2731" s="11">
        <f t="shared" si="287"/>
        <v>6.6</v>
      </c>
      <c r="I2731" s="10">
        <f t="shared" si="288"/>
        <v>6.6</v>
      </c>
      <c r="J2731" s="10">
        <f t="shared" si="289"/>
        <v>7.2</v>
      </c>
      <c r="K2731" s="10">
        <f t="shared" si="290"/>
        <v>14.2</v>
      </c>
      <c r="L2731" s="10">
        <f t="shared" si="291"/>
        <v>80.899999999999991</v>
      </c>
    </row>
    <row r="2732" spans="1:12" x14ac:dyDescent="0.25">
      <c r="A2732" s="7">
        <v>45826</v>
      </c>
      <c r="B2732" t="s">
        <v>6</v>
      </c>
      <c r="C2732" s="6" t="s">
        <v>416</v>
      </c>
      <c r="D2732" s="5" t="s">
        <v>810</v>
      </c>
      <c r="E2732" s="1">
        <v>0.35416666666666669</v>
      </c>
      <c r="F2732" s="1">
        <v>0.40277777777777779</v>
      </c>
      <c r="G2732" s="9">
        <f t="shared" si="286"/>
        <v>45824</v>
      </c>
      <c r="H2732" s="11">
        <f t="shared" si="287"/>
        <v>1.2</v>
      </c>
      <c r="I2732" s="10">
        <f t="shared" si="288"/>
        <v>1.2</v>
      </c>
      <c r="J2732" s="10">
        <f t="shared" si="289"/>
        <v>7.2</v>
      </c>
      <c r="K2732" s="10">
        <f t="shared" si="290"/>
        <v>15.399999999999999</v>
      </c>
      <c r="L2732" s="10">
        <f t="shared" si="291"/>
        <v>82.100000000000009</v>
      </c>
    </row>
    <row r="2733" spans="1:12" x14ac:dyDescent="0.25">
      <c r="A2733" s="7">
        <v>45826</v>
      </c>
      <c r="B2733" t="s">
        <v>598</v>
      </c>
      <c r="C2733" s="6">
        <v>6004</v>
      </c>
      <c r="D2733" s="5" t="s">
        <v>811</v>
      </c>
      <c r="E2733" s="1">
        <v>0.40277777777777779</v>
      </c>
      <c r="F2733" s="1">
        <v>0.51111111111111107</v>
      </c>
      <c r="G2733" s="9">
        <f t="shared" si="286"/>
        <v>45824</v>
      </c>
      <c r="H2733" s="11">
        <f t="shared" si="287"/>
        <v>2.6</v>
      </c>
      <c r="I2733" s="10">
        <f t="shared" si="288"/>
        <v>3.8</v>
      </c>
      <c r="J2733" s="10">
        <f t="shared" si="289"/>
        <v>7.2</v>
      </c>
      <c r="K2733" s="10">
        <f t="shared" si="290"/>
        <v>18</v>
      </c>
      <c r="L2733" s="10">
        <f t="shared" si="291"/>
        <v>84.699999999999989</v>
      </c>
    </row>
    <row r="2734" spans="1:12" x14ac:dyDescent="0.25">
      <c r="A2734" s="7">
        <v>45826</v>
      </c>
      <c r="B2734" t="s">
        <v>598</v>
      </c>
      <c r="C2734" s="6">
        <v>6004</v>
      </c>
      <c r="D2734" s="5" t="s">
        <v>811</v>
      </c>
      <c r="E2734" s="1">
        <v>0.52500000000000002</v>
      </c>
      <c r="F2734" s="1">
        <v>0.54166666666666663</v>
      </c>
      <c r="G2734" s="9">
        <f t="shared" si="286"/>
        <v>45824</v>
      </c>
      <c r="H2734" s="11">
        <f t="shared" si="287"/>
        <v>0.4</v>
      </c>
      <c r="I2734" s="10">
        <f t="shared" si="288"/>
        <v>4.2</v>
      </c>
      <c r="J2734" s="10">
        <f t="shared" si="289"/>
        <v>7.2</v>
      </c>
      <c r="K2734" s="10">
        <f t="shared" si="290"/>
        <v>18.399999999999999</v>
      </c>
      <c r="L2734" s="10">
        <f t="shared" si="291"/>
        <v>85.100000000000009</v>
      </c>
    </row>
    <row r="2735" spans="1:12" x14ac:dyDescent="0.25">
      <c r="A2735" s="7">
        <v>45826</v>
      </c>
      <c r="B2735" t="s">
        <v>6</v>
      </c>
      <c r="C2735" s="6" t="s">
        <v>416</v>
      </c>
      <c r="D2735" s="5" t="s">
        <v>58</v>
      </c>
      <c r="E2735" s="1">
        <v>0.54166666666666663</v>
      </c>
      <c r="F2735" s="1">
        <v>0.58333333333333337</v>
      </c>
      <c r="G2735" s="9">
        <f t="shared" si="286"/>
        <v>45824</v>
      </c>
      <c r="H2735" s="11">
        <f t="shared" si="287"/>
        <v>1</v>
      </c>
      <c r="I2735" s="10">
        <f t="shared" si="288"/>
        <v>5.2</v>
      </c>
      <c r="J2735" s="10">
        <f t="shared" si="289"/>
        <v>7.2</v>
      </c>
      <c r="K2735" s="10">
        <f t="shared" si="290"/>
        <v>19.399999999999999</v>
      </c>
      <c r="L2735" s="10">
        <f t="shared" si="291"/>
        <v>86.1</v>
      </c>
    </row>
    <row r="2736" spans="1:12" x14ac:dyDescent="0.25">
      <c r="A2736" s="7">
        <v>45826</v>
      </c>
      <c r="B2736" s="2" t="s">
        <v>464</v>
      </c>
      <c r="C2736" s="6">
        <v>2431</v>
      </c>
      <c r="D2736" s="5" t="s">
        <v>32</v>
      </c>
      <c r="E2736" s="1">
        <v>0.58333333333333337</v>
      </c>
      <c r="F2736" s="1">
        <v>0.61805555555555558</v>
      </c>
      <c r="G2736" s="9">
        <f t="shared" si="286"/>
        <v>45824</v>
      </c>
      <c r="H2736" s="11">
        <f t="shared" si="287"/>
        <v>0.8</v>
      </c>
      <c r="I2736" s="10">
        <f t="shared" si="288"/>
        <v>6</v>
      </c>
      <c r="J2736" s="10">
        <f t="shared" si="289"/>
        <v>7.2</v>
      </c>
      <c r="K2736" s="10">
        <f t="shared" si="290"/>
        <v>20.2</v>
      </c>
      <c r="L2736" s="10">
        <f t="shared" si="291"/>
        <v>86.899999999999991</v>
      </c>
    </row>
    <row r="2737" spans="1:12" x14ac:dyDescent="0.25">
      <c r="A2737" s="7">
        <v>45826</v>
      </c>
      <c r="B2737" s="2" t="s">
        <v>579</v>
      </c>
      <c r="C2737" s="6">
        <v>2682</v>
      </c>
      <c r="D2737" s="5" t="s">
        <v>193</v>
      </c>
      <c r="E2737" s="1">
        <v>0.61805555555555558</v>
      </c>
      <c r="F2737" s="1">
        <v>0.68194444444444446</v>
      </c>
      <c r="G2737" s="9">
        <f t="shared" si="286"/>
        <v>45824</v>
      </c>
      <c r="H2737" s="11">
        <f t="shared" si="287"/>
        <v>1.5</v>
      </c>
      <c r="I2737" s="10">
        <f t="shared" si="288"/>
        <v>7.5</v>
      </c>
      <c r="J2737" s="10">
        <f t="shared" si="289"/>
        <v>7.2</v>
      </c>
      <c r="K2737" s="10">
        <f t="shared" si="290"/>
        <v>21.7</v>
      </c>
      <c r="L2737" s="10">
        <f t="shared" si="291"/>
        <v>88.4</v>
      </c>
    </row>
    <row r="2738" spans="1:12" x14ac:dyDescent="0.25">
      <c r="A2738" s="7">
        <v>45827</v>
      </c>
      <c r="B2738" s="2" t="s">
        <v>579</v>
      </c>
      <c r="C2738" s="6">
        <v>2682</v>
      </c>
      <c r="D2738" s="5" t="s">
        <v>193</v>
      </c>
      <c r="E2738" s="1">
        <v>0.36180555555555555</v>
      </c>
      <c r="F2738" s="1">
        <v>0.40347222222222223</v>
      </c>
      <c r="G2738" s="9">
        <f t="shared" si="286"/>
        <v>45824</v>
      </c>
      <c r="H2738" s="11">
        <f t="shared" si="287"/>
        <v>1</v>
      </c>
      <c r="I2738" s="10">
        <f t="shared" si="288"/>
        <v>1</v>
      </c>
      <c r="J2738" s="10">
        <f t="shared" si="289"/>
        <v>7.2</v>
      </c>
      <c r="K2738" s="10">
        <f t="shared" si="290"/>
        <v>22.7</v>
      </c>
      <c r="L2738" s="10">
        <f t="shared" si="291"/>
        <v>89.4</v>
      </c>
    </row>
    <row r="2739" spans="1:12" x14ac:dyDescent="0.25">
      <c r="A2739" s="7">
        <v>45827</v>
      </c>
      <c r="B2739" t="s">
        <v>598</v>
      </c>
      <c r="C2739" s="6">
        <v>6004</v>
      </c>
      <c r="D2739" s="5" t="s">
        <v>811</v>
      </c>
      <c r="E2739" s="1">
        <v>0.40347222222222223</v>
      </c>
      <c r="F2739" s="1">
        <v>0.54166666666666663</v>
      </c>
      <c r="G2739" s="9">
        <f t="shared" si="286"/>
        <v>45824</v>
      </c>
      <c r="H2739" s="11">
        <f t="shared" si="287"/>
        <v>3.3</v>
      </c>
      <c r="I2739" s="10">
        <f t="shared" si="288"/>
        <v>4.3</v>
      </c>
      <c r="J2739" s="10">
        <f t="shared" si="289"/>
        <v>7.2</v>
      </c>
      <c r="K2739" s="10">
        <f t="shared" si="290"/>
        <v>26</v>
      </c>
      <c r="L2739" s="10">
        <f t="shared" si="291"/>
        <v>92.7</v>
      </c>
    </row>
    <row r="2740" spans="1:12" x14ac:dyDescent="0.25">
      <c r="A2740" s="7">
        <v>45827</v>
      </c>
      <c r="B2740" s="2" t="s">
        <v>579</v>
      </c>
      <c r="C2740" s="6">
        <v>2682</v>
      </c>
      <c r="D2740" s="5" t="s">
        <v>44</v>
      </c>
      <c r="E2740" s="1">
        <v>0.54166666666666663</v>
      </c>
      <c r="F2740" s="1">
        <v>0.57777777777777772</v>
      </c>
      <c r="G2740" s="9">
        <f t="shared" si="286"/>
        <v>45824</v>
      </c>
      <c r="H2740" s="11">
        <f t="shared" si="287"/>
        <v>0.9</v>
      </c>
      <c r="I2740" s="10">
        <f t="shared" si="288"/>
        <v>5.2</v>
      </c>
      <c r="J2740" s="10">
        <f t="shared" si="289"/>
        <v>7.2</v>
      </c>
      <c r="K2740" s="10">
        <f t="shared" si="290"/>
        <v>26.9</v>
      </c>
      <c r="L2740" s="10">
        <f t="shared" si="291"/>
        <v>93.600000000000009</v>
      </c>
    </row>
    <row r="2741" spans="1:12" x14ac:dyDescent="0.25">
      <c r="A2741" s="7">
        <v>45827</v>
      </c>
      <c r="B2741" s="2" t="s">
        <v>579</v>
      </c>
      <c r="C2741" s="6">
        <v>2682</v>
      </c>
      <c r="D2741" s="5" t="s">
        <v>587</v>
      </c>
      <c r="E2741" s="1">
        <v>0.57777777777777772</v>
      </c>
      <c r="F2741" s="1">
        <v>0.61111111111111116</v>
      </c>
      <c r="G2741" s="9">
        <f t="shared" si="286"/>
        <v>45824</v>
      </c>
      <c r="H2741" s="11">
        <f t="shared" si="287"/>
        <v>0.8</v>
      </c>
      <c r="I2741" s="10">
        <f t="shared" si="288"/>
        <v>6</v>
      </c>
      <c r="J2741" s="10">
        <f t="shared" si="289"/>
        <v>7.2</v>
      </c>
      <c r="K2741" s="10">
        <f t="shared" si="290"/>
        <v>27.7</v>
      </c>
      <c r="L2741" s="10">
        <f t="shared" si="291"/>
        <v>94.399999999999991</v>
      </c>
    </row>
    <row r="2742" spans="1:12" x14ac:dyDescent="0.25">
      <c r="A2742" s="7">
        <v>45827</v>
      </c>
      <c r="B2742" s="2" t="s">
        <v>579</v>
      </c>
      <c r="C2742" s="6">
        <v>2682</v>
      </c>
      <c r="D2742" s="5" t="s">
        <v>587</v>
      </c>
      <c r="E2742" s="1">
        <v>0.6381944444444444</v>
      </c>
      <c r="F2742" s="1">
        <v>0.72152777777777777</v>
      </c>
      <c r="G2742" s="9">
        <f t="shared" si="286"/>
        <v>45824</v>
      </c>
      <c r="H2742" s="11">
        <f t="shared" si="287"/>
        <v>2</v>
      </c>
      <c r="I2742" s="10">
        <f t="shared" si="288"/>
        <v>8</v>
      </c>
      <c r="J2742" s="10">
        <f t="shared" si="289"/>
        <v>7.2</v>
      </c>
      <c r="K2742" s="10">
        <f t="shared" si="290"/>
        <v>29.7</v>
      </c>
      <c r="L2742" s="10">
        <f t="shared" si="291"/>
        <v>96.4</v>
      </c>
    </row>
    <row r="2743" spans="1:12" x14ac:dyDescent="0.25">
      <c r="A2743" s="7">
        <v>45828</v>
      </c>
      <c r="B2743" t="s">
        <v>7</v>
      </c>
      <c r="C2743" s="6" t="s">
        <v>22</v>
      </c>
      <c r="D2743" s="2" t="s">
        <v>150</v>
      </c>
      <c r="E2743" s="1">
        <v>0.40972222222222227</v>
      </c>
      <c r="F2743" s="1">
        <v>0.70833333333333337</v>
      </c>
      <c r="G2743" s="9">
        <f t="shared" si="286"/>
        <v>45824</v>
      </c>
      <c r="H2743" s="11">
        <f t="shared" si="287"/>
        <v>7.2</v>
      </c>
      <c r="I2743" s="10">
        <f t="shared" si="288"/>
        <v>7.2</v>
      </c>
      <c r="J2743" s="10">
        <f t="shared" si="289"/>
        <v>7.2</v>
      </c>
      <c r="K2743" s="10">
        <f t="shared" si="290"/>
        <v>36.9</v>
      </c>
      <c r="L2743" s="10">
        <f t="shared" si="291"/>
        <v>103.60000000000001</v>
      </c>
    </row>
    <row r="2744" spans="1:12" x14ac:dyDescent="0.25">
      <c r="A2744" s="7">
        <v>45828</v>
      </c>
      <c r="B2744" t="s">
        <v>598</v>
      </c>
      <c r="C2744" s="6">
        <v>6004</v>
      </c>
      <c r="D2744" s="5" t="s">
        <v>812</v>
      </c>
      <c r="E2744" s="1">
        <v>0.34375</v>
      </c>
      <c r="F2744" s="1">
        <v>0.44861111111111113</v>
      </c>
      <c r="G2744" s="9">
        <f t="shared" si="286"/>
        <v>45824</v>
      </c>
      <c r="H2744" s="11">
        <f t="shared" si="287"/>
        <v>2.5</v>
      </c>
      <c r="I2744" s="10">
        <f t="shared" si="288"/>
        <v>9.6999999999999993</v>
      </c>
      <c r="J2744" s="10">
        <f t="shared" si="289"/>
        <v>7.2</v>
      </c>
      <c r="K2744" s="10">
        <f t="shared" si="290"/>
        <v>39.4</v>
      </c>
      <c r="L2744" s="10">
        <f t="shared" si="291"/>
        <v>106.1</v>
      </c>
    </row>
    <row r="2745" spans="1:12" x14ac:dyDescent="0.25">
      <c r="A2745" s="7">
        <v>45829</v>
      </c>
      <c r="B2745" t="s">
        <v>598</v>
      </c>
      <c r="C2745" s="6">
        <v>6004</v>
      </c>
      <c r="D2745" s="5" t="s">
        <v>812</v>
      </c>
      <c r="E2745" s="1">
        <v>0.48402777777777778</v>
      </c>
      <c r="F2745" s="1">
        <v>0.5</v>
      </c>
      <c r="G2745" s="9">
        <f t="shared" si="286"/>
        <v>45824</v>
      </c>
      <c r="H2745" s="11">
        <f t="shared" si="287"/>
        <v>0.4</v>
      </c>
      <c r="I2745" s="10">
        <f t="shared" si="288"/>
        <v>0.4</v>
      </c>
      <c r="J2745" s="10">
        <f t="shared" si="289"/>
        <v>7.2</v>
      </c>
      <c r="K2745" s="10">
        <f t="shared" si="290"/>
        <v>39.799999999999997</v>
      </c>
      <c r="L2745" s="10">
        <f t="shared" si="291"/>
        <v>106.5</v>
      </c>
    </row>
    <row r="2746" spans="1:12" x14ac:dyDescent="0.25">
      <c r="A2746" s="7">
        <v>45829</v>
      </c>
      <c r="B2746" t="s">
        <v>598</v>
      </c>
      <c r="C2746" s="6">
        <v>6004</v>
      </c>
      <c r="D2746" s="5" t="s">
        <v>812</v>
      </c>
      <c r="E2746" s="1">
        <v>0.67638888888888893</v>
      </c>
      <c r="F2746" s="1">
        <v>0.75555555555555554</v>
      </c>
      <c r="G2746" s="9">
        <f t="shared" si="286"/>
        <v>45824</v>
      </c>
      <c r="H2746" s="11">
        <f t="shared" si="287"/>
        <v>1.9</v>
      </c>
      <c r="I2746" s="10">
        <f t="shared" si="288"/>
        <v>2.2999999999999998</v>
      </c>
      <c r="J2746" s="10">
        <f t="shared" si="289"/>
        <v>7.2</v>
      </c>
      <c r="K2746" s="10">
        <f t="shared" si="290"/>
        <v>41.699999999999996</v>
      </c>
      <c r="L2746" s="10">
        <f t="shared" si="291"/>
        <v>108.4</v>
      </c>
    </row>
    <row r="2747" spans="1:12" x14ac:dyDescent="0.25">
      <c r="A2747" s="7">
        <v>45831</v>
      </c>
      <c r="B2747" t="s">
        <v>598</v>
      </c>
      <c r="C2747" s="6">
        <v>6004</v>
      </c>
      <c r="D2747" s="5" t="s">
        <v>812</v>
      </c>
      <c r="E2747" s="1">
        <v>0.34652777777777777</v>
      </c>
      <c r="F2747" s="1">
        <v>0.39583333333333331</v>
      </c>
      <c r="G2747" s="9">
        <f t="shared" si="286"/>
        <v>45831</v>
      </c>
      <c r="H2747" s="11">
        <f t="shared" si="287"/>
        <v>1.2</v>
      </c>
      <c r="I2747" s="10">
        <f t="shared" si="288"/>
        <v>1.2</v>
      </c>
      <c r="J2747" s="10">
        <f t="shared" si="289"/>
        <v>7.2</v>
      </c>
      <c r="K2747" s="10">
        <f t="shared" si="290"/>
        <v>1.2</v>
      </c>
      <c r="L2747" s="10">
        <f t="shared" si="291"/>
        <v>109.60000000000001</v>
      </c>
    </row>
    <row r="2748" spans="1:12" x14ac:dyDescent="0.25">
      <c r="A2748" s="7">
        <v>45831</v>
      </c>
      <c r="B2748" t="s">
        <v>6</v>
      </c>
      <c r="C2748" s="6" t="s">
        <v>416</v>
      </c>
      <c r="D2748" s="5" t="s">
        <v>726</v>
      </c>
      <c r="E2748" s="1">
        <v>0.39583333333333331</v>
      </c>
      <c r="F2748" s="1">
        <v>0.46944444444444444</v>
      </c>
      <c r="G2748" s="9">
        <f t="shared" si="286"/>
        <v>45831</v>
      </c>
      <c r="H2748" s="11">
        <f t="shared" si="287"/>
        <v>1.8</v>
      </c>
      <c r="I2748" s="10">
        <f t="shared" si="288"/>
        <v>3</v>
      </c>
      <c r="J2748" s="10">
        <f t="shared" si="289"/>
        <v>7.2</v>
      </c>
      <c r="K2748" s="10">
        <f t="shared" si="290"/>
        <v>3</v>
      </c>
      <c r="L2748" s="10">
        <f t="shared" si="291"/>
        <v>111.39999999999999</v>
      </c>
    </row>
    <row r="2749" spans="1:12" x14ac:dyDescent="0.25">
      <c r="A2749" s="7">
        <v>45831</v>
      </c>
      <c r="B2749" t="s">
        <v>598</v>
      </c>
      <c r="C2749" s="6">
        <v>6004</v>
      </c>
      <c r="D2749" s="5" t="s">
        <v>812</v>
      </c>
      <c r="E2749" s="1">
        <v>0.46944444444444444</v>
      </c>
      <c r="F2749" s="1">
        <v>0.64236111111111116</v>
      </c>
      <c r="G2749" s="9">
        <f t="shared" si="286"/>
        <v>45831</v>
      </c>
      <c r="H2749" s="11">
        <f t="shared" si="287"/>
        <v>4.2</v>
      </c>
      <c r="I2749" s="10">
        <f t="shared" si="288"/>
        <v>7.2</v>
      </c>
      <c r="J2749" s="10">
        <f t="shared" si="289"/>
        <v>7.2</v>
      </c>
      <c r="K2749" s="10">
        <f t="shared" si="290"/>
        <v>7.2</v>
      </c>
      <c r="L2749" s="10">
        <f t="shared" si="291"/>
        <v>115.60000000000001</v>
      </c>
    </row>
    <row r="2750" spans="1:12" x14ac:dyDescent="0.25">
      <c r="A2750" s="7">
        <v>45832</v>
      </c>
      <c r="B2750" t="s">
        <v>6</v>
      </c>
      <c r="C2750" s="6" t="s">
        <v>416</v>
      </c>
      <c r="D2750" s="5" t="s">
        <v>464</v>
      </c>
      <c r="E2750" s="1">
        <v>0.35208333333333336</v>
      </c>
      <c r="F2750" s="1">
        <v>0.43333333333333335</v>
      </c>
      <c r="G2750" s="9">
        <f t="shared" si="286"/>
        <v>45831</v>
      </c>
      <c r="H2750" s="11">
        <f t="shared" si="287"/>
        <v>2</v>
      </c>
      <c r="I2750" s="10">
        <f t="shared" si="288"/>
        <v>2</v>
      </c>
      <c r="J2750" s="10">
        <f t="shared" si="289"/>
        <v>7.2</v>
      </c>
      <c r="K2750" s="10">
        <f t="shared" si="290"/>
        <v>9.1999999999999993</v>
      </c>
      <c r="L2750" s="10">
        <f t="shared" si="291"/>
        <v>117.6</v>
      </c>
    </row>
    <row r="2751" spans="1:12" x14ac:dyDescent="0.25">
      <c r="A2751" s="7">
        <v>45832</v>
      </c>
      <c r="B2751" s="2" t="s">
        <v>579</v>
      </c>
      <c r="C2751" s="6">
        <v>2682</v>
      </c>
      <c r="D2751" s="5" t="s">
        <v>90</v>
      </c>
      <c r="E2751" s="1">
        <v>0.43333333333333335</v>
      </c>
      <c r="F2751" s="1">
        <v>0.50624999999999998</v>
      </c>
      <c r="G2751" s="9">
        <f t="shared" si="286"/>
        <v>45831</v>
      </c>
      <c r="H2751" s="11">
        <f t="shared" si="287"/>
        <v>1.8</v>
      </c>
      <c r="I2751" s="10">
        <f t="shared" si="288"/>
        <v>3.8</v>
      </c>
      <c r="J2751" s="10">
        <f t="shared" si="289"/>
        <v>7.2</v>
      </c>
      <c r="K2751" s="10">
        <f t="shared" si="290"/>
        <v>11</v>
      </c>
      <c r="L2751" s="10">
        <f t="shared" si="291"/>
        <v>119.39999999999999</v>
      </c>
    </row>
    <row r="2752" spans="1:12" x14ac:dyDescent="0.25">
      <c r="A2752" s="7">
        <v>45832</v>
      </c>
      <c r="B2752" t="s">
        <v>7</v>
      </c>
      <c r="C2752" s="6" t="s">
        <v>22</v>
      </c>
      <c r="D2752" s="2" t="s">
        <v>813</v>
      </c>
      <c r="E2752" s="1">
        <v>0.5625</v>
      </c>
      <c r="F2752" s="1">
        <v>0.70833333333333337</v>
      </c>
      <c r="G2752" s="9">
        <f t="shared" si="286"/>
        <v>45831</v>
      </c>
      <c r="H2752" s="11">
        <f t="shared" si="287"/>
        <v>3.5</v>
      </c>
      <c r="I2752" s="10">
        <f t="shared" si="288"/>
        <v>7.3</v>
      </c>
      <c r="J2752" s="10">
        <f t="shared" si="289"/>
        <v>7.2</v>
      </c>
      <c r="K2752" s="10">
        <f t="shared" si="290"/>
        <v>14.5</v>
      </c>
      <c r="L2752" s="10">
        <f t="shared" si="291"/>
        <v>122.9</v>
      </c>
    </row>
    <row r="2753" spans="1:12" x14ac:dyDescent="0.25">
      <c r="A2753" s="7">
        <v>45833</v>
      </c>
      <c r="B2753" t="s">
        <v>6</v>
      </c>
      <c r="C2753" s="6" t="s">
        <v>416</v>
      </c>
      <c r="D2753" s="5" t="s">
        <v>335</v>
      </c>
      <c r="E2753" s="1">
        <v>0.36388888888888887</v>
      </c>
      <c r="F2753" s="1">
        <v>0.41666666666666669</v>
      </c>
      <c r="G2753" s="9">
        <f t="shared" si="286"/>
        <v>45831</v>
      </c>
      <c r="H2753" s="11">
        <f t="shared" si="287"/>
        <v>1.3</v>
      </c>
      <c r="I2753" s="10">
        <f t="shared" si="288"/>
        <v>1.3</v>
      </c>
      <c r="J2753" s="10">
        <f t="shared" si="289"/>
        <v>7.2</v>
      </c>
      <c r="K2753" s="10">
        <f t="shared" si="290"/>
        <v>15.8</v>
      </c>
      <c r="L2753" s="10">
        <f t="shared" si="291"/>
        <v>124.2</v>
      </c>
    </row>
    <row r="2754" spans="1:12" x14ac:dyDescent="0.25">
      <c r="A2754" s="7">
        <v>45833</v>
      </c>
      <c r="B2754" t="s">
        <v>598</v>
      </c>
      <c r="C2754" s="6">
        <v>6004</v>
      </c>
      <c r="D2754" s="5" t="s">
        <v>44</v>
      </c>
      <c r="E2754" s="1">
        <v>0.41666666666666669</v>
      </c>
      <c r="F2754" s="1">
        <v>0.44791666666666669</v>
      </c>
      <c r="G2754" s="9">
        <f t="shared" si="286"/>
        <v>45831</v>
      </c>
      <c r="H2754" s="11">
        <f t="shared" si="287"/>
        <v>0.8</v>
      </c>
      <c r="I2754" s="10">
        <f t="shared" si="288"/>
        <v>2.1</v>
      </c>
      <c r="J2754" s="10">
        <f t="shared" si="289"/>
        <v>7.2</v>
      </c>
      <c r="K2754" s="10">
        <f t="shared" si="290"/>
        <v>16.600000000000001</v>
      </c>
      <c r="L2754" s="10">
        <f t="shared" si="291"/>
        <v>125</v>
      </c>
    </row>
    <row r="2755" spans="1:12" x14ac:dyDescent="0.25">
      <c r="A2755" s="7">
        <v>45833</v>
      </c>
      <c r="B2755" t="s">
        <v>598</v>
      </c>
      <c r="C2755" s="6">
        <v>6004</v>
      </c>
      <c r="D2755" s="5" t="s">
        <v>814</v>
      </c>
      <c r="E2755" s="1">
        <v>0.44791666666666669</v>
      </c>
      <c r="F2755" s="1">
        <v>0.5541666666666667</v>
      </c>
      <c r="G2755" s="9">
        <f t="shared" si="286"/>
        <v>45831</v>
      </c>
      <c r="H2755" s="11">
        <f t="shared" si="287"/>
        <v>2.6</v>
      </c>
      <c r="I2755" s="10">
        <f t="shared" si="288"/>
        <v>4.7</v>
      </c>
      <c r="J2755" s="10">
        <f t="shared" si="289"/>
        <v>7.2</v>
      </c>
      <c r="K2755" s="10">
        <f t="shared" si="290"/>
        <v>19.200000000000003</v>
      </c>
      <c r="L2755" s="10">
        <f t="shared" si="291"/>
        <v>127.6</v>
      </c>
    </row>
    <row r="2756" spans="1:12" x14ac:dyDescent="0.25">
      <c r="A2756" s="7">
        <v>45833</v>
      </c>
      <c r="B2756" s="2" t="s">
        <v>579</v>
      </c>
      <c r="C2756" s="6">
        <v>2682</v>
      </c>
      <c r="D2756" s="5" t="s">
        <v>90</v>
      </c>
      <c r="E2756" s="1">
        <v>0.5541666666666667</v>
      </c>
      <c r="F2756" s="1">
        <v>0.66736111111111107</v>
      </c>
      <c r="G2756" s="9">
        <f t="shared" si="286"/>
        <v>45831</v>
      </c>
      <c r="H2756" s="11">
        <f t="shared" si="287"/>
        <v>2.7</v>
      </c>
      <c r="I2756" s="10">
        <f t="shared" si="288"/>
        <v>7.4</v>
      </c>
      <c r="J2756" s="10">
        <f t="shared" si="289"/>
        <v>7.2</v>
      </c>
      <c r="K2756" s="10">
        <f t="shared" si="290"/>
        <v>21.9</v>
      </c>
      <c r="L2756" s="10">
        <f t="shared" si="291"/>
        <v>130.29999999999998</v>
      </c>
    </row>
    <row r="2757" spans="1:12" x14ac:dyDescent="0.25">
      <c r="A2757" s="7">
        <v>45834</v>
      </c>
      <c r="B2757" s="2" t="s">
        <v>579</v>
      </c>
      <c r="C2757" s="6">
        <v>2682</v>
      </c>
      <c r="D2757" s="5" t="s">
        <v>90</v>
      </c>
      <c r="E2757" s="1">
        <v>0.34513888888888888</v>
      </c>
      <c r="F2757" s="1">
        <v>0.6479166666666667</v>
      </c>
      <c r="G2757" s="9">
        <f t="shared" ref="G2757:G2820" si="292">IF(E2757&gt;0,INT((A2757-2)/7)*7+2,"")</f>
        <v>45831</v>
      </c>
      <c r="H2757" s="11">
        <f t="shared" ref="H2757:H2820" si="293">IF(E2757&gt;0,ROUND(24*(IF(F2757&gt;0,F2757,NowTime)-E2757),1),"")</f>
        <v>7.3</v>
      </c>
      <c r="I2757" s="10">
        <f t="shared" ref="I2757:I2820" si="294">IF(H2757="",H2757,H2757+IF(A2757=A2756,_xlfn.NUMBERVALUE(I2756),0))</f>
        <v>7.3</v>
      </c>
      <c r="J2757" s="10">
        <f t="shared" ref="J2757:J2820" si="295">IF(H2757="",H2757,7.2)</f>
        <v>7.2</v>
      </c>
      <c r="K2757" s="10">
        <f t="shared" ref="K2757:K2820" si="296">IF(H2757="",H2757,H2757+IF(G2757=G2756,_xlfn.NUMBERVALUE(K2756),0))</f>
        <v>29.2</v>
      </c>
      <c r="L2757" s="10">
        <f t="shared" ref="L2757:L2820" si="297">IF(H2757="",H2757,H2757+IF(MONTH(A2757)=MONTH(A2756),_xlfn.NUMBERVALUE(L2756),0))</f>
        <v>137.60000000000002</v>
      </c>
    </row>
    <row r="2758" spans="1:12" x14ac:dyDescent="0.25">
      <c r="A2758" s="7">
        <v>45835</v>
      </c>
      <c r="B2758" s="2" t="s">
        <v>579</v>
      </c>
      <c r="C2758" s="6">
        <v>2682</v>
      </c>
      <c r="D2758" s="5" t="s">
        <v>90</v>
      </c>
      <c r="E2758" s="1">
        <v>0.31458333333333333</v>
      </c>
      <c r="F2758" s="1">
        <v>0.43263888888888891</v>
      </c>
      <c r="G2758" s="9">
        <f t="shared" si="292"/>
        <v>45831</v>
      </c>
      <c r="H2758" s="11">
        <f t="shared" si="293"/>
        <v>2.8</v>
      </c>
      <c r="I2758" s="10">
        <f t="shared" si="294"/>
        <v>2.8</v>
      </c>
      <c r="J2758" s="10">
        <f t="shared" si="295"/>
        <v>7.2</v>
      </c>
      <c r="K2758" s="10">
        <f t="shared" si="296"/>
        <v>32</v>
      </c>
      <c r="L2758" s="10">
        <f t="shared" si="297"/>
        <v>140.4</v>
      </c>
    </row>
    <row r="2759" spans="1:12" x14ac:dyDescent="0.25">
      <c r="A2759" s="7">
        <v>45835</v>
      </c>
      <c r="B2759" s="2" t="s">
        <v>464</v>
      </c>
      <c r="C2759" s="6">
        <v>2431</v>
      </c>
      <c r="D2759" s="5" t="s">
        <v>32</v>
      </c>
      <c r="E2759" s="1">
        <v>0.46388888888888891</v>
      </c>
      <c r="F2759" s="1">
        <v>0.53472222222222221</v>
      </c>
      <c r="G2759" s="9">
        <f t="shared" si="292"/>
        <v>45831</v>
      </c>
      <c r="H2759" s="11">
        <f t="shared" si="293"/>
        <v>1.7</v>
      </c>
      <c r="I2759" s="10">
        <f t="shared" si="294"/>
        <v>4.5</v>
      </c>
      <c r="J2759" s="10">
        <f t="shared" si="295"/>
        <v>7.2</v>
      </c>
      <c r="K2759" s="10">
        <f t="shared" si="296"/>
        <v>33.700000000000003</v>
      </c>
      <c r="L2759" s="10">
        <f t="shared" si="297"/>
        <v>142.1</v>
      </c>
    </row>
    <row r="2760" spans="1:12" x14ac:dyDescent="0.25">
      <c r="A2760" s="7">
        <v>45835</v>
      </c>
      <c r="B2760" t="s">
        <v>598</v>
      </c>
      <c r="C2760" s="6">
        <v>6004</v>
      </c>
      <c r="D2760" s="5" t="s">
        <v>814</v>
      </c>
      <c r="E2760" s="1">
        <v>0.53472222222222221</v>
      </c>
      <c r="F2760" s="1">
        <v>0.63055555555555554</v>
      </c>
      <c r="G2760" s="9">
        <f t="shared" si="292"/>
        <v>45831</v>
      </c>
      <c r="H2760" s="11">
        <f t="shared" si="293"/>
        <v>2.2999999999999998</v>
      </c>
      <c r="I2760" s="10">
        <f t="shared" si="294"/>
        <v>6.8</v>
      </c>
      <c r="J2760" s="10">
        <f t="shared" si="295"/>
        <v>7.2</v>
      </c>
      <c r="K2760" s="10">
        <f t="shared" si="296"/>
        <v>36</v>
      </c>
      <c r="L2760" s="10">
        <f t="shared" si="297"/>
        <v>144.4</v>
      </c>
    </row>
    <row r="2761" spans="1:12" x14ac:dyDescent="0.25">
      <c r="A2761" s="7">
        <v>45838</v>
      </c>
      <c r="B2761" t="s">
        <v>6</v>
      </c>
      <c r="C2761" s="6" t="s">
        <v>416</v>
      </c>
      <c r="D2761" s="5" t="s">
        <v>104</v>
      </c>
      <c r="E2761" s="1">
        <v>0.3659722222222222</v>
      </c>
      <c r="F2761" s="1">
        <v>0.40277777777777779</v>
      </c>
      <c r="G2761" s="9">
        <f t="shared" si="292"/>
        <v>45838</v>
      </c>
      <c r="H2761" s="11">
        <f t="shared" si="293"/>
        <v>0.9</v>
      </c>
      <c r="I2761" s="10">
        <f t="shared" si="294"/>
        <v>0.9</v>
      </c>
      <c r="J2761" s="10">
        <f t="shared" si="295"/>
        <v>7.2</v>
      </c>
      <c r="K2761" s="10">
        <f t="shared" si="296"/>
        <v>0.9</v>
      </c>
      <c r="L2761" s="10">
        <f t="shared" si="297"/>
        <v>145.30000000000001</v>
      </c>
    </row>
    <row r="2762" spans="1:12" x14ac:dyDescent="0.25">
      <c r="A2762" s="7">
        <v>45838</v>
      </c>
      <c r="B2762" t="s">
        <v>551</v>
      </c>
      <c r="C2762" s="6">
        <v>6184</v>
      </c>
      <c r="D2762" s="5" t="s">
        <v>815</v>
      </c>
      <c r="E2762" s="1">
        <v>0.40277777777777779</v>
      </c>
      <c r="F2762" s="1">
        <v>0.57986111111111116</v>
      </c>
      <c r="G2762" s="9">
        <f t="shared" si="292"/>
        <v>45838</v>
      </c>
      <c r="H2762" s="11">
        <f t="shared" si="293"/>
        <v>4.3</v>
      </c>
      <c r="I2762" s="10">
        <f t="shared" si="294"/>
        <v>5.2</v>
      </c>
      <c r="J2762" s="10">
        <f t="shared" si="295"/>
        <v>7.2</v>
      </c>
      <c r="K2762" s="10">
        <f t="shared" si="296"/>
        <v>5.2</v>
      </c>
      <c r="L2762" s="10">
        <f t="shared" si="297"/>
        <v>149.60000000000002</v>
      </c>
    </row>
    <row r="2763" spans="1:12" x14ac:dyDescent="0.25">
      <c r="A2763" s="7">
        <v>45838</v>
      </c>
      <c r="B2763" t="s">
        <v>598</v>
      </c>
      <c r="C2763" s="6">
        <v>6004</v>
      </c>
      <c r="D2763" s="5" t="s">
        <v>814</v>
      </c>
      <c r="E2763" s="1">
        <v>0.57986111111111116</v>
      </c>
      <c r="F2763" s="1">
        <v>0.66597222222222219</v>
      </c>
      <c r="G2763" s="9">
        <f t="shared" si="292"/>
        <v>45838</v>
      </c>
      <c r="H2763" s="11">
        <f t="shared" si="293"/>
        <v>2.1</v>
      </c>
      <c r="I2763" s="10">
        <f t="shared" si="294"/>
        <v>7.3000000000000007</v>
      </c>
      <c r="J2763" s="10">
        <f t="shared" si="295"/>
        <v>7.2</v>
      </c>
      <c r="K2763" s="10">
        <f t="shared" si="296"/>
        <v>7.3000000000000007</v>
      </c>
      <c r="L2763" s="10">
        <f t="shared" si="297"/>
        <v>151.69999999999999</v>
      </c>
    </row>
    <row r="2764" spans="1:12" x14ac:dyDescent="0.25">
      <c r="A2764" s="7">
        <v>45839</v>
      </c>
      <c r="B2764" t="s">
        <v>598</v>
      </c>
      <c r="C2764" s="6">
        <v>6004</v>
      </c>
      <c r="D2764" s="5" t="s">
        <v>816</v>
      </c>
      <c r="E2764" s="1">
        <v>0.36041666666666666</v>
      </c>
      <c r="F2764" s="1">
        <v>0.45833333333333331</v>
      </c>
      <c r="G2764" s="9">
        <f t="shared" si="292"/>
        <v>45838</v>
      </c>
      <c r="H2764" s="11">
        <f t="shared" si="293"/>
        <v>2.4</v>
      </c>
      <c r="I2764" s="10">
        <f t="shared" si="294"/>
        <v>2.4</v>
      </c>
      <c r="J2764" s="10">
        <f t="shared" si="295"/>
        <v>7.2</v>
      </c>
      <c r="K2764" s="10">
        <f t="shared" si="296"/>
        <v>9.6999999999999993</v>
      </c>
      <c r="L2764" s="10">
        <f t="shared" si="297"/>
        <v>2.4</v>
      </c>
    </row>
    <row r="2765" spans="1:12" x14ac:dyDescent="0.25">
      <c r="A2765" s="7">
        <v>45839</v>
      </c>
      <c r="B2765" s="2" t="s">
        <v>551</v>
      </c>
      <c r="C2765" s="6">
        <v>6184</v>
      </c>
      <c r="D2765" s="5" t="s">
        <v>817</v>
      </c>
      <c r="E2765" s="1">
        <v>0.45833333333333331</v>
      </c>
      <c r="F2765" s="1">
        <v>0.51388888888888884</v>
      </c>
      <c r="G2765" s="9">
        <f t="shared" si="292"/>
        <v>45838</v>
      </c>
      <c r="H2765" s="11">
        <f t="shared" si="293"/>
        <v>1.3</v>
      </c>
      <c r="I2765" s="10">
        <f t="shared" si="294"/>
        <v>3.7</v>
      </c>
      <c r="J2765" s="10">
        <f t="shared" si="295"/>
        <v>7.2</v>
      </c>
      <c r="K2765" s="10">
        <f t="shared" si="296"/>
        <v>11</v>
      </c>
      <c r="L2765" s="10">
        <f t="shared" si="297"/>
        <v>3.7</v>
      </c>
    </row>
    <row r="2766" spans="1:12" x14ac:dyDescent="0.25">
      <c r="A2766" s="7">
        <v>45839</v>
      </c>
      <c r="B2766" t="s">
        <v>598</v>
      </c>
      <c r="C2766" s="6">
        <v>6004</v>
      </c>
      <c r="D2766" s="5" t="s">
        <v>816</v>
      </c>
      <c r="E2766" s="1">
        <v>0.52222222222222225</v>
      </c>
      <c r="F2766" s="1">
        <v>0.64652777777777781</v>
      </c>
      <c r="G2766" s="9">
        <f t="shared" si="292"/>
        <v>45838</v>
      </c>
      <c r="H2766" s="11">
        <f t="shared" si="293"/>
        <v>3</v>
      </c>
      <c r="I2766" s="10">
        <f t="shared" si="294"/>
        <v>6.7</v>
      </c>
      <c r="J2766" s="10">
        <f t="shared" si="295"/>
        <v>7.2</v>
      </c>
      <c r="K2766" s="10">
        <f t="shared" si="296"/>
        <v>14</v>
      </c>
      <c r="L2766" s="10">
        <f t="shared" si="297"/>
        <v>6.7</v>
      </c>
    </row>
    <row r="2767" spans="1:12" x14ac:dyDescent="0.25">
      <c r="A2767" s="7">
        <v>45840</v>
      </c>
      <c r="B2767" t="s">
        <v>598</v>
      </c>
      <c r="C2767" s="6">
        <v>6004</v>
      </c>
      <c r="D2767" s="5" t="s">
        <v>816</v>
      </c>
      <c r="E2767" s="1">
        <v>0.36458333333333331</v>
      </c>
      <c r="F2767" s="1">
        <v>0.54166666666666663</v>
      </c>
      <c r="G2767" s="9">
        <f t="shared" si="292"/>
        <v>45838</v>
      </c>
      <c r="H2767" s="11">
        <f t="shared" si="293"/>
        <v>4.3</v>
      </c>
      <c r="I2767" s="10">
        <f t="shared" si="294"/>
        <v>4.3</v>
      </c>
      <c r="J2767" s="10">
        <f t="shared" si="295"/>
        <v>7.2</v>
      </c>
      <c r="K2767" s="10">
        <f t="shared" si="296"/>
        <v>18.3</v>
      </c>
      <c r="L2767" s="10">
        <f t="shared" si="297"/>
        <v>11</v>
      </c>
    </row>
    <row r="2768" spans="1:12" x14ac:dyDescent="0.25">
      <c r="A2768" s="7">
        <v>45840</v>
      </c>
      <c r="B2768" t="s">
        <v>6</v>
      </c>
      <c r="C2768" s="6" t="s">
        <v>416</v>
      </c>
      <c r="D2768" s="5" t="s">
        <v>553</v>
      </c>
      <c r="E2768" s="1">
        <v>0.54166666666666663</v>
      </c>
      <c r="F2768" s="1">
        <v>0.57916666666666672</v>
      </c>
      <c r="G2768" s="9">
        <f t="shared" si="292"/>
        <v>45838</v>
      </c>
      <c r="H2768" s="11">
        <f t="shared" si="293"/>
        <v>0.9</v>
      </c>
      <c r="I2768" s="10">
        <f t="shared" si="294"/>
        <v>5.2</v>
      </c>
      <c r="J2768" s="10">
        <f t="shared" si="295"/>
        <v>7.2</v>
      </c>
      <c r="K2768" s="10">
        <f t="shared" si="296"/>
        <v>19.2</v>
      </c>
      <c r="L2768" s="10">
        <f t="shared" si="297"/>
        <v>11.9</v>
      </c>
    </row>
    <row r="2769" spans="1:12" x14ac:dyDescent="0.25">
      <c r="A2769" s="7">
        <v>45840</v>
      </c>
      <c r="B2769" t="s">
        <v>598</v>
      </c>
      <c r="C2769" s="6">
        <v>6004</v>
      </c>
      <c r="D2769" s="5" t="s">
        <v>818</v>
      </c>
      <c r="E2769" s="1">
        <v>0.57916666666666672</v>
      </c>
      <c r="F2769" s="1">
        <v>0.64722222222222225</v>
      </c>
      <c r="G2769" s="9">
        <f t="shared" si="292"/>
        <v>45838</v>
      </c>
      <c r="H2769" s="11">
        <f t="shared" si="293"/>
        <v>1.6</v>
      </c>
      <c r="I2769" s="10">
        <f t="shared" si="294"/>
        <v>6.8000000000000007</v>
      </c>
      <c r="J2769" s="10">
        <f t="shared" si="295"/>
        <v>7.2</v>
      </c>
      <c r="K2769" s="10">
        <f t="shared" si="296"/>
        <v>20.8</v>
      </c>
      <c r="L2769" s="10">
        <f t="shared" si="297"/>
        <v>13.5</v>
      </c>
    </row>
    <row r="2770" spans="1:12" x14ac:dyDescent="0.25">
      <c r="A2770" s="7">
        <v>45841</v>
      </c>
      <c r="B2770" t="s">
        <v>598</v>
      </c>
      <c r="C2770" s="6">
        <v>6004</v>
      </c>
      <c r="D2770" s="5" t="s">
        <v>818</v>
      </c>
      <c r="E2770" s="1">
        <v>0.34791666666666665</v>
      </c>
      <c r="F2770" s="1">
        <v>0.64236111111111116</v>
      </c>
      <c r="G2770" s="9">
        <f t="shared" si="292"/>
        <v>45838</v>
      </c>
      <c r="H2770" s="11">
        <f t="shared" si="293"/>
        <v>7.1</v>
      </c>
      <c r="I2770" s="10">
        <f t="shared" si="294"/>
        <v>7.1</v>
      </c>
      <c r="J2770" s="10">
        <f t="shared" si="295"/>
        <v>7.2</v>
      </c>
      <c r="K2770" s="10">
        <f t="shared" si="296"/>
        <v>27.9</v>
      </c>
      <c r="L2770" s="10">
        <f t="shared" si="297"/>
        <v>20.6</v>
      </c>
    </row>
    <row r="2771" spans="1:12" x14ac:dyDescent="0.25">
      <c r="A2771" s="7">
        <v>45842</v>
      </c>
      <c r="B2771" t="s">
        <v>598</v>
      </c>
      <c r="C2771" s="6">
        <v>6004</v>
      </c>
      <c r="D2771" s="5" t="s">
        <v>818</v>
      </c>
      <c r="E2771" s="1">
        <v>0.33611111111111114</v>
      </c>
      <c r="F2771" s="1">
        <v>0.47222222222222221</v>
      </c>
      <c r="G2771" s="9">
        <f t="shared" si="292"/>
        <v>45838</v>
      </c>
      <c r="H2771" s="11">
        <f t="shared" si="293"/>
        <v>3.3</v>
      </c>
      <c r="I2771" s="10">
        <f t="shared" si="294"/>
        <v>3.3</v>
      </c>
      <c r="J2771" s="10">
        <f t="shared" si="295"/>
        <v>7.2</v>
      </c>
      <c r="K2771" s="10">
        <f t="shared" si="296"/>
        <v>31.2</v>
      </c>
      <c r="L2771" s="10">
        <f t="shared" si="297"/>
        <v>23.900000000000002</v>
      </c>
    </row>
    <row r="2772" spans="1:12" x14ac:dyDescent="0.25">
      <c r="A2772" s="7">
        <v>45842</v>
      </c>
      <c r="B2772" t="s">
        <v>598</v>
      </c>
      <c r="C2772" s="6">
        <v>6004</v>
      </c>
      <c r="D2772" s="5" t="s">
        <v>816</v>
      </c>
      <c r="E2772" s="1">
        <v>0.49513888888888891</v>
      </c>
      <c r="F2772" s="1">
        <v>0.63680555555555551</v>
      </c>
      <c r="G2772" s="9">
        <f t="shared" si="292"/>
        <v>45838</v>
      </c>
      <c r="H2772" s="11">
        <f t="shared" si="293"/>
        <v>3.4</v>
      </c>
      <c r="I2772" s="10">
        <f t="shared" si="294"/>
        <v>6.6999999999999993</v>
      </c>
      <c r="J2772" s="10">
        <f t="shared" si="295"/>
        <v>7.2</v>
      </c>
      <c r="K2772" s="10">
        <f t="shared" si="296"/>
        <v>34.6</v>
      </c>
      <c r="L2772" s="10">
        <f t="shared" si="297"/>
        <v>27.299999999999997</v>
      </c>
    </row>
    <row r="2773" spans="1:12" x14ac:dyDescent="0.25">
      <c r="A2773" s="7">
        <v>45845</v>
      </c>
      <c r="B2773" t="s">
        <v>6</v>
      </c>
      <c r="C2773" s="6" t="s">
        <v>416</v>
      </c>
      <c r="D2773" s="5" t="s">
        <v>104</v>
      </c>
      <c r="E2773" s="1">
        <v>0.36527777777777776</v>
      </c>
      <c r="F2773" s="1">
        <v>0.39027777777777778</v>
      </c>
      <c r="G2773" s="9">
        <f t="shared" si="292"/>
        <v>45845</v>
      </c>
      <c r="H2773" s="11">
        <f t="shared" si="293"/>
        <v>0.6</v>
      </c>
      <c r="I2773" s="10">
        <f t="shared" si="294"/>
        <v>0.6</v>
      </c>
      <c r="J2773" s="10">
        <f t="shared" si="295"/>
        <v>7.2</v>
      </c>
      <c r="K2773" s="10">
        <f t="shared" si="296"/>
        <v>0.6</v>
      </c>
      <c r="L2773" s="10">
        <f t="shared" si="297"/>
        <v>27.900000000000002</v>
      </c>
    </row>
    <row r="2774" spans="1:12" x14ac:dyDescent="0.25">
      <c r="A2774" s="7">
        <v>45845</v>
      </c>
      <c r="B2774" t="s">
        <v>598</v>
      </c>
      <c r="C2774" s="6">
        <v>6004</v>
      </c>
      <c r="D2774" s="5" t="s">
        <v>816</v>
      </c>
      <c r="E2774" s="1">
        <v>0.39027777777777778</v>
      </c>
      <c r="F2774" s="1">
        <v>0.625</v>
      </c>
      <c r="G2774" s="9">
        <f t="shared" si="292"/>
        <v>45845</v>
      </c>
      <c r="H2774" s="11">
        <f t="shared" si="293"/>
        <v>5.6</v>
      </c>
      <c r="I2774" s="10">
        <f t="shared" si="294"/>
        <v>6.1999999999999993</v>
      </c>
      <c r="J2774" s="10">
        <f t="shared" si="295"/>
        <v>7.2</v>
      </c>
      <c r="K2774" s="10">
        <f t="shared" si="296"/>
        <v>6.1999999999999993</v>
      </c>
      <c r="L2774" s="10">
        <f t="shared" si="297"/>
        <v>33.5</v>
      </c>
    </row>
    <row r="2775" spans="1:12" x14ac:dyDescent="0.25">
      <c r="A2775" s="7">
        <v>45845</v>
      </c>
      <c r="B2775" s="2" t="s">
        <v>579</v>
      </c>
      <c r="C2775" s="6">
        <v>2682</v>
      </c>
      <c r="D2775" s="5" t="s">
        <v>44</v>
      </c>
      <c r="E2775" s="1">
        <v>0.625</v>
      </c>
      <c r="F2775" s="1">
        <v>0.67777777777777781</v>
      </c>
      <c r="G2775" s="9">
        <f t="shared" si="292"/>
        <v>45845</v>
      </c>
      <c r="H2775" s="11">
        <f t="shared" si="293"/>
        <v>1.3</v>
      </c>
      <c r="I2775" s="10">
        <f t="shared" si="294"/>
        <v>7.5</v>
      </c>
      <c r="J2775" s="10">
        <f t="shared" si="295"/>
        <v>7.2</v>
      </c>
      <c r="K2775" s="10">
        <f t="shared" si="296"/>
        <v>7.5</v>
      </c>
      <c r="L2775" s="10">
        <f t="shared" si="297"/>
        <v>34.799999999999997</v>
      </c>
    </row>
    <row r="2776" spans="1:12" x14ac:dyDescent="0.25">
      <c r="A2776" s="7">
        <v>45846</v>
      </c>
      <c r="B2776" t="s">
        <v>598</v>
      </c>
      <c r="C2776" s="6">
        <v>6004</v>
      </c>
      <c r="D2776" s="5" t="s">
        <v>816</v>
      </c>
      <c r="E2776" s="1">
        <v>0.37083333333333335</v>
      </c>
      <c r="F2776" s="1">
        <v>0.45833333333333331</v>
      </c>
      <c r="G2776" s="9">
        <f t="shared" si="292"/>
        <v>45845</v>
      </c>
      <c r="H2776" s="11">
        <f t="shared" si="293"/>
        <v>2.1</v>
      </c>
      <c r="I2776" s="10">
        <f t="shared" si="294"/>
        <v>2.1</v>
      </c>
      <c r="J2776" s="10">
        <f t="shared" si="295"/>
        <v>7.2</v>
      </c>
      <c r="K2776" s="10">
        <f t="shared" si="296"/>
        <v>9.6</v>
      </c>
      <c r="L2776" s="10">
        <f t="shared" si="297"/>
        <v>36.9</v>
      </c>
    </row>
    <row r="2777" spans="1:12" x14ac:dyDescent="0.25">
      <c r="A2777" s="7">
        <v>45846</v>
      </c>
      <c r="B2777" s="2" t="s">
        <v>464</v>
      </c>
      <c r="C2777" s="6">
        <v>2431</v>
      </c>
      <c r="D2777" s="5" t="s">
        <v>32</v>
      </c>
      <c r="E2777" s="1">
        <v>0.45833333333333331</v>
      </c>
      <c r="F2777" s="1">
        <v>0.48819444444444443</v>
      </c>
      <c r="G2777" s="9">
        <f t="shared" si="292"/>
        <v>45845</v>
      </c>
      <c r="H2777" s="11">
        <f t="shared" si="293"/>
        <v>0.7</v>
      </c>
      <c r="I2777" s="10">
        <f t="shared" si="294"/>
        <v>2.8</v>
      </c>
      <c r="J2777" s="10">
        <f t="shared" si="295"/>
        <v>7.2</v>
      </c>
      <c r="K2777" s="10">
        <f t="shared" si="296"/>
        <v>10.299999999999999</v>
      </c>
      <c r="L2777" s="10">
        <f t="shared" si="297"/>
        <v>37.6</v>
      </c>
    </row>
    <row r="2778" spans="1:12" x14ac:dyDescent="0.25">
      <c r="A2778" s="7">
        <v>45846</v>
      </c>
      <c r="B2778" t="s">
        <v>598</v>
      </c>
      <c r="C2778" s="6">
        <v>6004</v>
      </c>
      <c r="D2778" s="5" t="s">
        <v>816</v>
      </c>
      <c r="E2778" s="1">
        <v>0.48819444444444443</v>
      </c>
      <c r="F2778" s="1">
        <v>0.64375000000000004</v>
      </c>
      <c r="G2778" s="9">
        <f t="shared" si="292"/>
        <v>45845</v>
      </c>
      <c r="H2778" s="11">
        <f t="shared" si="293"/>
        <v>3.7</v>
      </c>
      <c r="I2778" s="10">
        <f t="shared" si="294"/>
        <v>6.5</v>
      </c>
      <c r="J2778" s="10">
        <f t="shared" si="295"/>
        <v>7.2</v>
      </c>
      <c r="K2778" s="10">
        <f t="shared" si="296"/>
        <v>14</v>
      </c>
      <c r="L2778" s="10">
        <f t="shared" si="297"/>
        <v>41.300000000000004</v>
      </c>
    </row>
    <row r="2779" spans="1:12" x14ac:dyDescent="0.25">
      <c r="A2779" s="7">
        <v>45847</v>
      </c>
      <c r="B2779" s="2" t="s">
        <v>579</v>
      </c>
      <c r="C2779" s="6">
        <v>2682</v>
      </c>
      <c r="D2779" s="5" t="s">
        <v>819</v>
      </c>
      <c r="E2779" s="1">
        <v>0.37013888888888891</v>
      </c>
      <c r="F2779" s="1">
        <v>0.5</v>
      </c>
      <c r="G2779" s="9">
        <f t="shared" si="292"/>
        <v>45845</v>
      </c>
      <c r="H2779" s="11">
        <f t="shared" si="293"/>
        <v>3.1</v>
      </c>
      <c r="I2779" s="10">
        <f t="shared" si="294"/>
        <v>3.1</v>
      </c>
      <c r="J2779" s="10">
        <f t="shared" si="295"/>
        <v>7.2</v>
      </c>
      <c r="K2779" s="10">
        <f t="shared" si="296"/>
        <v>17.100000000000001</v>
      </c>
      <c r="L2779" s="10">
        <f t="shared" si="297"/>
        <v>44.4</v>
      </c>
    </row>
    <row r="2780" spans="1:12" x14ac:dyDescent="0.25">
      <c r="A2780" s="7">
        <v>45847</v>
      </c>
      <c r="B2780" t="s">
        <v>6</v>
      </c>
      <c r="C2780" s="6" t="s">
        <v>416</v>
      </c>
      <c r="D2780" s="5" t="s">
        <v>820</v>
      </c>
      <c r="E2780" s="1">
        <v>0.5</v>
      </c>
      <c r="F2780" s="1">
        <v>0.54166666666666663</v>
      </c>
      <c r="G2780" s="9">
        <f t="shared" si="292"/>
        <v>45845</v>
      </c>
      <c r="H2780" s="11">
        <f t="shared" si="293"/>
        <v>1</v>
      </c>
      <c r="I2780" s="10">
        <f t="shared" si="294"/>
        <v>4.0999999999999996</v>
      </c>
      <c r="J2780" s="10">
        <f t="shared" si="295"/>
        <v>7.2</v>
      </c>
      <c r="K2780" s="10">
        <f t="shared" si="296"/>
        <v>18.100000000000001</v>
      </c>
      <c r="L2780" s="10">
        <f t="shared" si="297"/>
        <v>45.4</v>
      </c>
    </row>
    <row r="2781" spans="1:12" x14ac:dyDescent="0.25">
      <c r="A2781" s="7">
        <v>45847</v>
      </c>
      <c r="B2781" s="2" t="s">
        <v>579</v>
      </c>
      <c r="C2781" s="6">
        <v>2682</v>
      </c>
      <c r="D2781" s="5" t="s">
        <v>819</v>
      </c>
      <c r="E2781" s="1">
        <v>0.54166666666666663</v>
      </c>
      <c r="F2781" s="1">
        <v>0.63958333333333328</v>
      </c>
      <c r="G2781" s="9">
        <f t="shared" si="292"/>
        <v>45845</v>
      </c>
      <c r="H2781" s="11">
        <f t="shared" si="293"/>
        <v>2.4</v>
      </c>
      <c r="I2781" s="10">
        <f t="shared" si="294"/>
        <v>6.5</v>
      </c>
      <c r="J2781" s="10">
        <f t="shared" si="295"/>
        <v>7.2</v>
      </c>
      <c r="K2781" s="10">
        <f t="shared" si="296"/>
        <v>20.5</v>
      </c>
      <c r="L2781" s="10">
        <f t="shared" si="297"/>
        <v>47.8</v>
      </c>
    </row>
    <row r="2782" spans="1:12" x14ac:dyDescent="0.25">
      <c r="A2782" s="7">
        <v>45848</v>
      </c>
      <c r="B2782" s="2" t="s">
        <v>579</v>
      </c>
      <c r="C2782" s="6">
        <v>2682</v>
      </c>
      <c r="D2782" s="5" t="s">
        <v>819</v>
      </c>
      <c r="E2782" s="1">
        <v>0.34791666666666665</v>
      </c>
      <c r="F2782" s="1">
        <v>0.375</v>
      </c>
      <c r="G2782" s="9">
        <f t="shared" si="292"/>
        <v>45845</v>
      </c>
      <c r="H2782" s="11">
        <f t="shared" si="293"/>
        <v>0.7</v>
      </c>
      <c r="I2782" s="10">
        <f t="shared" si="294"/>
        <v>0.7</v>
      </c>
      <c r="J2782" s="10">
        <f t="shared" si="295"/>
        <v>7.2</v>
      </c>
      <c r="K2782" s="10">
        <f t="shared" si="296"/>
        <v>21.2</v>
      </c>
      <c r="L2782" s="10">
        <f t="shared" si="297"/>
        <v>48.5</v>
      </c>
    </row>
    <row r="2783" spans="1:12" x14ac:dyDescent="0.25">
      <c r="A2783" s="7">
        <v>45848</v>
      </c>
      <c r="B2783" t="s">
        <v>6</v>
      </c>
      <c r="C2783" s="6" t="s">
        <v>416</v>
      </c>
      <c r="D2783" s="5" t="s">
        <v>71</v>
      </c>
      <c r="E2783" s="1">
        <v>0.375</v>
      </c>
      <c r="F2783" s="1">
        <v>0.41736111111111113</v>
      </c>
      <c r="G2783" s="9">
        <f t="shared" si="292"/>
        <v>45845</v>
      </c>
      <c r="H2783" s="11">
        <f t="shared" si="293"/>
        <v>1</v>
      </c>
      <c r="I2783" s="10">
        <f t="shared" si="294"/>
        <v>1.7</v>
      </c>
      <c r="J2783" s="10">
        <f t="shared" si="295"/>
        <v>7.2</v>
      </c>
      <c r="K2783" s="10">
        <f t="shared" si="296"/>
        <v>22.2</v>
      </c>
      <c r="L2783" s="10">
        <f t="shared" si="297"/>
        <v>49.5</v>
      </c>
    </row>
    <row r="2784" spans="1:12" x14ac:dyDescent="0.25">
      <c r="A2784" s="7">
        <v>45848</v>
      </c>
      <c r="B2784" s="2" t="s">
        <v>579</v>
      </c>
      <c r="C2784" s="6">
        <v>2682</v>
      </c>
      <c r="D2784" s="5" t="s">
        <v>819</v>
      </c>
      <c r="E2784" s="1">
        <v>0.41736111111111113</v>
      </c>
      <c r="F2784" s="1">
        <v>0.63749999999999996</v>
      </c>
      <c r="G2784" s="9">
        <f t="shared" si="292"/>
        <v>45845</v>
      </c>
      <c r="H2784" s="11">
        <f t="shared" si="293"/>
        <v>5.3</v>
      </c>
      <c r="I2784" s="10">
        <f t="shared" si="294"/>
        <v>7</v>
      </c>
      <c r="J2784" s="10">
        <f t="shared" si="295"/>
        <v>7.2</v>
      </c>
      <c r="K2784" s="10">
        <f t="shared" si="296"/>
        <v>27.5</v>
      </c>
      <c r="L2784" s="10">
        <f t="shared" si="297"/>
        <v>54.8</v>
      </c>
    </row>
    <row r="2785" spans="1:12" x14ac:dyDescent="0.25">
      <c r="A2785" s="7">
        <v>45849</v>
      </c>
      <c r="B2785" s="2" t="s">
        <v>579</v>
      </c>
      <c r="C2785" s="6">
        <v>2682</v>
      </c>
      <c r="D2785" s="5" t="s">
        <v>819</v>
      </c>
      <c r="E2785" s="1">
        <v>0.33333333333333331</v>
      </c>
      <c r="F2785" s="1">
        <v>0.65555555555555556</v>
      </c>
      <c r="G2785" s="9">
        <f t="shared" si="292"/>
        <v>45845</v>
      </c>
      <c r="H2785" s="11">
        <f t="shared" si="293"/>
        <v>7.7</v>
      </c>
      <c r="I2785" s="10">
        <f t="shared" si="294"/>
        <v>7.7</v>
      </c>
      <c r="J2785" s="10">
        <f t="shared" si="295"/>
        <v>7.2</v>
      </c>
      <c r="K2785" s="10">
        <f t="shared" si="296"/>
        <v>35.200000000000003</v>
      </c>
      <c r="L2785" s="10">
        <f t="shared" si="297"/>
        <v>62.5</v>
      </c>
    </row>
    <row r="2786" spans="1:12" x14ac:dyDescent="0.25">
      <c r="A2786" s="7">
        <v>45850</v>
      </c>
      <c r="B2786" s="2" t="s">
        <v>579</v>
      </c>
      <c r="C2786" s="6">
        <v>2682</v>
      </c>
      <c r="D2786" s="5" t="s">
        <v>819</v>
      </c>
      <c r="E2786" s="1">
        <v>0.31944444444444442</v>
      </c>
      <c r="F2786" s="1">
        <v>0.375</v>
      </c>
      <c r="G2786" s="9">
        <f t="shared" si="292"/>
        <v>45845</v>
      </c>
      <c r="H2786" s="11">
        <f t="shared" si="293"/>
        <v>1.3</v>
      </c>
      <c r="I2786" s="10">
        <f t="shared" si="294"/>
        <v>1.3</v>
      </c>
      <c r="J2786" s="10">
        <f t="shared" si="295"/>
        <v>7.2</v>
      </c>
      <c r="K2786" s="10">
        <f t="shared" si="296"/>
        <v>36.5</v>
      </c>
      <c r="L2786" s="10">
        <f t="shared" si="297"/>
        <v>63.8</v>
      </c>
    </row>
    <row r="2787" spans="1:12" x14ac:dyDescent="0.25">
      <c r="A2787" s="7">
        <v>45852</v>
      </c>
      <c r="B2787" s="2" t="s">
        <v>579</v>
      </c>
      <c r="C2787" s="6">
        <v>2682</v>
      </c>
      <c r="D2787" s="5" t="s">
        <v>819</v>
      </c>
      <c r="E2787" s="1">
        <v>0.35416666666666669</v>
      </c>
      <c r="F2787" s="1">
        <v>0.47916666666666669</v>
      </c>
      <c r="G2787" s="9">
        <f t="shared" si="292"/>
        <v>45852</v>
      </c>
      <c r="H2787" s="11">
        <f t="shared" si="293"/>
        <v>3</v>
      </c>
      <c r="I2787" s="10">
        <f t="shared" si="294"/>
        <v>3</v>
      </c>
      <c r="J2787" s="10">
        <f t="shared" si="295"/>
        <v>7.2</v>
      </c>
      <c r="K2787" s="10">
        <f t="shared" si="296"/>
        <v>3</v>
      </c>
      <c r="L2787" s="10">
        <f t="shared" si="297"/>
        <v>66.8</v>
      </c>
    </row>
    <row r="2788" spans="1:12" x14ac:dyDescent="0.25">
      <c r="A2788" s="7">
        <v>45852</v>
      </c>
      <c r="B2788" s="2" t="s">
        <v>579</v>
      </c>
      <c r="C2788" s="6">
        <v>2682</v>
      </c>
      <c r="D2788" s="5" t="s">
        <v>819</v>
      </c>
      <c r="E2788" s="1">
        <v>0.5</v>
      </c>
      <c r="F2788" s="1">
        <v>0.67291666666666672</v>
      </c>
      <c r="G2788" s="9">
        <f t="shared" si="292"/>
        <v>45852</v>
      </c>
      <c r="H2788" s="11">
        <f t="shared" si="293"/>
        <v>4.2</v>
      </c>
      <c r="I2788" s="10">
        <f t="shared" si="294"/>
        <v>7.2</v>
      </c>
      <c r="J2788" s="10">
        <f t="shared" si="295"/>
        <v>7.2</v>
      </c>
      <c r="K2788" s="10">
        <f t="shared" si="296"/>
        <v>7.2</v>
      </c>
      <c r="L2788" s="10">
        <f t="shared" si="297"/>
        <v>71</v>
      </c>
    </row>
    <row r="2789" spans="1:12" x14ac:dyDescent="0.25">
      <c r="A2789" s="7">
        <v>45853</v>
      </c>
      <c r="B2789" s="2" t="s">
        <v>579</v>
      </c>
      <c r="C2789" s="6">
        <v>2682</v>
      </c>
      <c r="D2789" s="5" t="s">
        <v>819</v>
      </c>
      <c r="E2789" s="1">
        <v>0.34027777777777779</v>
      </c>
      <c r="F2789" s="1">
        <v>0.46805555555555556</v>
      </c>
      <c r="G2789" s="9">
        <f t="shared" si="292"/>
        <v>45852</v>
      </c>
      <c r="H2789" s="11">
        <f t="shared" si="293"/>
        <v>3.1</v>
      </c>
      <c r="I2789" s="10">
        <f t="shared" si="294"/>
        <v>3.1</v>
      </c>
      <c r="J2789" s="10">
        <f t="shared" si="295"/>
        <v>7.2</v>
      </c>
      <c r="K2789" s="10">
        <f t="shared" si="296"/>
        <v>10.3</v>
      </c>
      <c r="L2789" s="10">
        <f t="shared" si="297"/>
        <v>74.099999999999994</v>
      </c>
    </row>
    <row r="2790" spans="1:12" x14ac:dyDescent="0.25">
      <c r="A2790" s="7">
        <v>45853</v>
      </c>
      <c r="B2790" s="2" t="s">
        <v>464</v>
      </c>
      <c r="C2790" s="6">
        <v>2431</v>
      </c>
      <c r="D2790" s="5" t="s">
        <v>821</v>
      </c>
      <c r="E2790" s="1">
        <v>0.46805555555555556</v>
      </c>
      <c r="F2790" s="1">
        <v>0.48402777777777778</v>
      </c>
      <c r="G2790" s="9">
        <f t="shared" si="292"/>
        <v>45852</v>
      </c>
      <c r="H2790" s="11">
        <f t="shared" si="293"/>
        <v>0.4</v>
      </c>
      <c r="I2790" s="10">
        <f t="shared" si="294"/>
        <v>3.5</v>
      </c>
      <c r="J2790" s="10">
        <f t="shared" si="295"/>
        <v>7.2</v>
      </c>
      <c r="K2790" s="10">
        <f t="shared" si="296"/>
        <v>10.700000000000001</v>
      </c>
      <c r="L2790" s="10">
        <f t="shared" si="297"/>
        <v>74.5</v>
      </c>
    </row>
    <row r="2791" spans="1:12" x14ac:dyDescent="0.25">
      <c r="A2791" s="7">
        <v>45853</v>
      </c>
      <c r="B2791" s="2" t="s">
        <v>464</v>
      </c>
      <c r="C2791" s="6">
        <v>2431</v>
      </c>
      <c r="D2791" s="5" t="s">
        <v>821</v>
      </c>
      <c r="E2791" s="1">
        <v>0.50277777777777777</v>
      </c>
      <c r="F2791" s="1">
        <v>0.64097222222222228</v>
      </c>
      <c r="G2791" s="9">
        <f t="shared" si="292"/>
        <v>45852</v>
      </c>
      <c r="H2791" s="11">
        <f t="shared" si="293"/>
        <v>3.3</v>
      </c>
      <c r="I2791" s="10">
        <f t="shared" si="294"/>
        <v>6.8</v>
      </c>
      <c r="J2791" s="10">
        <f t="shared" si="295"/>
        <v>7.2</v>
      </c>
      <c r="K2791" s="10">
        <f t="shared" si="296"/>
        <v>14</v>
      </c>
      <c r="L2791" s="10">
        <f t="shared" si="297"/>
        <v>77.8</v>
      </c>
    </row>
    <row r="2792" spans="1:12" x14ac:dyDescent="0.25">
      <c r="A2792" s="7">
        <v>45854</v>
      </c>
      <c r="B2792" s="2" t="s">
        <v>579</v>
      </c>
      <c r="C2792" s="6">
        <v>2682</v>
      </c>
      <c r="D2792" s="5" t="s">
        <v>819</v>
      </c>
      <c r="E2792" s="1">
        <v>0.35694444444444445</v>
      </c>
      <c r="F2792" s="1">
        <v>0.54166666666666663</v>
      </c>
      <c r="G2792" s="9">
        <f t="shared" si="292"/>
        <v>45852</v>
      </c>
      <c r="H2792" s="11">
        <f t="shared" si="293"/>
        <v>4.4000000000000004</v>
      </c>
      <c r="I2792" s="10">
        <f t="shared" si="294"/>
        <v>4.4000000000000004</v>
      </c>
      <c r="J2792" s="10">
        <f t="shared" si="295"/>
        <v>7.2</v>
      </c>
      <c r="K2792" s="10">
        <f t="shared" si="296"/>
        <v>18.399999999999999</v>
      </c>
      <c r="L2792" s="10">
        <f t="shared" si="297"/>
        <v>82.2</v>
      </c>
    </row>
    <row r="2793" spans="1:12" x14ac:dyDescent="0.25">
      <c r="A2793" s="7">
        <v>45854</v>
      </c>
      <c r="B2793" t="s">
        <v>6</v>
      </c>
      <c r="C2793" s="6" t="s">
        <v>416</v>
      </c>
      <c r="D2793" s="5" t="s">
        <v>553</v>
      </c>
      <c r="E2793" s="1">
        <v>0.54166666666666663</v>
      </c>
      <c r="F2793" s="1">
        <v>0.58333333333333337</v>
      </c>
      <c r="G2793" s="9">
        <f t="shared" si="292"/>
        <v>45852</v>
      </c>
      <c r="H2793" s="11">
        <f t="shared" si="293"/>
        <v>1</v>
      </c>
      <c r="I2793" s="10">
        <f t="shared" si="294"/>
        <v>5.4</v>
      </c>
      <c r="J2793" s="10">
        <f t="shared" si="295"/>
        <v>7.2</v>
      </c>
      <c r="K2793" s="10">
        <f t="shared" si="296"/>
        <v>19.399999999999999</v>
      </c>
      <c r="L2793" s="10">
        <f t="shared" si="297"/>
        <v>83.2</v>
      </c>
    </row>
    <row r="2794" spans="1:12" x14ac:dyDescent="0.25">
      <c r="A2794" s="7">
        <v>45854</v>
      </c>
      <c r="B2794" s="2" t="s">
        <v>579</v>
      </c>
      <c r="C2794" s="6">
        <v>2682</v>
      </c>
      <c r="D2794" s="5" t="s">
        <v>819</v>
      </c>
      <c r="E2794" s="1">
        <v>0.58333333333333337</v>
      </c>
      <c r="F2794" s="1">
        <v>0.66527777777777775</v>
      </c>
      <c r="G2794" s="9">
        <f t="shared" si="292"/>
        <v>45852</v>
      </c>
      <c r="H2794" s="11">
        <f t="shared" si="293"/>
        <v>2</v>
      </c>
      <c r="I2794" s="10">
        <f t="shared" si="294"/>
        <v>7.4</v>
      </c>
      <c r="J2794" s="10">
        <f t="shared" si="295"/>
        <v>7.2</v>
      </c>
      <c r="K2794" s="10">
        <f t="shared" si="296"/>
        <v>21.4</v>
      </c>
      <c r="L2794" s="10">
        <f t="shared" si="297"/>
        <v>85.2</v>
      </c>
    </row>
    <row r="2795" spans="1:12" x14ac:dyDescent="0.25">
      <c r="A2795" s="7">
        <v>45855</v>
      </c>
      <c r="B2795" s="2" t="s">
        <v>579</v>
      </c>
      <c r="C2795" s="6">
        <v>2682</v>
      </c>
      <c r="D2795" s="5" t="s">
        <v>819</v>
      </c>
      <c r="E2795" s="1">
        <v>0.33888888888888891</v>
      </c>
      <c r="F2795" s="1">
        <v>0.51388888888888884</v>
      </c>
      <c r="G2795" s="9">
        <f t="shared" si="292"/>
        <v>45852</v>
      </c>
      <c r="H2795" s="11">
        <f t="shared" si="293"/>
        <v>4.2</v>
      </c>
      <c r="I2795" s="10">
        <f t="shared" si="294"/>
        <v>4.2</v>
      </c>
      <c r="J2795" s="10">
        <f t="shared" si="295"/>
        <v>7.2</v>
      </c>
      <c r="K2795" s="10">
        <f t="shared" si="296"/>
        <v>25.599999999999998</v>
      </c>
      <c r="L2795" s="10">
        <f t="shared" si="297"/>
        <v>89.4</v>
      </c>
    </row>
    <row r="2796" spans="1:12" x14ac:dyDescent="0.25">
      <c r="A2796" s="7">
        <v>45855</v>
      </c>
      <c r="B2796" s="2" t="s">
        <v>579</v>
      </c>
      <c r="C2796" s="6">
        <v>2682</v>
      </c>
      <c r="D2796" s="5" t="s">
        <v>819</v>
      </c>
      <c r="E2796" s="1">
        <v>0.53611111111111109</v>
      </c>
      <c r="F2796" s="1">
        <v>0.64513888888888893</v>
      </c>
      <c r="G2796" s="9">
        <f t="shared" si="292"/>
        <v>45852</v>
      </c>
      <c r="H2796" s="11">
        <f t="shared" si="293"/>
        <v>2.6</v>
      </c>
      <c r="I2796" s="10">
        <f t="shared" si="294"/>
        <v>6.8000000000000007</v>
      </c>
      <c r="J2796" s="10">
        <f t="shared" si="295"/>
        <v>7.2</v>
      </c>
      <c r="K2796" s="10">
        <f t="shared" si="296"/>
        <v>28.200000000000003</v>
      </c>
      <c r="L2796" s="10">
        <f t="shared" si="297"/>
        <v>92</v>
      </c>
    </row>
    <row r="2797" spans="1:12" x14ac:dyDescent="0.25">
      <c r="A2797" s="7">
        <v>45856</v>
      </c>
      <c r="B2797" t="s">
        <v>598</v>
      </c>
      <c r="C2797" s="6">
        <v>6004</v>
      </c>
      <c r="D2797" s="5" t="s">
        <v>107</v>
      </c>
      <c r="E2797" s="1">
        <v>0.33819444444444446</v>
      </c>
      <c r="F2797" s="1">
        <v>0.42083333333333334</v>
      </c>
      <c r="G2797" s="9">
        <f t="shared" si="292"/>
        <v>45852</v>
      </c>
      <c r="H2797" s="11">
        <f t="shared" si="293"/>
        <v>2</v>
      </c>
      <c r="I2797" s="10">
        <f t="shared" si="294"/>
        <v>2</v>
      </c>
      <c r="J2797" s="10">
        <f t="shared" si="295"/>
        <v>7.2</v>
      </c>
      <c r="K2797" s="10">
        <f t="shared" si="296"/>
        <v>30.2</v>
      </c>
      <c r="L2797" s="10">
        <f t="shared" si="297"/>
        <v>94</v>
      </c>
    </row>
    <row r="2798" spans="1:12" x14ac:dyDescent="0.25">
      <c r="A2798" s="7">
        <v>45856</v>
      </c>
      <c r="B2798" s="2" t="s">
        <v>579</v>
      </c>
      <c r="C2798" s="6">
        <v>2682</v>
      </c>
      <c r="D2798" s="5" t="s">
        <v>678</v>
      </c>
      <c r="E2798" s="1">
        <v>0.42083333333333334</v>
      </c>
      <c r="F2798" s="1">
        <v>0.52222222222222225</v>
      </c>
      <c r="G2798" s="9">
        <f t="shared" si="292"/>
        <v>45852</v>
      </c>
      <c r="H2798" s="11">
        <f t="shared" si="293"/>
        <v>2.4</v>
      </c>
      <c r="I2798" s="10">
        <f t="shared" si="294"/>
        <v>4.4000000000000004</v>
      </c>
      <c r="J2798" s="10">
        <f t="shared" si="295"/>
        <v>7.2</v>
      </c>
      <c r="K2798" s="10">
        <f t="shared" si="296"/>
        <v>32.6</v>
      </c>
      <c r="L2798" s="10">
        <f t="shared" si="297"/>
        <v>96.4</v>
      </c>
    </row>
    <row r="2799" spans="1:12" x14ac:dyDescent="0.25">
      <c r="A2799" s="7">
        <v>45856</v>
      </c>
      <c r="B2799" s="2" t="s">
        <v>579</v>
      </c>
      <c r="C2799" s="6">
        <v>2682</v>
      </c>
      <c r="D2799" s="5" t="s">
        <v>822</v>
      </c>
      <c r="E2799" s="1">
        <v>0.52222222222222225</v>
      </c>
      <c r="F2799" s="1">
        <v>0.66666666666666663</v>
      </c>
      <c r="G2799" s="9">
        <f t="shared" si="292"/>
        <v>45852</v>
      </c>
      <c r="H2799" s="11">
        <f t="shared" si="293"/>
        <v>3.5</v>
      </c>
      <c r="I2799" s="10">
        <f t="shared" si="294"/>
        <v>7.9</v>
      </c>
      <c r="J2799" s="10">
        <f t="shared" si="295"/>
        <v>7.2</v>
      </c>
      <c r="K2799" s="10">
        <f t="shared" si="296"/>
        <v>36.1</v>
      </c>
      <c r="L2799" s="10">
        <f t="shared" si="297"/>
        <v>99.9</v>
      </c>
    </row>
    <row r="2800" spans="1:12" x14ac:dyDescent="0.25">
      <c r="A2800" s="7">
        <v>45859</v>
      </c>
      <c r="B2800" s="2" t="s">
        <v>579</v>
      </c>
      <c r="C2800" s="6">
        <v>2682</v>
      </c>
      <c r="D2800" s="5" t="s">
        <v>90</v>
      </c>
      <c r="E2800" s="1">
        <v>0.34513888888888888</v>
      </c>
      <c r="F2800" s="1">
        <v>0.48819444444444443</v>
      </c>
      <c r="G2800" s="9">
        <f t="shared" si="292"/>
        <v>45859</v>
      </c>
      <c r="H2800" s="11">
        <f t="shared" si="293"/>
        <v>3.4</v>
      </c>
      <c r="I2800" s="10">
        <f t="shared" si="294"/>
        <v>3.4</v>
      </c>
      <c r="J2800" s="10">
        <f t="shared" si="295"/>
        <v>7.2</v>
      </c>
      <c r="K2800" s="10">
        <f t="shared" si="296"/>
        <v>3.4</v>
      </c>
      <c r="L2800" s="10">
        <f t="shared" si="297"/>
        <v>103.30000000000001</v>
      </c>
    </row>
    <row r="2801" spans="1:12" x14ac:dyDescent="0.25">
      <c r="A2801" s="7">
        <v>45859</v>
      </c>
      <c r="B2801" s="2" t="s">
        <v>579</v>
      </c>
      <c r="C2801" s="6">
        <v>2682</v>
      </c>
      <c r="D2801" s="5" t="s">
        <v>90</v>
      </c>
      <c r="E2801" s="1">
        <v>0.51180555555555551</v>
      </c>
      <c r="F2801" s="1">
        <v>0.60624999999999996</v>
      </c>
      <c r="G2801" s="9">
        <f t="shared" si="292"/>
        <v>45859</v>
      </c>
      <c r="H2801" s="11">
        <f t="shared" si="293"/>
        <v>2.2999999999999998</v>
      </c>
      <c r="I2801" s="10">
        <f t="shared" si="294"/>
        <v>5.6999999999999993</v>
      </c>
      <c r="J2801" s="10">
        <f t="shared" si="295"/>
        <v>7.2</v>
      </c>
      <c r="K2801" s="10">
        <f t="shared" si="296"/>
        <v>5.6999999999999993</v>
      </c>
      <c r="L2801" s="10">
        <f t="shared" si="297"/>
        <v>105.6</v>
      </c>
    </row>
    <row r="2802" spans="1:12" x14ac:dyDescent="0.25">
      <c r="A2802" s="7">
        <v>45859</v>
      </c>
      <c r="B2802" s="2" t="s">
        <v>579</v>
      </c>
      <c r="C2802" s="6">
        <v>2682</v>
      </c>
      <c r="D2802" s="5" t="s">
        <v>90</v>
      </c>
      <c r="E2802" s="1">
        <v>0.625</v>
      </c>
      <c r="F2802" s="1">
        <v>0.69166666666666665</v>
      </c>
      <c r="G2802" s="9">
        <f t="shared" si="292"/>
        <v>45859</v>
      </c>
      <c r="H2802" s="11">
        <f t="shared" si="293"/>
        <v>1.6</v>
      </c>
      <c r="I2802" s="10">
        <f t="shared" si="294"/>
        <v>7.3000000000000007</v>
      </c>
      <c r="J2802" s="10">
        <f t="shared" si="295"/>
        <v>7.2</v>
      </c>
      <c r="K2802" s="10">
        <f t="shared" si="296"/>
        <v>7.3000000000000007</v>
      </c>
      <c r="L2802" s="10">
        <f t="shared" si="297"/>
        <v>107.19999999999999</v>
      </c>
    </row>
    <row r="2803" spans="1:12" x14ac:dyDescent="0.25">
      <c r="A2803" s="7">
        <v>45860</v>
      </c>
      <c r="B2803" s="2" t="s">
        <v>579</v>
      </c>
      <c r="C2803" s="6">
        <v>2682</v>
      </c>
      <c r="D2803" s="5" t="s">
        <v>823</v>
      </c>
      <c r="E2803" s="1">
        <v>0.33819444444444446</v>
      </c>
      <c r="F2803" s="1">
        <v>0.62638888888888888</v>
      </c>
      <c r="G2803" s="9">
        <f t="shared" si="292"/>
        <v>45859</v>
      </c>
      <c r="H2803" s="11">
        <f t="shared" si="293"/>
        <v>6.9</v>
      </c>
      <c r="I2803" s="10">
        <f t="shared" si="294"/>
        <v>6.9</v>
      </c>
      <c r="J2803" s="10">
        <f t="shared" si="295"/>
        <v>7.2</v>
      </c>
      <c r="K2803" s="10">
        <f t="shared" si="296"/>
        <v>14.2</v>
      </c>
      <c r="L2803" s="10">
        <f t="shared" si="297"/>
        <v>114.10000000000001</v>
      </c>
    </row>
    <row r="2804" spans="1:12" x14ac:dyDescent="0.25">
      <c r="A2804" s="7">
        <v>45860</v>
      </c>
      <c r="B2804" t="s">
        <v>6</v>
      </c>
      <c r="C2804" s="6" t="s">
        <v>416</v>
      </c>
      <c r="D2804" s="5" t="s">
        <v>330</v>
      </c>
      <c r="E2804" s="1">
        <v>0.62638888888888888</v>
      </c>
      <c r="F2804" s="1">
        <v>0.64027777777777772</v>
      </c>
      <c r="G2804" s="9">
        <f t="shared" si="292"/>
        <v>45859</v>
      </c>
      <c r="H2804" s="11">
        <f t="shared" si="293"/>
        <v>0.3</v>
      </c>
      <c r="I2804" s="10">
        <f t="shared" si="294"/>
        <v>7.2</v>
      </c>
      <c r="J2804" s="10">
        <f t="shared" si="295"/>
        <v>7.2</v>
      </c>
      <c r="K2804" s="10">
        <f t="shared" si="296"/>
        <v>14.5</v>
      </c>
      <c r="L2804" s="10">
        <f t="shared" si="297"/>
        <v>114.39999999999999</v>
      </c>
    </row>
    <row r="2805" spans="1:12" x14ac:dyDescent="0.25">
      <c r="A2805" s="7">
        <v>45861</v>
      </c>
      <c r="B2805" t="s">
        <v>6</v>
      </c>
      <c r="C2805" s="6" t="s">
        <v>416</v>
      </c>
      <c r="D2805" s="5" t="s">
        <v>824</v>
      </c>
      <c r="E2805" s="1">
        <v>0.3659722222222222</v>
      </c>
      <c r="F2805" s="1">
        <v>0.6166666666666667</v>
      </c>
      <c r="G2805" s="9">
        <f t="shared" si="292"/>
        <v>45859</v>
      </c>
      <c r="H2805" s="11">
        <f t="shared" si="293"/>
        <v>6</v>
      </c>
      <c r="I2805" s="10">
        <f t="shared" si="294"/>
        <v>6</v>
      </c>
      <c r="J2805" s="10">
        <f t="shared" si="295"/>
        <v>7.2</v>
      </c>
      <c r="K2805" s="10">
        <f t="shared" si="296"/>
        <v>20.5</v>
      </c>
      <c r="L2805" s="10">
        <f t="shared" si="297"/>
        <v>120.4</v>
      </c>
    </row>
    <row r="2806" spans="1:12" x14ac:dyDescent="0.25">
      <c r="A2806" s="7">
        <v>45861</v>
      </c>
      <c r="B2806" s="2" t="s">
        <v>579</v>
      </c>
      <c r="C2806" s="6">
        <v>2682</v>
      </c>
      <c r="D2806" s="5" t="s">
        <v>825</v>
      </c>
      <c r="E2806" s="1">
        <v>0.6166666666666667</v>
      </c>
      <c r="F2806" s="1">
        <v>0.65208333333333335</v>
      </c>
      <c r="G2806" s="9">
        <f t="shared" si="292"/>
        <v>45859</v>
      </c>
      <c r="H2806" s="11">
        <f t="shared" si="293"/>
        <v>0.9</v>
      </c>
      <c r="I2806" s="10">
        <f t="shared" si="294"/>
        <v>6.9</v>
      </c>
      <c r="J2806" s="10">
        <f t="shared" si="295"/>
        <v>7.2</v>
      </c>
      <c r="K2806" s="10">
        <f t="shared" si="296"/>
        <v>21.4</v>
      </c>
      <c r="L2806" s="10">
        <f t="shared" si="297"/>
        <v>121.30000000000001</v>
      </c>
    </row>
    <row r="2807" spans="1:12" x14ac:dyDescent="0.25">
      <c r="A2807" s="7">
        <v>45862</v>
      </c>
      <c r="B2807" t="s">
        <v>7</v>
      </c>
      <c r="C2807" s="6" t="s">
        <v>22</v>
      </c>
      <c r="D2807" s="2" t="s">
        <v>826</v>
      </c>
      <c r="E2807" s="1">
        <v>0.40972222222222227</v>
      </c>
      <c r="F2807" s="1">
        <v>0.70833333333333337</v>
      </c>
      <c r="G2807" s="9">
        <f t="shared" si="292"/>
        <v>45859</v>
      </c>
      <c r="H2807" s="11">
        <f t="shared" si="293"/>
        <v>7.2</v>
      </c>
      <c r="I2807" s="10">
        <f t="shared" si="294"/>
        <v>7.2</v>
      </c>
      <c r="J2807" s="10">
        <f t="shared" si="295"/>
        <v>7.2</v>
      </c>
      <c r="K2807" s="10">
        <f t="shared" si="296"/>
        <v>28.599999999999998</v>
      </c>
      <c r="L2807" s="10">
        <f t="shared" si="297"/>
        <v>128.5</v>
      </c>
    </row>
    <row r="2808" spans="1:12" x14ac:dyDescent="0.25">
      <c r="A2808" s="7">
        <v>45863</v>
      </c>
      <c r="B2808" t="s">
        <v>598</v>
      </c>
      <c r="C2808" s="6">
        <v>6004</v>
      </c>
      <c r="D2808" s="5" t="s">
        <v>827</v>
      </c>
      <c r="E2808" s="1">
        <v>0.33958333333333335</v>
      </c>
      <c r="F2808" s="1">
        <v>0.47847222222222224</v>
      </c>
      <c r="G2808" s="9">
        <f t="shared" si="292"/>
        <v>45859</v>
      </c>
      <c r="H2808" s="11">
        <f t="shared" si="293"/>
        <v>3.3</v>
      </c>
      <c r="I2808" s="10">
        <f t="shared" si="294"/>
        <v>3.3</v>
      </c>
      <c r="J2808" s="10">
        <f t="shared" si="295"/>
        <v>7.2</v>
      </c>
      <c r="K2808" s="10">
        <f t="shared" si="296"/>
        <v>31.900000000000002</v>
      </c>
      <c r="L2808" s="10">
        <f t="shared" si="297"/>
        <v>131.80000000000001</v>
      </c>
    </row>
    <row r="2809" spans="1:12" x14ac:dyDescent="0.25">
      <c r="A2809" s="7">
        <v>45863</v>
      </c>
      <c r="B2809" t="s">
        <v>598</v>
      </c>
      <c r="C2809" s="6">
        <v>6004</v>
      </c>
      <c r="D2809" s="5" t="s">
        <v>827</v>
      </c>
      <c r="E2809" s="1">
        <v>0.51458333333333328</v>
      </c>
      <c r="F2809" s="1">
        <v>0.67847222222222225</v>
      </c>
      <c r="G2809" s="9">
        <f t="shared" si="292"/>
        <v>45859</v>
      </c>
      <c r="H2809" s="11">
        <f t="shared" si="293"/>
        <v>3.9</v>
      </c>
      <c r="I2809" s="10">
        <f t="shared" si="294"/>
        <v>7.1999999999999993</v>
      </c>
      <c r="J2809" s="10">
        <f t="shared" si="295"/>
        <v>7.2</v>
      </c>
      <c r="K2809" s="10">
        <f t="shared" si="296"/>
        <v>35.799999999999997</v>
      </c>
      <c r="L2809" s="10">
        <f t="shared" si="297"/>
        <v>135.70000000000002</v>
      </c>
    </row>
    <row r="2810" spans="1:12" x14ac:dyDescent="0.25">
      <c r="A2810" s="7">
        <v>45866</v>
      </c>
      <c r="B2810" t="s">
        <v>6</v>
      </c>
      <c r="C2810" s="6" t="s">
        <v>416</v>
      </c>
      <c r="D2810" s="5" t="s">
        <v>104</v>
      </c>
      <c r="E2810" s="1">
        <v>0.31527777777777777</v>
      </c>
      <c r="F2810" s="1">
        <v>0.39583333333333331</v>
      </c>
      <c r="G2810" s="9">
        <f t="shared" si="292"/>
        <v>45866</v>
      </c>
      <c r="H2810" s="11">
        <f t="shared" si="293"/>
        <v>1.9</v>
      </c>
      <c r="I2810" s="10">
        <f t="shared" si="294"/>
        <v>1.9</v>
      </c>
      <c r="J2810" s="10">
        <f t="shared" si="295"/>
        <v>7.2</v>
      </c>
      <c r="K2810" s="10">
        <f t="shared" si="296"/>
        <v>1.9</v>
      </c>
      <c r="L2810" s="10">
        <f t="shared" si="297"/>
        <v>137.6</v>
      </c>
    </row>
    <row r="2811" spans="1:12" x14ac:dyDescent="0.25">
      <c r="A2811" s="7">
        <v>45866</v>
      </c>
      <c r="B2811" s="2" t="s">
        <v>579</v>
      </c>
      <c r="C2811" s="6">
        <v>2682</v>
      </c>
      <c r="D2811" s="5" t="s">
        <v>89</v>
      </c>
      <c r="E2811" s="1">
        <v>0.39583333333333331</v>
      </c>
      <c r="F2811" s="1">
        <v>0.43819444444444444</v>
      </c>
      <c r="G2811" s="9">
        <f t="shared" si="292"/>
        <v>45866</v>
      </c>
      <c r="H2811" s="11">
        <f t="shared" si="293"/>
        <v>1</v>
      </c>
      <c r="I2811" s="10">
        <f t="shared" si="294"/>
        <v>2.9</v>
      </c>
      <c r="J2811" s="10">
        <f t="shared" si="295"/>
        <v>7.2</v>
      </c>
      <c r="K2811" s="10">
        <f t="shared" si="296"/>
        <v>2.9</v>
      </c>
      <c r="L2811" s="10">
        <f t="shared" si="297"/>
        <v>138.6</v>
      </c>
    </row>
    <row r="2812" spans="1:12" x14ac:dyDescent="0.25">
      <c r="A2812" s="7">
        <v>45866</v>
      </c>
      <c r="B2812" s="2" t="s">
        <v>579</v>
      </c>
      <c r="C2812" s="6">
        <v>2682</v>
      </c>
      <c r="D2812" s="5" t="s">
        <v>90</v>
      </c>
      <c r="E2812" s="1">
        <v>0.43819444444444444</v>
      </c>
      <c r="F2812" s="1">
        <v>0.55069444444444449</v>
      </c>
      <c r="G2812" s="9">
        <f t="shared" si="292"/>
        <v>45866</v>
      </c>
      <c r="H2812" s="11">
        <f t="shared" si="293"/>
        <v>2.7</v>
      </c>
      <c r="I2812" s="10">
        <f t="shared" si="294"/>
        <v>5.6</v>
      </c>
      <c r="J2812" s="10">
        <f t="shared" si="295"/>
        <v>7.2</v>
      </c>
      <c r="K2812" s="10">
        <f t="shared" si="296"/>
        <v>5.6</v>
      </c>
      <c r="L2812" s="10">
        <f t="shared" si="297"/>
        <v>141.29999999999998</v>
      </c>
    </row>
    <row r="2813" spans="1:12" x14ac:dyDescent="0.25">
      <c r="A2813" s="7">
        <v>45866</v>
      </c>
      <c r="B2813" t="s">
        <v>598</v>
      </c>
      <c r="C2813" s="6">
        <v>6004</v>
      </c>
      <c r="D2813" s="5" t="s">
        <v>107</v>
      </c>
      <c r="E2813" s="1">
        <v>0.55069444444444449</v>
      </c>
      <c r="F2813" s="1">
        <v>0.58333333333333337</v>
      </c>
      <c r="G2813" s="9">
        <f t="shared" si="292"/>
        <v>45866</v>
      </c>
      <c r="H2813" s="11">
        <f t="shared" si="293"/>
        <v>0.8</v>
      </c>
      <c r="I2813" s="10">
        <f t="shared" si="294"/>
        <v>6.3999999999999995</v>
      </c>
      <c r="J2813" s="10">
        <f t="shared" si="295"/>
        <v>7.2</v>
      </c>
      <c r="K2813" s="10">
        <f t="shared" si="296"/>
        <v>6.3999999999999995</v>
      </c>
      <c r="L2813" s="10">
        <f t="shared" si="297"/>
        <v>142.10000000000002</v>
      </c>
    </row>
    <row r="2814" spans="1:12" x14ac:dyDescent="0.25">
      <c r="A2814" s="7">
        <v>45866</v>
      </c>
      <c r="B2814" t="s">
        <v>598</v>
      </c>
      <c r="C2814" s="6">
        <v>6004</v>
      </c>
      <c r="D2814" s="5" t="s">
        <v>44</v>
      </c>
      <c r="E2814" s="1">
        <v>0.58333333333333337</v>
      </c>
      <c r="F2814" s="1">
        <v>0.60416666666666663</v>
      </c>
      <c r="G2814" s="9">
        <f t="shared" si="292"/>
        <v>45866</v>
      </c>
      <c r="H2814" s="11">
        <f t="shared" si="293"/>
        <v>0.5</v>
      </c>
      <c r="I2814" s="10">
        <f t="shared" si="294"/>
        <v>6.9</v>
      </c>
      <c r="J2814" s="10">
        <f t="shared" si="295"/>
        <v>7.2</v>
      </c>
      <c r="K2814" s="10">
        <f t="shared" si="296"/>
        <v>6.9</v>
      </c>
      <c r="L2814" s="10">
        <f t="shared" si="297"/>
        <v>142.6</v>
      </c>
    </row>
    <row r="2815" spans="1:12" x14ac:dyDescent="0.25">
      <c r="A2815" s="7">
        <v>45866</v>
      </c>
      <c r="B2815" t="s">
        <v>598</v>
      </c>
      <c r="C2815" s="6">
        <v>6004</v>
      </c>
      <c r="D2815" s="5" t="s">
        <v>828</v>
      </c>
      <c r="E2815" s="1">
        <v>0.60416666666666663</v>
      </c>
      <c r="F2815" s="1">
        <v>0.63611111111111107</v>
      </c>
      <c r="G2815" s="9">
        <f t="shared" si="292"/>
        <v>45866</v>
      </c>
      <c r="H2815" s="11">
        <f t="shared" si="293"/>
        <v>0.8</v>
      </c>
      <c r="I2815" s="10">
        <f t="shared" si="294"/>
        <v>7.7</v>
      </c>
      <c r="J2815" s="10">
        <f t="shared" si="295"/>
        <v>7.2</v>
      </c>
      <c r="K2815" s="10">
        <f t="shared" si="296"/>
        <v>7.7</v>
      </c>
      <c r="L2815" s="10">
        <f t="shared" si="297"/>
        <v>143.4</v>
      </c>
    </row>
    <row r="2816" spans="1:12" x14ac:dyDescent="0.25">
      <c r="A2816" s="7">
        <v>45867</v>
      </c>
      <c r="B2816" s="2" t="s">
        <v>579</v>
      </c>
      <c r="C2816" s="6">
        <v>2682</v>
      </c>
      <c r="D2816" s="5" t="s">
        <v>684</v>
      </c>
      <c r="E2816" s="1">
        <v>0.34027777777777779</v>
      </c>
      <c r="F2816" s="1">
        <v>0.48472222222222222</v>
      </c>
      <c r="G2816" s="9">
        <f t="shared" si="292"/>
        <v>45866</v>
      </c>
      <c r="H2816" s="11">
        <f t="shared" si="293"/>
        <v>3.5</v>
      </c>
      <c r="I2816" s="10">
        <f t="shared" si="294"/>
        <v>3.5</v>
      </c>
      <c r="J2816" s="10">
        <f t="shared" si="295"/>
        <v>7.2</v>
      </c>
      <c r="K2816" s="10">
        <f t="shared" si="296"/>
        <v>11.2</v>
      </c>
      <c r="L2816" s="10">
        <f t="shared" si="297"/>
        <v>146.9</v>
      </c>
    </row>
    <row r="2817" spans="1:12" x14ac:dyDescent="0.25">
      <c r="A2817" s="7">
        <v>45867</v>
      </c>
      <c r="B2817" t="s">
        <v>598</v>
      </c>
      <c r="C2817" s="6">
        <v>6004</v>
      </c>
      <c r="D2817" s="5" t="s">
        <v>828</v>
      </c>
      <c r="E2817" s="1">
        <v>0.49930555555555556</v>
      </c>
      <c r="F2817" s="1">
        <v>0.63611111111111107</v>
      </c>
      <c r="G2817" s="9">
        <f t="shared" si="292"/>
        <v>45866</v>
      </c>
      <c r="H2817" s="11">
        <f t="shared" si="293"/>
        <v>3.3</v>
      </c>
      <c r="I2817" s="10">
        <f t="shared" si="294"/>
        <v>6.8</v>
      </c>
      <c r="J2817" s="10">
        <f t="shared" si="295"/>
        <v>7.2</v>
      </c>
      <c r="K2817" s="10">
        <f t="shared" si="296"/>
        <v>14.5</v>
      </c>
      <c r="L2817" s="10">
        <f t="shared" si="297"/>
        <v>150.20000000000002</v>
      </c>
    </row>
    <row r="2818" spans="1:12" x14ac:dyDescent="0.25">
      <c r="A2818" s="7">
        <v>45868</v>
      </c>
      <c r="B2818" t="s">
        <v>598</v>
      </c>
      <c r="C2818" s="6">
        <v>6004</v>
      </c>
      <c r="D2818" s="5" t="s">
        <v>828</v>
      </c>
      <c r="E2818" s="1">
        <v>0.3263888888888889</v>
      </c>
      <c r="F2818" s="1">
        <v>0.37361111111111112</v>
      </c>
      <c r="G2818" s="9">
        <f t="shared" si="292"/>
        <v>45866</v>
      </c>
      <c r="H2818" s="11">
        <f t="shared" si="293"/>
        <v>1.1000000000000001</v>
      </c>
      <c r="I2818" s="10">
        <f t="shared" si="294"/>
        <v>1.1000000000000001</v>
      </c>
      <c r="J2818" s="10">
        <f t="shared" si="295"/>
        <v>7.2</v>
      </c>
      <c r="K2818" s="10">
        <f t="shared" si="296"/>
        <v>15.6</v>
      </c>
      <c r="L2818" s="10">
        <f t="shared" si="297"/>
        <v>151.29999999999998</v>
      </c>
    </row>
    <row r="2819" spans="1:12" x14ac:dyDescent="0.25">
      <c r="A2819" s="7">
        <v>45868</v>
      </c>
      <c r="B2819" s="2" t="s">
        <v>579</v>
      </c>
      <c r="C2819" s="6">
        <v>2682</v>
      </c>
      <c r="D2819" s="5" t="s">
        <v>829</v>
      </c>
      <c r="E2819" s="1">
        <v>0.37361111111111112</v>
      </c>
      <c r="F2819" s="1">
        <v>0.39513888888888887</v>
      </c>
      <c r="G2819" s="9">
        <f t="shared" si="292"/>
        <v>45866</v>
      </c>
      <c r="H2819" s="11">
        <f t="shared" si="293"/>
        <v>0.5</v>
      </c>
      <c r="I2819" s="10">
        <f t="shared" si="294"/>
        <v>1.6</v>
      </c>
      <c r="J2819" s="10">
        <f t="shared" si="295"/>
        <v>7.2</v>
      </c>
      <c r="K2819" s="10">
        <f t="shared" si="296"/>
        <v>16.100000000000001</v>
      </c>
      <c r="L2819" s="10">
        <f t="shared" si="297"/>
        <v>151.80000000000001</v>
      </c>
    </row>
    <row r="2820" spans="1:12" x14ac:dyDescent="0.25">
      <c r="A2820" s="7">
        <v>45868</v>
      </c>
      <c r="B2820" s="2" t="s">
        <v>579</v>
      </c>
      <c r="C2820" s="6">
        <v>2682</v>
      </c>
      <c r="D2820" s="5" t="s">
        <v>90</v>
      </c>
      <c r="E2820" s="1">
        <v>0.42499999999999999</v>
      </c>
      <c r="F2820" s="1">
        <v>0.46111111111111114</v>
      </c>
      <c r="G2820" s="9">
        <f t="shared" si="292"/>
        <v>45866</v>
      </c>
      <c r="H2820" s="11">
        <f t="shared" si="293"/>
        <v>0.9</v>
      </c>
      <c r="I2820" s="10">
        <f t="shared" si="294"/>
        <v>2.5</v>
      </c>
      <c r="J2820" s="10">
        <f t="shared" si="295"/>
        <v>7.2</v>
      </c>
      <c r="K2820" s="10">
        <f t="shared" si="296"/>
        <v>17</v>
      </c>
      <c r="L2820" s="10">
        <f t="shared" si="297"/>
        <v>152.70000000000002</v>
      </c>
    </row>
    <row r="2821" spans="1:12" x14ac:dyDescent="0.25">
      <c r="A2821" s="7">
        <v>45868</v>
      </c>
      <c r="B2821" t="s">
        <v>598</v>
      </c>
      <c r="C2821" s="6">
        <v>6004</v>
      </c>
      <c r="D2821" s="5" t="s">
        <v>828</v>
      </c>
      <c r="E2821" s="1">
        <v>0.46111111111111114</v>
      </c>
      <c r="F2821" s="1">
        <v>0.5</v>
      </c>
      <c r="G2821" s="9">
        <f t="shared" ref="G2821:G2884" si="298">IF(E2821&gt;0,INT((A2821-2)/7)*7+2,"")</f>
        <v>45866</v>
      </c>
      <c r="H2821" s="11">
        <f t="shared" ref="H2821:H2884" si="299">IF(E2821&gt;0,ROUND(24*(IF(F2821&gt;0,F2821,NowTime)-E2821),1),"")</f>
        <v>0.9</v>
      </c>
      <c r="I2821" s="10">
        <f t="shared" ref="I2821:I2884" si="300">IF(H2821="",H2821,H2821+IF(A2821=A2820,_xlfn.NUMBERVALUE(I2820),0))</f>
        <v>3.4</v>
      </c>
      <c r="J2821" s="10">
        <f t="shared" ref="J2821:J2884" si="301">IF(H2821="",H2821,7.2)</f>
        <v>7.2</v>
      </c>
      <c r="K2821" s="10">
        <f t="shared" ref="K2821:K2884" si="302">IF(H2821="",H2821,H2821+IF(G2821=G2820,_xlfn.NUMBERVALUE(K2820),0))</f>
        <v>17.899999999999999</v>
      </c>
      <c r="L2821" s="10">
        <f t="shared" ref="L2821:L2884" si="303">IF(H2821="",H2821,H2821+IF(MONTH(A2821)=MONTH(A2820),_xlfn.NUMBERVALUE(L2820),0))</f>
        <v>153.6</v>
      </c>
    </row>
    <row r="2822" spans="1:12" x14ac:dyDescent="0.25">
      <c r="A2822" s="7">
        <v>45868</v>
      </c>
      <c r="B2822" t="s">
        <v>598</v>
      </c>
      <c r="C2822" s="6">
        <v>6004</v>
      </c>
      <c r="D2822" s="5" t="s">
        <v>828</v>
      </c>
      <c r="E2822" s="1">
        <v>0.5229166666666667</v>
      </c>
      <c r="F2822" s="1">
        <v>0.54166666666666663</v>
      </c>
      <c r="G2822" s="9">
        <f t="shared" si="298"/>
        <v>45866</v>
      </c>
      <c r="H2822" s="11">
        <f t="shared" si="299"/>
        <v>0.4</v>
      </c>
      <c r="I2822" s="10">
        <f t="shared" si="300"/>
        <v>3.8</v>
      </c>
      <c r="J2822" s="10">
        <f t="shared" si="301"/>
        <v>7.2</v>
      </c>
      <c r="K2822" s="10">
        <f t="shared" si="302"/>
        <v>18.299999999999997</v>
      </c>
      <c r="L2822" s="10">
        <f t="shared" si="303"/>
        <v>154</v>
      </c>
    </row>
    <row r="2823" spans="1:12" x14ac:dyDescent="0.25">
      <c r="A2823" s="7">
        <v>45868</v>
      </c>
      <c r="B2823" t="s">
        <v>6</v>
      </c>
      <c r="C2823" s="6" t="s">
        <v>416</v>
      </c>
      <c r="D2823" s="5" t="s">
        <v>58</v>
      </c>
      <c r="E2823" s="1">
        <v>0.54166666666666663</v>
      </c>
      <c r="F2823" s="1">
        <v>0.61388888888888893</v>
      </c>
      <c r="G2823" s="9">
        <f t="shared" si="298"/>
        <v>45866</v>
      </c>
      <c r="H2823" s="11">
        <f t="shared" si="299"/>
        <v>1.7</v>
      </c>
      <c r="I2823" s="10">
        <f t="shared" si="300"/>
        <v>5.5</v>
      </c>
      <c r="J2823" s="10">
        <f t="shared" si="301"/>
        <v>7.2</v>
      </c>
      <c r="K2823" s="10">
        <f t="shared" si="302"/>
        <v>20</v>
      </c>
      <c r="L2823" s="10">
        <f t="shared" si="303"/>
        <v>155.69999999999999</v>
      </c>
    </row>
    <row r="2824" spans="1:12" x14ac:dyDescent="0.25">
      <c r="A2824" s="7">
        <v>45868</v>
      </c>
      <c r="B2824" t="s">
        <v>598</v>
      </c>
      <c r="C2824" s="6">
        <v>6004</v>
      </c>
      <c r="D2824" s="5" t="s">
        <v>828</v>
      </c>
      <c r="E2824" s="1">
        <v>0.65347222222222223</v>
      </c>
      <c r="F2824" s="1">
        <v>0.69791666666666663</v>
      </c>
      <c r="G2824" s="9">
        <f t="shared" si="298"/>
        <v>45866</v>
      </c>
      <c r="H2824" s="11">
        <f t="shared" si="299"/>
        <v>1.1000000000000001</v>
      </c>
      <c r="I2824" s="10">
        <f t="shared" si="300"/>
        <v>6.6</v>
      </c>
      <c r="J2824" s="10">
        <f t="shared" si="301"/>
        <v>7.2</v>
      </c>
      <c r="K2824" s="10">
        <f t="shared" si="302"/>
        <v>21.1</v>
      </c>
      <c r="L2824" s="10">
        <f t="shared" si="303"/>
        <v>156.79999999999998</v>
      </c>
    </row>
    <row r="2825" spans="1:12" x14ac:dyDescent="0.25">
      <c r="A2825" s="7">
        <v>45869</v>
      </c>
      <c r="B2825" s="2" t="s">
        <v>579</v>
      </c>
      <c r="C2825" s="6">
        <v>2682</v>
      </c>
      <c r="D2825" s="5" t="s">
        <v>830</v>
      </c>
      <c r="E2825" s="1">
        <v>0.34097222222222223</v>
      </c>
      <c r="F2825" s="1">
        <v>0.375</v>
      </c>
      <c r="G2825" s="9">
        <f t="shared" si="298"/>
        <v>45866</v>
      </c>
      <c r="H2825" s="11">
        <f t="shared" si="299"/>
        <v>0.8</v>
      </c>
      <c r="I2825" s="10">
        <f t="shared" si="300"/>
        <v>0.8</v>
      </c>
      <c r="J2825" s="10">
        <f t="shared" si="301"/>
        <v>7.2</v>
      </c>
      <c r="K2825" s="10">
        <f t="shared" si="302"/>
        <v>21.900000000000002</v>
      </c>
      <c r="L2825" s="10">
        <f t="shared" si="303"/>
        <v>157.60000000000002</v>
      </c>
    </row>
    <row r="2826" spans="1:12" x14ac:dyDescent="0.25">
      <c r="A2826" s="7">
        <v>45869</v>
      </c>
      <c r="B2826" s="2" t="s">
        <v>551</v>
      </c>
      <c r="C2826" s="6">
        <v>6184</v>
      </c>
      <c r="D2826" s="5" t="s">
        <v>160</v>
      </c>
      <c r="E2826" s="1">
        <v>0.375</v>
      </c>
      <c r="F2826" s="1">
        <v>0.51597222222222228</v>
      </c>
      <c r="G2826" s="9">
        <f t="shared" si="298"/>
        <v>45866</v>
      </c>
      <c r="H2826" s="11">
        <f t="shared" si="299"/>
        <v>3.4</v>
      </c>
      <c r="I2826" s="10">
        <f t="shared" si="300"/>
        <v>4.2</v>
      </c>
      <c r="J2826" s="10">
        <f t="shared" si="301"/>
        <v>7.2</v>
      </c>
      <c r="K2826" s="10">
        <f t="shared" si="302"/>
        <v>25.299999999999997</v>
      </c>
      <c r="L2826" s="10">
        <f t="shared" si="303"/>
        <v>161</v>
      </c>
    </row>
    <row r="2827" spans="1:12" x14ac:dyDescent="0.25">
      <c r="A2827" s="7">
        <v>45869</v>
      </c>
      <c r="B2827" s="2" t="s">
        <v>579</v>
      </c>
      <c r="C2827" s="6">
        <v>2682</v>
      </c>
      <c r="D2827" s="5" t="s">
        <v>830</v>
      </c>
      <c r="E2827" s="1">
        <v>0.51597222222222228</v>
      </c>
      <c r="F2827" s="1">
        <v>0.64583333333333337</v>
      </c>
      <c r="G2827" s="9">
        <f t="shared" si="298"/>
        <v>45866</v>
      </c>
      <c r="H2827" s="11">
        <f t="shared" si="299"/>
        <v>3.1</v>
      </c>
      <c r="I2827" s="10">
        <f t="shared" si="300"/>
        <v>7.3000000000000007</v>
      </c>
      <c r="J2827" s="10">
        <f t="shared" si="301"/>
        <v>7.2</v>
      </c>
      <c r="K2827" s="10">
        <f t="shared" si="302"/>
        <v>28.400000000000002</v>
      </c>
      <c r="L2827" s="10">
        <f t="shared" si="303"/>
        <v>164.1</v>
      </c>
    </row>
    <row r="2828" spans="1:12" x14ac:dyDescent="0.25">
      <c r="A2828" s="7">
        <v>45869</v>
      </c>
      <c r="B2828" t="s">
        <v>6</v>
      </c>
      <c r="C2828" s="6" t="s">
        <v>416</v>
      </c>
      <c r="D2828" s="5" t="s">
        <v>831</v>
      </c>
      <c r="E2828" s="1">
        <v>0.64583333333333337</v>
      </c>
      <c r="F2828" s="1">
        <v>0.6958333333333333</v>
      </c>
      <c r="G2828" s="9">
        <f t="shared" si="298"/>
        <v>45866</v>
      </c>
      <c r="H2828" s="11">
        <f t="shared" si="299"/>
        <v>1.2</v>
      </c>
      <c r="I2828" s="10">
        <f t="shared" si="300"/>
        <v>8.5</v>
      </c>
      <c r="J2828" s="10">
        <f t="shared" si="301"/>
        <v>7.2</v>
      </c>
      <c r="K2828" s="10">
        <f t="shared" si="302"/>
        <v>29.599999999999998</v>
      </c>
      <c r="L2828" s="10">
        <f t="shared" si="303"/>
        <v>165.29999999999998</v>
      </c>
    </row>
    <row r="2829" spans="1:12" x14ac:dyDescent="0.25">
      <c r="A2829" s="7">
        <v>45870</v>
      </c>
      <c r="B2829" t="s">
        <v>598</v>
      </c>
      <c r="C2829" s="6">
        <v>6004</v>
      </c>
      <c r="D2829" s="5" t="s">
        <v>107</v>
      </c>
      <c r="E2829" s="1">
        <v>0.35069444444444442</v>
      </c>
      <c r="F2829" s="1">
        <v>0.52986111111111112</v>
      </c>
      <c r="G2829" s="9">
        <f t="shared" si="298"/>
        <v>45866</v>
      </c>
      <c r="H2829" s="11">
        <f t="shared" si="299"/>
        <v>4.3</v>
      </c>
      <c r="I2829" s="10">
        <f t="shared" si="300"/>
        <v>4.3</v>
      </c>
      <c r="J2829" s="10">
        <f t="shared" si="301"/>
        <v>7.2</v>
      </c>
      <c r="K2829" s="10">
        <f t="shared" si="302"/>
        <v>33.9</v>
      </c>
      <c r="L2829" s="10">
        <f t="shared" si="303"/>
        <v>4.3</v>
      </c>
    </row>
    <row r="2830" spans="1:12" x14ac:dyDescent="0.25">
      <c r="A2830" s="7">
        <v>45870</v>
      </c>
      <c r="B2830" t="s">
        <v>6</v>
      </c>
      <c r="C2830" s="6" t="s">
        <v>416</v>
      </c>
      <c r="D2830" s="5" t="s">
        <v>832</v>
      </c>
      <c r="E2830" s="1">
        <v>0.54861111111111116</v>
      </c>
      <c r="F2830" s="1">
        <v>0.64236111111111116</v>
      </c>
      <c r="G2830" s="9">
        <f t="shared" si="298"/>
        <v>45866</v>
      </c>
      <c r="H2830" s="11">
        <f t="shared" si="299"/>
        <v>2.2999999999999998</v>
      </c>
      <c r="I2830" s="10">
        <f t="shared" si="300"/>
        <v>6.6</v>
      </c>
      <c r="J2830" s="10">
        <f t="shared" si="301"/>
        <v>7.2</v>
      </c>
      <c r="K2830" s="10">
        <f t="shared" si="302"/>
        <v>36.199999999999996</v>
      </c>
      <c r="L2830" s="10">
        <f t="shared" si="303"/>
        <v>6.6</v>
      </c>
    </row>
    <row r="2831" spans="1:12" x14ac:dyDescent="0.25">
      <c r="A2831" s="7">
        <v>45873</v>
      </c>
      <c r="B2831" t="s">
        <v>7</v>
      </c>
      <c r="C2831" s="6" t="s">
        <v>22</v>
      </c>
      <c r="D2831" s="2" t="s">
        <v>531</v>
      </c>
      <c r="E2831" s="1">
        <v>0.40972222222222227</v>
      </c>
      <c r="F2831" s="1">
        <v>0.70833333333333337</v>
      </c>
      <c r="G2831" s="9">
        <f t="shared" si="298"/>
        <v>45873</v>
      </c>
      <c r="H2831" s="11">
        <f t="shared" si="299"/>
        <v>7.2</v>
      </c>
      <c r="I2831" s="10">
        <f t="shared" si="300"/>
        <v>7.2</v>
      </c>
      <c r="J2831" s="10">
        <f t="shared" si="301"/>
        <v>7.2</v>
      </c>
      <c r="K2831" s="10">
        <f t="shared" si="302"/>
        <v>7.2</v>
      </c>
      <c r="L2831" s="10">
        <f t="shared" si="303"/>
        <v>13.8</v>
      </c>
    </row>
    <row r="2832" spans="1:12" x14ac:dyDescent="0.25">
      <c r="A2832" s="7">
        <v>45874</v>
      </c>
      <c r="B2832" t="s">
        <v>7</v>
      </c>
      <c r="C2832" s="6" t="s">
        <v>22</v>
      </c>
      <c r="D2832" s="2" t="s">
        <v>531</v>
      </c>
      <c r="E2832" s="1">
        <v>0.40972222222222227</v>
      </c>
      <c r="F2832" s="1">
        <v>0.70833333333333337</v>
      </c>
      <c r="G2832" s="9">
        <f t="shared" si="298"/>
        <v>45873</v>
      </c>
      <c r="H2832" s="11">
        <f t="shared" si="299"/>
        <v>7.2</v>
      </c>
      <c r="I2832" s="10">
        <f t="shared" si="300"/>
        <v>7.2</v>
      </c>
      <c r="J2832" s="10">
        <f t="shared" si="301"/>
        <v>7.2</v>
      </c>
      <c r="K2832" s="10">
        <f t="shared" si="302"/>
        <v>14.4</v>
      </c>
      <c r="L2832" s="10">
        <f t="shared" si="303"/>
        <v>21</v>
      </c>
    </row>
    <row r="2833" spans="1:12" x14ac:dyDescent="0.25">
      <c r="A2833" s="7">
        <v>45875</v>
      </c>
      <c r="B2833" t="s">
        <v>6</v>
      </c>
      <c r="C2833" s="6" t="s">
        <v>416</v>
      </c>
      <c r="D2833" s="5" t="s">
        <v>833</v>
      </c>
      <c r="E2833" s="1">
        <v>0.3611111111111111</v>
      </c>
      <c r="F2833" s="1">
        <v>0.3972222222222222</v>
      </c>
      <c r="G2833" s="9">
        <f t="shared" si="298"/>
        <v>45873</v>
      </c>
      <c r="H2833" s="11">
        <f t="shared" si="299"/>
        <v>0.9</v>
      </c>
      <c r="I2833" s="10">
        <f t="shared" si="300"/>
        <v>0.9</v>
      </c>
      <c r="J2833" s="10">
        <f t="shared" si="301"/>
        <v>7.2</v>
      </c>
      <c r="K2833" s="10">
        <f t="shared" si="302"/>
        <v>15.3</v>
      </c>
      <c r="L2833" s="10">
        <f t="shared" si="303"/>
        <v>21.9</v>
      </c>
    </row>
    <row r="2834" spans="1:12" x14ac:dyDescent="0.25">
      <c r="A2834" s="7">
        <v>45875</v>
      </c>
      <c r="B2834" s="2" t="s">
        <v>579</v>
      </c>
      <c r="C2834" s="6">
        <v>2682</v>
      </c>
      <c r="D2834" s="5" t="s">
        <v>830</v>
      </c>
      <c r="E2834" s="1">
        <v>0.3972222222222222</v>
      </c>
      <c r="F2834" s="1">
        <v>0.5131944444444444</v>
      </c>
      <c r="G2834" s="9">
        <f t="shared" si="298"/>
        <v>45873</v>
      </c>
      <c r="H2834" s="11">
        <f t="shared" si="299"/>
        <v>2.8</v>
      </c>
      <c r="I2834" s="10">
        <f t="shared" si="300"/>
        <v>3.6999999999999997</v>
      </c>
      <c r="J2834" s="10">
        <f t="shared" si="301"/>
        <v>7.2</v>
      </c>
      <c r="K2834" s="10">
        <f t="shared" si="302"/>
        <v>18.100000000000001</v>
      </c>
      <c r="L2834" s="10">
        <f t="shared" si="303"/>
        <v>24.7</v>
      </c>
    </row>
    <row r="2835" spans="1:12" x14ac:dyDescent="0.25">
      <c r="A2835" s="7">
        <v>45875</v>
      </c>
      <c r="B2835" s="2" t="s">
        <v>579</v>
      </c>
      <c r="C2835" s="6">
        <v>2682</v>
      </c>
      <c r="D2835" s="5" t="s">
        <v>830</v>
      </c>
      <c r="E2835" s="1">
        <v>0.54166666666666663</v>
      </c>
      <c r="F2835" s="1">
        <v>0.65416666666666667</v>
      </c>
      <c r="G2835" s="9">
        <f t="shared" si="298"/>
        <v>45873</v>
      </c>
      <c r="H2835" s="11">
        <f t="shared" si="299"/>
        <v>2.7</v>
      </c>
      <c r="I2835" s="10">
        <f t="shared" si="300"/>
        <v>6.4</v>
      </c>
      <c r="J2835" s="10">
        <f t="shared" si="301"/>
        <v>7.2</v>
      </c>
      <c r="K2835" s="10">
        <f t="shared" si="302"/>
        <v>20.8</v>
      </c>
      <c r="L2835" s="10">
        <f t="shared" si="303"/>
        <v>27.4</v>
      </c>
    </row>
    <row r="2836" spans="1:12" x14ac:dyDescent="0.25">
      <c r="A2836" s="7">
        <v>45876</v>
      </c>
      <c r="B2836" s="2" t="s">
        <v>579</v>
      </c>
      <c r="C2836" s="6">
        <v>2682</v>
      </c>
      <c r="D2836" s="5" t="s">
        <v>90</v>
      </c>
      <c r="E2836" s="1">
        <v>0.33402777777777776</v>
      </c>
      <c r="F2836" s="1">
        <v>0.49027777777777776</v>
      </c>
      <c r="G2836" s="9">
        <f t="shared" si="298"/>
        <v>45873</v>
      </c>
      <c r="H2836" s="11">
        <f t="shared" si="299"/>
        <v>3.8</v>
      </c>
      <c r="I2836" s="10">
        <f t="shared" si="300"/>
        <v>3.8</v>
      </c>
      <c r="J2836" s="10">
        <f t="shared" si="301"/>
        <v>7.2</v>
      </c>
      <c r="K2836" s="10">
        <f t="shared" si="302"/>
        <v>24.6</v>
      </c>
      <c r="L2836" s="10">
        <f t="shared" si="303"/>
        <v>31.2</v>
      </c>
    </row>
    <row r="2837" spans="1:12" x14ac:dyDescent="0.25">
      <c r="A2837" s="7">
        <v>45876</v>
      </c>
      <c r="B2837" s="2" t="s">
        <v>579</v>
      </c>
      <c r="C2837" s="6">
        <v>2682</v>
      </c>
      <c r="D2837" s="5" t="s">
        <v>90</v>
      </c>
      <c r="E2837" s="1">
        <v>0.5083333333333333</v>
      </c>
      <c r="F2837" s="1">
        <v>0.5805555555555556</v>
      </c>
      <c r="G2837" s="9">
        <f t="shared" si="298"/>
        <v>45873</v>
      </c>
      <c r="H2837" s="11">
        <f t="shared" si="299"/>
        <v>1.7</v>
      </c>
      <c r="I2837" s="10">
        <f t="shared" si="300"/>
        <v>5.5</v>
      </c>
      <c r="J2837" s="10">
        <f t="shared" si="301"/>
        <v>7.2</v>
      </c>
      <c r="K2837" s="10">
        <f t="shared" si="302"/>
        <v>26.3</v>
      </c>
      <c r="L2837" s="10">
        <f t="shared" si="303"/>
        <v>32.9</v>
      </c>
    </row>
    <row r="2838" spans="1:12" x14ac:dyDescent="0.25">
      <c r="A2838" s="7">
        <v>45876</v>
      </c>
      <c r="B2838" s="2" t="s">
        <v>411</v>
      </c>
      <c r="C2838" s="6">
        <v>6184</v>
      </c>
      <c r="D2838" s="5" t="s">
        <v>44</v>
      </c>
      <c r="E2838" s="1">
        <v>0.62152777777777779</v>
      </c>
      <c r="F2838" s="1">
        <v>0.66736111111111107</v>
      </c>
      <c r="G2838" s="9">
        <f t="shared" si="298"/>
        <v>45873</v>
      </c>
      <c r="H2838" s="11">
        <f t="shared" si="299"/>
        <v>1.1000000000000001</v>
      </c>
      <c r="I2838" s="10">
        <f t="shared" si="300"/>
        <v>6.6</v>
      </c>
      <c r="J2838" s="10">
        <f t="shared" si="301"/>
        <v>7.2</v>
      </c>
      <c r="K2838" s="10">
        <f t="shared" si="302"/>
        <v>27.400000000000002</v>
      </c>
      <c r="L2838" s="10">
        <f t="shared" si="303"/>
        <v>34</v>
      </c>
    </row>
    <row r="2839" spans="1:12" x14ac:dyDescent="0.25">
      <c r="A2839" s="7">
        <v>45877</v>
      </c>
      <c r="B2839" s="2" t="s">
        <v>579</v>
      </c>
      <c r="C2839" s="6">
        <v>2682</v>
      </c>
      <c r="D2839" s="5" t="s">
        <v>834</v>
      </c>
      <c r="E2839" s="1">
        <v>0.33055555555555555</v>
      </c>
      <c r="F2839" s="1">
        <v>0.5</v>
      </c>
      <c r="G2839" s="9">
        <f t="shared" si="298"/>
        <v>45873</v>
      </c>
      <c r="H2839" s="11">
        <f t="shared" si="299"/>
        <v>4.0999999999999996</v>
      </c>
      <c r="I2839" s="10">
        <f t="shared" si="300"/>
        <v>4.0999999999999996</v>
      </c>
      <c r="J2839" s="10">
        <f t="shared" si="301"/>
        <v>7.2</v>
      </c>
      <c r="K2839" s="10">
        <f t="shared" si="302"/>
        <v>31.5</v>
      </c>
      <c r="L2839" s="10">
        <f t="shared" si="303"/>
        <v>38.1</v>
      </c>
    </row>
    <row r="2840" spans="1:12" x14ac:dyDescent="0.25">
      <c r="A2840" s="7">
        <v>45877</v>
      </c>
      <c r="B2840" s="2" t="s">
        <v>411</v>
      </c>
      <c r="C2840" s="6">
        <v>6184</v>
      </c>
      <c r="D2840" s="5" t="s">
        <v>384</v>
      </c>
      <c r="E2840" s="1">
        <v>0.5</v>
      </c>
      <c r="F2840" s="1">
        <v>0.5625</v>
      </c>
      <c r="G2840" s="9">
        <f t="shared" si="298"/>
        <v>45873</v>
      </c>
      <c r="H2840" s="11">
        <f t="shared" si="299"/>
        <v>1.5</v>
      </c>
      <c r="I2840" s="10">
        <f t="shared" si="300"/>
        <v>5.6</v>
      </c>
      <c r="J2840" s="10">
        <f t="shared" si="301"/>
        <v>7.2</v>
      </c>
      <c r="K2840" s="10">
        <f t="shared" si="302"/>
        <v>33</v>
      </c>
      <c r="L2840" s="10">
        <f t="shared" si="303"/>
        <v>39.6</v>
      </c>
    </row>
    <row r="2841" spans="1:12" x14ac:dyDescent="0.25">
      <c r="A2841" s="7">
        <v>45877</v>
      </c>
      <c r="B2841" s="2" t="s">
        <v>582</v>
      </c>
      <c r="C2841" s="6">
        <v>8859</v>
      </c>
      <c r="D2841" s="5" t="s">
        <v>44</v>
      </c>
      <c r="E2841" s="1">
        <v>0.61458333333333337</v>
      </c>
      <c r="F2841" s="1">
        <v>0.64930555555555558</v>
      </c>
      <c r="G2841" s="9">
        <f t="shared" si="298"/>
        <v>45873</v>
      </c>
      <c r="H2841" s="11">
        <f t="shared" si="299"/>
        <v>0.8</v>
      </c>
      <c r="I2841" s="10">
        <f t="shared" si="300"/>
        <v>6.3999999999999995</v>
      </c>
      <c r="J2841" s="10">
        <f t="shared" si="301"/>
        <v>7.2</v>
      </c>
      <c r="K2841" s="10">
        <f t="shared" si="302"/>
        <v>33.799999999999997</v>
      </c>
      <c r="L2841" s="10">
        <f t="shared" si="303"/>
        <v>40.4</v>
      </c>
    </row>
    <row r="2842" spans="1:12" x14ac:dyDescent="0.25">
      <c r="A2842" s="7">
        <v>45880</v>
      </c>
      <c r="B2842" t="s">
        <v>6</v>
      </c>
      <c r="C2842" s="6" t="s">
        <v>416</v>
      </c>
      <c r="D2842" s="5" t="s">
        <v>104</v>
      </c>
      <c r="E2842" s="1">
        <v>0.3611111111111111</v>
      </c>
      <c r="F2842" s="1">
        <v>0.45833333333333331</v>
      </c>
      <c r="G2842" s="9">
        <f t="shared" si="298"/>
        <v>45880</v>
      </c>
      <c r="H2842" s="11">
        <f t="shared" si="299"/>
        <v>2.2999999999999998</v>
      </c>
      <c r="I2842" s="10">
        <f t="shared" si="300"/>
        <v>2.2999999999999998</v>
      </c>
      <c r="J2842" s="10">
        <f t="shared" si="301"/>
        <v>7.2</v>
      </c>
      <c r="K2842" s="10">
        <f t="shared" si="302"/>
        <v>2.2999999999999998</v>
      </c>
      <c r="L2842" s="10">
        <f t="shared" si="303"/>
        <v>42.699999999999996</v>
      </c>
    </row>
    <row r="2843" spans="1:12" x14ac:dyDescent="0.25">
      <c r="A2843" s="7">
        <v>45880</v>
      </c>
      <c r="B2843" s="2" t="s">
        <v>411</v>
      </c>
      <c r="C2843" s="6">
        <v>6184</v>
      </c>
      <c r="D2843" s="5" t="s">
        <v>384</v>
      </c>
      <c r="E2843" s="1">
        <v>0.45833333333333331</v>
      </c>
      <c r="F2843" s="1">
        <v>0.50486111111111109</v>
      </c>
      <c r="G2843" s="9">
        <f t="shared" si="298"/>
        <v>45880</v>
      </c>
      <c r="H2843" s="11">
        <f t="shared" si="299"/>
        <v>1.1000000000000001</v>
      </c>
      <c r="I2843" s="10">
        <f t="shared" si="300"/>
        <v>3.4</v>
      </c>
      <c r="J2843" s="10">
        <f t="shared" si="301"/>
        <v>7.2</v>
      </c>
      <c r="K2843" s="10">
        <f t="shared" si="302"/>
        <v>3.4</v>
      </c>
      <c r="L2843" s="10">
        <f t="shared" si="303"/>
        <v>43.800000000000004</v>
      </c>
    </row>
    <row r="2844" spans="1:12" x14ac:dyDescent="0.25">
      <c r="A2844" s="7">
        <v>45880</v>
      </c>
      <c r="B2844" s="2" t="s">
        <v>411</v>
      </c>
      <c r="C2844" s="6">
        <v>6184</v>
      </c>
      <c r="D2844" s="5" t="s">
        <v>384</v>
      </c>
      <c r="E2844" s="1">
        <v>0.53611111111111109</v>
      </c>
      <c r="F2844" s="1">
        <v>0.61944444444444446</v>
      </c>
      <c r="G2844" s="9">
        <f t="shared" si="298"/>
        <v>45880</v>
      </c>
      <c r="H2844" s="11">
        <f t="shared" si="299"/>
        <v>2</v>
      </c>
      <c r="I2844" s="10">
        <f t="shared" si="300"/>
        <v>5.4</v>
      </c>
      <c r="J2844" s="10">
        <f t="shared" si="301"/>
        <v>7.2</v>
      </c>
      <c r="K2844" s="10">
        <f t="shared" si="302"/>
        <v>5.4</v>
      </c>
      <c r="L2844" s="10">
        <f t="shared" si="303"/>
        <v>45.8</v>
      </c>
    </row>
    <row r="2845" spans="1:12" x14ac:dyDescent="0.25">
      <c r="A2845" s="7">
        <v>45880</v>
      </c>
      <c r="B2845" s="2" t="s">
        <v>411</v>
      </c>
      <c r="C2845" s="6">
        <v>6184</v>
      </c>
      <c r="D2845" s="5" t="s">
        <v>835</v>
      </c>
      <c r="E2845" s="1">
        <v>0.64583333333333337</v>
      </c>
      <c r="F2845" s="1">
        <v>0.73124999999999996</v>
      </c>
      <c r="G2845" s="9">
        <f t="shared" si="298"/>
        <v>45880</v>
      </c>
      <c r="H2845" s="11">
        <f t="shared" si="299"/>
        <v>2.1</v>
      </c>
      <c r="I2845" s="10">
        <f t="shared" si="300"/>
        <v>7.5</v>
      </c>
      <c r="J2845" s="10">
        <f t="shared" si="301"/>
        <v>7.2</v>
      </c>
      <c r="K2845" s="10">
        <f t="shared" si="302"/>
        <v>7.5</v>
      </c>
      <c r="L2845" s="10">
        <f t="shared" si="303"/>
        <v>47.9</v>
      </c>
    </row>
    <row r="2846" spans="1:12" x14ac:dyDescent="0.25">
      <c r="A2846" s="7">
        <v>45881</v>
      </c>
      <c r="B2846" s="2" t="s">
        <v>411</v>
      </c>
      <c r="C2846" s="6">
        <v>6184</v>
      </c>
      <c r="D2846" s="5" t="s">
        <v>384</v>
      </c>
      <c r="E2846" s="1">
        <v>0.36180555555555555</v>
      </c>
      <c r="F2846" s="1">
        <v>0.48680555555555555</v>
      </c>
      <c r="G2846" s="9">
        <f t="shared" si="298"/>
        <v>45880</v>
      </c>
      <c r="H2846" s="11">
        <f t="shared" si="299"/>
        <v>3</v>
      </c>
      <c r="I2846" s="10">
        <f t="shared" si="300"/>
        <v>3</v>
      </c>
      <c r="J2846" s="10">
        <f t="shared" si="301"/>
        <v>7.2</v>
      </c>
      <c r="K2846" s="10">
        <f t="shared" si="302"/>
        <v>10.5</v>
      </c>
      <c r="L2846" s="10">
        <f t="shared" si="303"/>
        <v>50.9</v>
      </c>
    </row>
    <row r="2847" spans="1:12" x14ac:dyDescent="0.25">
      <c r="A2847" s="7">
        <v>45881</v>
      </c>
      <c r="B2847" s="2" t="s">
        <v>411</v>
      </c>
      <c r="C2847" s="6">
        <v>6184</v>
      </c>
      <c r="D2847" s="5" t="s">
        <v>384</v>
      </c>
      <c r="E2847" s="1">
        <v>0.5</v>
      </c>
      <c r="F2847" s="1">
        <v>0.63124999999999998</v>
      </c>
      <c r="G2847" s="9">
        <f t="shared" si="298"/>
        <v>45880</v>
      </c>
      <c r="H2847" s="11">
        <f t="shared" si="299"/>
        <v>3.2</v>
      </c>
      <c r="I2847" s="10">
        <f t="shared" si="300"/>
        <v>6.2</v>
      </c>
      <c r="J2847" s="10">
        <f t="shared" si="301"/>
        <v>7.2</v>
      </c>
      <c r="K2847" s="10">
        <f t="shared" si="302"/>
        <v>13.7</v>
      </c>
      <c r="L2847" s="10">
        <f t="shared" si="303"/>
        <v>54.1</v>
      </c>
    </row>
    <row r="2848" spans="1:12" x14ac:dyDescent="0.25">
      <c r="A2848" s="7">
        <v>45882</v>
      </c>
      <c r="B2848" s="2" t="s">
        <v>411</v>
      </c>
      <c r="C2848" s="6">
        <v>6184</v>
      </c>
      <c r="D2848" s="5" t="s">
        <v>384</v>
      </c>
      <c r="E2848" s="1">
        <v>0.35</v>
      </c>
      <c r="F2848" s="1">
        <v>0.46805555555555556</v>
      </c>
      <c r="G2848" s="9">
        <f t="shared" si="298"/>
        <v>45880</v>
      </c>
      <c r="H2848" s="11">
        <f t="shared" si="299"/>
        <v>2.8</v>
      </c>
      <c r="I2848" s="10">
        <f t="shared" si="300"/>
        <v>2.8</v>
      </c>
      <c r="J2848" s="10">
        <f t="shared" si="301"/>
        <v>7.2</v>
      </c>
      <c r="K2848" s="10">
        <f t="shared" si="302"/>
        <v>16.5</v>
      </c>
      <c r="L2848" s="10">
        <f t="shared" si="303"/>
        <v>56.9</v>
      </c>
    </row>
    <row r="2849" spans="1:12" x14ac:dyDescent="0.25">
      <c r="A2849" s="7">
        <v>45882</v>
      </c>
      <c r="B2849" s="2" t="s">
        <v>411</v>
      </c>
      <c r="C2849" s="6">
        <v>6184</v>
      </c>
      <c r="D2849" s="5" t="s">
        <v>384</v>
      </c>
      <c r="E2849" s="1">
        <v>0.4909722222222222</v>
      </c>
      <c r="F2849" s="1">
        <v>0.54166666666666663</v>
      </c>
      <c r="G2849" s="9">
        <f t="shared" si="298"/>
        <v>45880</v>
      </c>
      <c r="H2849" s="11">
        <f t="shared" si="299"/>
        <v>1.2</v>
      </c>
      <c r="I2849" s="10">
        <f t="shared" si="300"/>
        <v>4</v>
      </c>
      <c r="J2849" s="10">
        <f t="shared" si="301"/>
        <v>7.2</v>
      </c>
      <c r="K2849" s="10">
        <f t="shared" si="302"/>
        <v>17.7</v>
      </c>
      <c r="L2849" s="10">
        <f t="shared" si="303"/>
        <v>58.1</v>
      </c>
    </row>
    <row r="2850" spans="1:12" x14ac:dyDescent="0.25">
      <c r="A2850" s="7">
        <v>45882</v>
      </c>
      <c r="B2850" t="s">
        <v>6</v>
      </c>
      <c r="C2850" s="6" t="s">
        <v>416</v>
      </c>
      <c r="D2850" s="5" t="s">
        <v>553</v>
      </c>
      <c r="E2850" s="1">
        <v>0.54166666666666663</v>
      </c>
      <c r="F2850" s="1">
        <v>0.58333333333333337</v>
      </c>
      <c r="G2850" s="9">
        <f t="shared" si="298"/>
        <v>45880</v>
      </c>
      <c r="H2850" s="11">
        <f t="shared" si="299"/>
        <v>1</v>
      </c>
      <c r="I2850" s="10">
        <f t="shared" si="300"/>
        <v>5</v>
      </c>
      <c r="J2850" s="10">
        <f t="shared" si="301"/>
        <v>7.2</v>
      </c>
      <c r="K2850" s="10">
        <f t="shared" si="302"/>
        <v>18.7</v>
      </c>
      <c r="L2850" s="10">
        <f t="shared" si="303"/>
        <v>59.1</v>
      </c>
    </row>
    <row r="2851" spans="1:12" x14ac:dyDescent="0.25">
      <c r="A2851" s="7">
        <v>45882</v>
      </c>
      <c r="B2851" s="2" t="s">
        <v>411</v>
      </c>
      <c r="C2851" s="6">
        <v>6184</v>
      </c>
      <c r="D2851" s="5" t="s">
        <v>384</v>
      </c>
      <c r="E2851" s="1">
        <v>0.58333333333333337</v>
      </c>
      <c r="F2851" s="1">
        <v>0.65486111111111112</v>
      </c>
      <c r="G2851" s="9">
        <f t="shared" si="298"/>
        <v>45880</v>
      </c>
      <c r="H2851" s="11">
        <f t="shared" si="299"/>
        <v>1.7</v>
      </c>
      <c r="I2851" s="10">
        <f t="shared" si="300"/>
        <v>6.7</v>
      </c>
      <c r="J2851" s="10">
        <f t="shared" si="301"/>
        <v>7.2</v>
      </c>
      <c r="K2851" s="10">
        <f t="shared" si="302"/>
        <v>20.399999999999999</v>
      </c>
      <c r="L2851" s="10">
        <f t="shared" si="303"/>
        <v>60.800000000000004</v>
      </c>
    </row>
    <row r="2852" spans="1:12" x14ac:dyDescent="0.25">
      <c r="A2852" s="7">
        <v>45883</v>
      </c>
      <c r="B2852" s="2" t="s">
        <v>411</v>
      </c>
      <c r="C2852" s="6">
        <v>6184</v>
      </c>
      <c r="D2852" s="5" t="s">
        <v>384</v>
      </c>
      <c r="E2852" s="1">
        <v>0.33958333333333335</v>
      </c>
      <c r="F2852" s="1">
        <v>0.46944444444444444</v>
      </c>
      <c r="G2852" s="9">
        <f t="shared" si="298"/>
        <v>45880</v>
      </c>
      <c r="H2852" s="11">
        <f t="shared" si="299"/>
        <v>3.1</v>
      </c>
      <c r="I2852" s="10">
        <f t="shared" si="300"/>
        <v>3.1</v>
      </c>
      <c r="J2852" s="10">
        <f t="shared" si="301"/>
        <v>7.2</v>
      </c>
      <c r="K2852" s="10">
        <f t="shared" si="302"/>
        <v>23.5</v>
      </c>
      <c r="L2852" s="10">
        <f t="shared" si="303"/>
        <v>63.9</v>
      </c>
    </row>
    <row r="2853" spans="1:12" x14ac:dyDescent="0.25">
      <c r="A2853" s="7">
        <v>45883</v>
      </c>
      <c r="B2853" s="2" t="s">
        <v>411</v>
      </c>
      <c r="C2853" s="6">
        <v>6184</v>
      </c>
      <c r="D2853" s="5" t="s">
        <v>384</v>
      </c>
      <c r="E2853" s="1">
        <v>0.48680555555555555</v>
      </c>
      <c r="F2853" s="1">
        <v>0.54166666666666663</v>
      </c>
      <c r="G2853" s="9">
        <f t="shared" si="298"/>
        <v>45880</v>
      </c>
      <c r="H2853" s="11">
        <f t="shared" si="299"/>
        <v>1.3</v>
      </c>
      <c r="I2853" s="10">
        <f t="shared" si="300"/>
        <v>4.4000000000000004</v>
      </c>
      <c r="J2853" s="10">
        <f t="shared" si="301"/>
        <v>7.2</v>
      </c>
      <c r="K2853" s="10">
        <f t="shared" si="302"/>
        <v>24.8</v>
      </c>
      <c r="L2853" s="10">
        <f t="shared" si="303"/>
        <v>65.2</v>
      </c>
    </row>
    <row r="2854" spans="1:12" x14ac:dyDescent="0.25">
      <c r="A2854" s="7">
        <v>45883</v>
      </c>
      <c r="B2854" t="s">
        <v>6</v>
      </c>
      <c r="C2854" s="6" t="s">
        <v>416</v>
      </c>
      <c r="D2854" s="5" t="s">
        <v>836</v>
      </c>
      <c r="E2854" s="1">
        <v>0.54166666666666663</v>
      </c>
      <c r="F2854" s="1">
        <v>0.59097222222222223</v>
      </c>
      <c r="G2854" s="9">
        <f t="shared" si="298"/>
        <v>45880</v>
      </c>
      <c r="H2854" s="11">
        <f t="shared" si="299"/>
        <v>1.2</v>
      </c>
      <c r="I2854" s="10">
        <f t="shared" si="300"/>
        <v>5.6000000000000005</v>
      </c>
      <c r="J2854" s="10">
        <f t="shared" si="301"/>
        <v>7.2</v>
      </c>
      <c r="K2854" s="10">
        <f t="shared" si="302"/>
        <v>26</v>
      </c>
      <c r="L2854" s="10">
        <f t="shared" si="303"/>
        <v>66.400000000000006</v>
      </c>
    </row>
    <row r="2855" spans="1:12" x14ac:dyDescent="0.25">
      <c r="A2855" s="7">
        <v>45883</v>
      </c>
      <c r="B2855" s="2" t="s">
        <v>411</v>
      </c>
      <c r="C2855" s="6">
        <v>6184</v>
      </c>
      <c r="D2855" s="5" t="s">
        <v>384</v>
      </c>
      <c r="E2855" s="1">
        <v>0.59097222222222223</v>
      </c>
      <c r="F2855" s="1">
        <v>0.67847222222222225</v>
      </c>
      <c r="G2855" s="9">
        <f t="shared" si="298"/>
        <v>45880</v>
      </c>
      <c r="H2855" s="11">
        <f t="shared" si="299"/>
        <v>2.1</v>
      </c>
      <c r="I2855" s="10">
        <f t="shared" si="300"/>
        <v>7.6999999999999993</v>
      </c>
      <c r="J2855" s="10">
        <f t="shared" si="301"/>
        <v>7.2</v>
      </c>
      <c r="K2855" s="10">
        <f t="shared" si="302"/>
        <v>28.1</v>
      </c>
      <c r="L2855" s="10">
        <f t="shared" si="303"/>
        <v>68.5</v>
      </c>
    </row>
    <row r="2856" spans="1:12" x14ac:dyDescent="0.25">
      <c r="A2856" s="7">
        <v>45884</v>
      </c>
      <c r="B2856" t="s">
        <v>6</v>
      </c>
      <c r="C2856" s="6" t="s">
        <v>416</v>
      </c>
      <c r="D2856" s="5" t="s">
        <v>837</v>
      </c>
      <c r="E2856" s="1">
        <v>0.3125</v>
      </c>
      <c r="F2856" s="1">
        <v>0.34513888888888888</v>
      </c>
      <c r="G2856" s="9">
        <f t="shared" si="298"/>
        <v>45880</v>
      </c>
      <c r="H2856" s="11">
        <f t="shared" si="299"/>
        <v>0.8</v>
      </c>
      <c r="I2856" s="10">
        <f t="shared" si="300"/>
        <v>0.8</v>
      </c>
      <c r="J2856" s="10">
        <f t="shared" si="301"/>
        <v>7.2</v>
      </c>
      <c r="K2856" s="10">
        <f t="shared" si="302"/>
        <v>28.900000000000002</v>
      </c>
      <c r="L2856" s="10">
        <f t="shared" si="303"/>
        <v>69.3</v>
      </c>
    </row>
    <row r="2857" spans="1:12" x14ac:dyDescent="0.25">
      <c r="A2857" s="7">
        <v>45884</v>
      </c>
      <c r="B2857" t="s">
        <v>6</v>
      </c>
      <c r="C2857" s="6" t="s">
        <v>416</v>
      </c>
      <c r="D2857" s="5" t="s">
        <v>837</v>
      </c>
      <c r="E2857" s="1">
        <v>0.39027777777777778</v>
      </c>
      <c r="F2857" s="1">
        <v>0.48125000000000001</v>
      </c>
      <c r="G2857" s="9">
        <f t="shared" si="298"/>
        <v>45880</v>
      </c>
      <c r="H2857" s="11">
        <f t="shared" si="299"/>
        <v>2.2000000000000002</v>
      </c>
      <c r="I2857" s="10">
        <f t="shared" si="300"/>
        <v>3</v>
      </c>
      <c r="J2857" s="10">
        <f t="shared" si="301"/>
        <v>7.2</v>
      </c>
      <c r="K2857" s="10">
        <f t="shared" si="302"/>
        <v>31.099999999999998</v>
      </c>
      <c r="L2857" s="10">
        <f t="shared" si="303"/>
        <v>71.5</v>
      </c>
    </row>
    <row r="2858" spans="1:12" x14ac:dyDescent="0.25">
      <c r="A2858" s="7">
        <v>45884</v>
      </c>
      <c r="B2858" s="2" t="s">
        <v>411</v>
      </c>
      <c r="C2858" s="6">
        <v>6184</v>
      </c>
      <c r="D2858" s="5" t="s">
        <v>384</v>
      </c>
      <c r="E2858" s="1">
        <v>0.4909722222222222</v>
      </c>
      <c r="F2858" s="1">
        <v>0.54166666666666663</v>
      </c>
      <c r="G2858" s="9">
        <f t="shared" si="298"/>
        <v>45880</v>
      </c>
      <c r="H2858" s="11">
        <f t="shared" si="299"/>
        <v>1.2</v>
      </c>
      <c r="I2858" s="10">
        <f t="shared" si="300"/>
        <v>4.2</v>
      </c>
      <c r="J2858" s="10">
        <f t="shared" si="301"/>
        <v>7.2</v>
      </c>
      <c r="K2858" s="10">
        <f t="shared" si="302"/>
        <v>32.300000000000004</v>
      </c>
      <c r="L2858" s="10">
        <f t="shared" si="303"/>
        <v>72.7</v>
      </c>
    </row>
    <row r="2859" spans="1:12" x14ac:dyDescent="0.25">
      <c r="A2859" s="7">
        <v>45884</v>
      </c>
      <c r="B2859" t="s">
        <v>6</v>
      </c>
      <c r="C2859" s="6" t="s">
        <v>416</v>
      </c>
      <c r="D2859" s="5" t="s">
        <v>505</v>
      </c>
      <c r="E2859" s="1">
        <v>0.54166666666666663</v>
      </c>
      <c r="F2859" s="1">
        <v>0.57986111111111116</v>
      </c>
      <c r="G2859" s="9">
        <f t="shared" si="298"/>
        <v>45880</v>
      </c>
      <c r="H2859" s="11">
        <f t="shared" si="299"/>
        <v>0.9</v>
      </c>
      <c r="I2859" s="10">
        <f t="shared" si="300"/>
        <v>5.1000000000000005</v>
      </c>
      <c r="J2859" s="10">
        <f t="shared" si="301"/>
        <v>7.2</v>
      </c>
      <c r="K2859" s="10">
        <f t="shared" si="302"/>
        <v>33.199999999999996</v>
      </c>
      <c r="L2859" s="10">
        <f t="shared" si="303"/>
        <v>73.600000000000009</v>
      </c>
    </row>
    <row r="2860" spans="1:12" x14ac:dyDescent="0.25">
      <c r="A2860" s="7">
        <v>45884</v>
      </c>
      <c r="B2860" s="2" t="s">
        <v>411</v>
      </c>
      <c r="C2860" s="6">
        <v>6184</v>
      </c>
      <c r="D2860" s="5" t="s">
        <v>384</v>
      </c>
      <c r="E2860" s="1">
        <v>0.57986111111111116</v>
      </c>
      <c r="F2860" s="1">
        <v>0.66388888888888886</v>
      </c>
      <c r="G2860" s="9">
        <f t="shared" si="298"/>
        <v>45880</v>
      </c>
      <c r="H2860" s="11">
        <f t="shared" si="299"/>
        <v>2</v>
      </c>
      <c r="I2860" s="10">
        <f t="shared" si="300"/>
        <v>7.1</v>
      </c>
      <c r="J2860" s="10">
        <f t="shared" si="301"/>
        <v>7.2</v>
      </c>
      <c r="K2860" s="10">
        <f t="shared" si="302"/>
        <v>35.200000000000003</v>
      </c>
      <c r="L2860" s="10">
        <f t="shared" si="303"/>
        <v>75.599999999999994</v>
      </c>
    </row>
    <row r="2861" spans="1:12" x14ac:dyDescent="0.25">
      <c r="A2861" s="7">
        <v>45887</v>
      </c>
      <c r="B2861" s="2" t="s">
        <v>411</v>
      </c>
      <c r="C2861" s="6">
        <v>6184</v>
      </c>
      <c r="D2861" s="5" t="s">
        <v>384</v>
      </c>
      <c r="E2861" s="1">
        <v>0.29722222222222222</v>
      </c>
      <c r="F2861" s="1">
        <v>0.50277777777777777</v>
      </c>
      <c r="G2861" s="9">
        <f t="shared" si="298"/>
        <v>45887</v>
      </c>
      <c r="H2861" s="11">
        <f t="shared" si="299"/>
        <v>4.9000000000000004</v>
      </c>
      <c r="I2861" s="10">
        <f t="shared" si="300"/>
        <v>4.9000000000000004</v>
      </c>
      <c r="J2861" s="10">
        <f t="shared" si="301"/>
        <v>7.2</v>
      </c>
      <c r="K2861" s="10">
        <f t="shared" si="302"/>
        <v>4.9000000000000004</v>
      </c>
      <c r="L2861" s="10">
        <f t="shared" si="303"/>
        <v>80.5</v>
      </c>
    </row>
    <row r="2862" spans="1:12" x14ac:dyDescent="0.25">
      <c r="A2862" s="7">
        <v>45887</v>
      </c>
      <c r="B2862" s="2" t="s">
        <v>411</v>
      </c>
      <c r="C2862" s="6">
        <v>6184</v>
      </c>
      <c r="D2862" s="5" t="s">
        <v>384</v>
      </c>
      <c r="E2862" s="1">
        <v>0.52152777777777781</v>
      </c>
      <c r="F2862" s="1">
        <v>0.64930555555555558</v>
      </c>
      <c r="G2862" s="9">
        <f t="shared" si="298"/>
        <v>45887</v>
      </c>
      <c r="H2862" s="11">
        <f t="shared" si="299"/>
        <v>3.1</v>
      </c>
      <c r="I2862" s="10">
        <f t="shared" si="300"/>
        <v>8</v>
      </c>
      <c r="J2862" s="10">
        <f t="shared" si="301"/>
        <v>7.2</v>
      </c>
      <c r="K2862" s="10">
        <f t="shared" si="302"/>
        <v>8</v>
      </c>
      <c r="L2862" s="10">
        <f t="shared" si="303"/>
        <v>83.6</v>
      </c>
    </row>
    <row r="2863" spans="1:12" x14ac:dyDescent="0.25">
      <c r="A2863" s="7">
        <v>45888</v>
      </c>
      <c r="B2863" s="2" t="s">
        <v>411</v>
      </c>
      <c r="C2863" s="6">
        <v>6184</v>
      </c>
      <c r="D2863" s="5" t="s">
        <v>384</v>
      </c>
      <c r="E2863" s="1">
        <v>0.33333333333333331</v>
      </c>
      <c r="F2863" s="1">
        <v>0.48472222222222222</v>
      </c>
      <c r="G2863" s="9">
        <f t="shared" si="298"/>
        <v>45887</v>
      </c>
      <c r="H2863" s="11">
        <f t="shared" si="299"/>
        <v>3.6</v>
      </c>
      <c r="I2863" s="10">
        <f t="shared" si="300"/>
        <v>3.6</v>
      </c>
      <c r="J2863" s="10">
        <f t="shared" si="301"/>
        <v>7.2</v>
      </c>
      <c r="K2863" s="10">
        <f t="shared" si="302"/>
        <v>11.6</v>
      </c>
      <c r="L2863" s="10">
        <f t="shared" si="303"/>
        <v>87.199999999999989</v>
      </c>
    </row>
    <row r="2864" spans="1:12" x14ac:dyDescent="0.25">
      <c r="A2864" s="7">
        <v>45888</v>
      </c>
      <c r="B2864" s="2" t="s">
        <v>411</v>
      </c>
      <c r="C2864" s="6">
        <v>6184</v>
      </c>
      <c r="D2864" s="5" t="s">
        <v>384</v>
      </c>
      <c r="E2864" s="1">
        <v>0.5083333333333333</v>
      </c>
      <c r="F2864" s="1">
        <v>0.58333333333333337</v>
      </c>
      <c r="G2864" s="9">
        <f t="shared" si="298"/>
        <v>45887</v>
      </c>
      <c r="H2864" s="11">
        <f t="shared" si="299"/>
        <v>1.8</v>
      </c>
      <c r="I2864" s="10">
        <f t="shared" si="300"/>
        <v>5.4</v>
      </c>
      <c r="J2864" s="10">
        <f t="shared" si="301"/>
        <v>7.2</v>
      </c>
      <c r="K2864" s="10">
        <f t="shared" si="302"/>
        <v>13.4</v>
      </c>
      <c r="L2864" s="10">
        <f t="shared" si="303"/>
        <v>89</v>
      </c>
    </row>
    <row r="2865" spans="1:12" x14ac:dyDescent="0.25">
      <c r="A2865" s="7">
        <v>45888</v>
      </c>
      <c r="B2865" t="s">
        <v>6</v>
      </c>
      <c r="C2865" s="6" t="s">
        <v>416</v>
      </c>
      <c r="D2865" s="5" t="s">
        <v>71</v>
      </c>
      <c r="E2865" s="1">
        <v>0.58333333333333337</v>
      </c>
      <c r="F2865" s="1">
        <v>0.63472222222222219</v>
      </c>
      <c r="G2865" s="9">
        <f t="shared" si="298"/>
        <v>45887</v>
      </c>
      <c r="H2865" s="11">
        <f t="shared" si="299"/>
        <v>1.2</v>
      </c>
      <c r="I2865" s="10">
        <f t="shared" si="300"/>
        <v>6.6000000000000005</v>
      </c>
      <c r="J2865" s="10">
        <f t="shared" si="301"/>
        <v>7.2</v>
      </c>
      <c r="K2865" s="10">
        <f t="shared" si="302"/>
        <v>14.6</v>
      </c>
      <c r="L2865" s="10">
        <f t="shared" si="303"/>
        <v>90.2</v>
      </c>
    </row>
    <row r="2866" spans="1:12" x14ac:dyDescent="0.25">
      <c r="A2866" s="7">
        <v>45889</v>
      </c>
      <c r="B2866" s="2" t="s">
        <v>411</v>
      </c>
      <c r="C2866" s="6">
        <v>6184</v>
      </c>
      <c r="D2866" s="5" t="s">
        <v>384</v>
      </c>
      <c r="E2866" s="1">
        <v>0.3611111111111111</v>
      </c>
      <c r="F2866" s="1">
        <v>0.49791666666666667</v>
      </c>
      <c r="G2866" s="9">
        <f t="shared" si="298"/>
        <v>45887</v>
      </c>
      <c r="H2866" s="11">
        <f t="shared" si="299"/>
        <v>3.3</v>
      </c>
      <c r="I2866" s="10">
        <f t="shared" si="300"/>
        <v>3.3</v>
      </c>
      <c r="J2866" s="10">
        <f t="shared" si="301"/>
        <v>7.2</v>
      </c>
      <c r="K2866" s="10">
        <f t="shared" si="302"/>
        <v>17.899999999999999</v>
      </c>
      <c r="L2866" s="10">
        <f t="shared" si="303"/>
        <v>93.5</v>
      </c>
    </row>
    <row r="2867" spans="1:12" x14ac:dyDescent="0.25">
      <c r="A2867" s="7">
        <v>45889</v>
      </c>
      <c r="B2867" s="2" t="s">
        <v>411</v>
      </c>
      <c r="C2867" s="6">
        <v>6184</v>
      </c>
      <c r="D2867" s="5" t="s">
        <v>384</v>
      </c>
      <c r="E2867" s="1">
        <v>0.5131944444444444</v>
      </c>
      <c r="F2867" s="1">
        <v>0.6381944444444444</v>
      </c>
      <c r="G2867" s="9">
        <f t="shared" si="298"/>
        <v>45887</v>
      </c>
      <c r="H2867" s="11">
        <f t="shared" si="299"/>
        <v>3</v>
      </c>
      <c r="I2867" s="10">
        <f t="shared" si="300"/>
        <v>6.3</v>
      </c>
      <c r="J2867" s="10">
        <f t="shared" si="301"/>
        <v>7.2</v>
      </c>
      <c r="K2867" s="10">
        <f t="shared" si="302"/>
        <v>20.9</v>
      </c>
      <c r="L2867" s="10">
        <f t="shared" si="303"/>
        <v>96.5</v>
      </c>
    </row>
    <row r="2868" spans="1:12" x14ac:dyDescent="0.25">
      <c r="A2868" s="7">
        <v>45890</v>
      </c>
      <c r="B2868" s="2" t="s">
        <v>464</v>
      </c>
      <c r="C2868" s="6">
        <v>2431</v>
      </c>
      <c r="D2868" s="5" t="s">
        <v>107</v>
      </c>
      <c r="E2868" s="1">
        <v>0.31388888888888888</v>
      </c>
      <c r="F2868" s="1">
        <v>0.49791666666666667</v>
      </c>
      <c r="G2868" s="9">
        <f t="shared" si="298"/>
        <v>45887</v>
      </c>
      <c r="H2868" s="11">
        <f t="shared" si="299"/>
        <v>4.4000000000000004</v>
      </c>
      <c r="I2868" s="10">
        <f t="shared" si="300"/>
        <v>4.4000000000000004</v>
      </c>
      <c r="J2868" s="10">
        <f t="shared" si="301"/>
        <v>7.2</v>
      </c>
      <c r="K2868" s="10">
        <f t="shared" si="302"/>
        <v>25.299999999999997</v>
      </c>
      <c r="L2868" s="10">
        <f t="shared" si="303"/>
        <v>100.9</v>
      </c>
    </row>
    <row r="2869" spans="1:12" x14ac:dyDescent="0.25">
      <c r="A2869" s="7">
        <v>45890</v>
      </c>
      <c r="B2869" s="2" t="s">
        <v>464</v>
      </c>
      <c r="C2869" s="6">
        <v>2431</v>
      </c>
      <c r="D2869" s="5" t="s">
        <v>107</v>
      </c>
      <c r="E2869" s="1">
        <v>0.52083333333333337</v>
      </c>
      <c r="F2869" s="1">
        <v>0.57291666666666663</v>
      </c>
      <c r="G2869" s="9">
        <f t="shared" si="298"/>
        <v>45887</v>
      </c>
      <c r="H2869" s="11">
        <f t="shared" si="299"/>
        <v>1.3</v>
      </c>
      <c r="I2869" s="10">
        <f t="shared" si="300"/>
        <v>5.7</v>
      </c>
      <c r="J2869" s="10">
        <f t="shared" si="301"/>
        <v>7.2</v>
      </c>
      <c r="K2869" s="10">
        <f t="shared" si="302"/>
        <v>26.6</v>
      </c>
      <c r="L2869" s="10">
        <f t="shared" si="303"/>
        <v>102.2</v>
      </c>
    </row>
    <row r="2870" spans="1:12" x14ac:dyDescent="0.25">
      <c r="A2870" s="7">
        <v>45890</v>
      </c>
      <c r="B2870" s="2" t="s">
        <v>411</v>
      </c>
      <c r="C2870" s="6">
        <v>6184</v>
      </c>
      <c r="D2870" s="5" t="s">
        <v>384</v>
      </c>
      <c r="E2870" s="1">
        <v>0.57291666666666663</v>
      </c>
      <c r="F2870" s="1">
        <v>0.68333333333333335</v>
      </c>
      <c r="G2870" s="9">
        <f t="shared" si="298"/>
        <v>45887</v>
      </c>
      <c r="H2870" s="11">
        <f t="shared" si="299"/>
        <v>2.7</v>
      </c>
      <c r="I2870" s="10">
        <f t="shared" si="300"/>
        <v>8.4</v>
      </c>
      <c r="J2870" s="10">
        <f t="shared" si="301"/>
        <v>7.2</v>
      </c>
      <c r="K2870" s="10">
        <f t="shared" si="302"/>
        <v>29.3</v>
      </c>
      <c r="L2870" s="10">
        <f t="shared" si="303"/>
        <v>104.9</v>
      </c>
    </row>
    <row r="2871" spans="1:12" x14ac:dyDescent="0.25">
      <c r="A2871" s="7">
        <v>45891</v>
      </c>
      <c r="B2871" t="s">
        <v>598</v>
      </c>
      <c r="C2871" s="6">
        <v>6004</v>
      </c>
      <c r="D2871" s="5" t="s">
        <v>107</v>
      </c>
      <c r="E2871" s="1">
        <v>0.35555555555555557</v>
      </c>
      <c r="F2871" s="1">
        <v>0.47847222222222224</v>
      </c>
      <c r="G2871" s="9">
        <f t="shared" si="298"/>
        <v>45887</v>
      </c>
      <c r="H2871" s="11">
        <f t="shared" si="299"/>
        <v>3</v>
      </c>
      <c r="I2871" s="10">
        <f t="shared" si="300"/>
        <v>3</v>
      </c>
      <c r="J2871" s="10">
        <f t="shared" si="301"/>
        <v>7.2</v>
      </c>
      <c r="K2871" s="10">
        <f t="shared" si="302"/>
        <v>32.299999999999997</v>
      </c>
      <c r="L2871" s="10">
        <f t="shared" si="303"/>
        <v>107.9</v>
      </c>
    </row>
    <row r="2872" spans="1:12" x14ac:dyDescent="0.25">
      <c r="A2872" s="7">
        <v>45891</v>
      </c>
      <c r="B2872" s="2" t="s">
        <v>411</v>
      </c>
      <c r="C2872" s="6">
        <v>6184</v>
      </c>
      <c r="D2872" s="5" t="s">
        <v>90</v>
      </c>
      <c r="E2872" s="1">
        <v>0.47847222222222224</v>
      </c>
      <c r="F2872" s="1">
        <v>0.5</v>
      </c>
      <c r="G2872" s="9">
        <f t="shared" si="298"/>
        <v>45887</v>
      </c>
      <c r="H2872" s="11">
        <f t="shared" si="299"/>
        <v>0.5</v>
      </c>
      <c r="I2872" s="10">
        <f t="shared" si="300"/>
        <v>3.5</v>
      </c>
      <c r="J2872" s="10">
        <f t="shared" si="301"/>
        <v>7.2</v>
      </c>
      <c r="K2872" s="10">
        <f t="shared" si="302"/>
        <v>32.799999999999997</v>
      </c>
      <c r="L2872" s="10">
        <f t="shared" si="303"/>
        <v>108.4</v>
      </c>
    </row>
    <row r="2873" spans="1:12" x14ac:dyDescent="0.25">
      <c r="A2873" s="7">
        <v>45891</v>
      </c>
      <c r="B2873" s="2" t="s">
        <v>411</v>
      </c>
      <c r="C2873" s="6">
        <v>6184</v>
      </c>
      <c r="D2873" s="5" t="s">
        <v>90</v>
      </c>
      <c r="E2873" s="1">
        <v>0.54236111111111107</v>
      </c>
      <c r="F2873" s="1">
        <v>0.68472222222222223</v>
      </c>
      <c r="G2873" s="9">
        <f t="shared" si="298"/>
        <v>45887</v>
      </c>
      <c r="H2873" s="11">
        <f t="shared" si="299"/>
        <v>3.4</v>
      </c>
      <c r="I2873" s="10">
        <f t="shared" si="300"/>
        <v>6.9</v>
      </c>
      <c r="J2873" s="10">
        <f t="shared" si="301"/>
        <v>7.2</v>
      </c>
      <c r="K2873" s="10">
        <f t="shared" si="302"/>
        <v>36.199999999999996</v>
      </c>
      <c r="L2873" s="10">
        <f t="shared" si="303"/>
        <v>111.80000000000001</v>
      </c>
    </row>
    <row r="2874" spans="1:12" x14ac:dyDescent="0.25">
      <c r="A2874" s="7">
        <v>45894</v>
      </c>
      <c r="B2874" t="s">
        <v>6</v>
      </c>
      <c r="C2874" s="6" t="s">
        <v>416</v>
      </c>
      <c r="D2874" s="5" t="s">
        <v>104</v>
      </c>
      <c r="E2874" s="1">
        <v>0.33263888888888887</v>
      </c>
      <c r="F2874" s="1">
        <v>0.375</v>
      </c>
      <c r="G2874" s="9">
        <f t="shared" si="298"/>
        <v>45894</v>
      </c>
      <c r="H2874" s="11">
        <f t="shared" si="299"/>
        <v>1</v>
      </c>
      <c r="I2874" s="10">
        <f t="shared" si="300"/>
        <v>1</v>
      </c>
      <c r="J2874" s="10">
        <f t="shared" si="301"/>
        <v>7.2</v>
      </c>
      <c r="K2874" s="10">
        <f t="shared" si="302"/>
        <v>1</v>
      </c>
      <c r="L2874" s="10">
        <f t="shared" si="303"/>
        <v>112.8</v>
      </c>
    </row>
    <row r="2875" spans="1:12" x14ac:dyDescent="0.25">
      <c r="A2875" s="7">
        <v>45894</v>
      </c>
      <c r="B2875" s="2" t="s">
        <v>838</v>
      </c>
      <c r="C2875" s="6">
        <v>6185</v>
      </c>
      <c r="D2875" s="5" t="s">
        <v>839</v>
      </c>
      <c r="E2875" s="1">
        <v>0.375</v>
      </c>
      <c r="F2875" s="1">
        <v>0.39583333333333331</v>
      </c>
      <c r="G2875" s="9">
        <f t="shared" si="298"/>
        <v>45894</v>
      </c>
      <c r="H2875" s="11">
        <f t="shared" si="299"/>
        <v>0.5</v>
      </c>
      <c r="I2875" s="10">
        <f t="shared" si="300"/>
        <v>1.5</v>
      </c>
      <c r="J2875" s="10">
        <f t="shared" si="301"/>
        <v>7.2</v>
      </c>
      <c r="K2875" s="10">
        <f t="shared" si="302"/>
        <v>1.5</v>
      </c>
      <c r="L2875" s="10">
        <f t="shared" si="303"/>
        <v>113.3</v>
      </c>
    </row>
    <row r="2876" spans="1:12" x14ac:dyDescent="0.25">
      <c r="A2876" s="7">
        <v>45894</v>
      </c>
      <c r="B2876" t="s">
        <v>598</v>
      </c>
      <c r="C2876" s="6">
        <v>6004</v>
      </c>
      <c r="D2876" s="5" t="s">
        <v>840</v>
      </c>
      <c r="E2876" s="1">
        <v>0.39583333333333331</v>
      </c>
      <c r="F2876" s="1">
        <v>0.50694444444444442</v>
      </c>
      <c r="G2876" s="9">
        <f t="shared" si="298"/>
        <v>45894</v>
      </c>
      <c r="H2876" s="11">
        <f t="shared" si="299"/>
        <v>2.7</v>
      </c>
      <c r="I2876" s="10">
        <f t="shared" si="300"/>
        <v>4.2</v>
      </c>
      <c r="J2876" s="10">
        <f t="shared" si="301"/>
        <v>7.2</v>
      </c>
      <c r="K2876" s="10">
        <f t="shared" si="302"/>
        <v>4.2</v>
      </c>
      <c r="L2876" s="10">
        <f t="shared" si="303"/>
        <v>116</v>
      </c>
    </row>
    <row r="2877" spans="1:12" x14ac:dyDescent="0.25">
      <c r="A2877" s="7">
        <v>45894</v>
      </c>
      <c r="B2877" s="2" t="s">
        <v>411</v>
      </c>
      <c r="C2877" s="6">
        <v>6184</v>
      </c>
      <c r="D2877" s="5" t="s">
        <v>841</v>
      </c>
      <c r="E2877" s="1">
        <v>0.52708333333333335</v>
      </c>
      <c r="F2877" s="1">
        <v>0.67222222222222228</v>
      </c>
      <c r="G2877" s="9">
        <f t="shared" si="298"/>
        <v>45894</v>
      </c>
      <c r="H2877" s="11">
        <f t="shared" si="299"/>
        <v>3.5</v>
      </c>
      <c r="I2877" s="10">
        <f t="shared" si="300"/>
        <v>7.7</v>
      </c>
      <c r="J2877" s="10">
        <f t="shared" si="301"/>
        <v>7.2</v>
      </c>
      <c r="K2877" s="10">
        <f t="shared" si="302"/>
        <v>7.7</v>
      </c>
      <c r="L2877" s="10">
        <f t="shared" si="303"/>
        <v>119.5</v>
      </c>
    </row>
    <row r="2878" spans="1:12" x14ac:dyDescent="0.25">
      <c r="A2878" s="7">
        <v>45895</v>
      </c>
      <c r="B2878" s="2" t="s">
        <v>411</v>
      </c>
      <c r="C2878" s="6">
        <v>6184</v>
      </c>
      <c r="D2878" s="5" t="s">
        <v>841</v>
      </c>
      <c r="E2878" s="1">
        <v>0.35138888888888886</v>
      </c>
      <c r="F2878" s="1">
        <v>0.49305555555555558</v>
      </c>
      <c r="G2878" s="9">
        <f t="shared" si="298"/>
        <v>45894</v>
      </c>
      <c r="H2878" s="11">
        <f t="shared" si="299"/>
        <v>3.4</v>
      </c>
      <c r="I2878" s="10">
        <f t="shared" si="300"/>
        <v>3.4</v>
      </c>
      <c r="J2878" s="10">
        <f t="shared" si="301"/>
        <v>7.2</v>
      </c>
      <c r="K2878" s="10">
        <f t="shared" si="302"/>
        <v>11.1</v>
      </c>
      <c r="L2878" s="10">
        <f t="shared" si="303"/>
        <v>122.9</v>
      </c>
    </row>
    <row r="2879" spans="1:12" x14ac:dyDescent="0.25">
      <c r="A2879" s="7">
        <v>45895</v>
      </c>
      <c r="B2879" s="2" t="s">
        <v>411</v>
      </c>
      <c r="C2879" s="6">
        <v>6184</v>
      </c>
      <c r="D2879" s="5" t="s">
        <v>841</v>
      </c>
      <c r="E2879" s="1">
        <v>0.51111111111111107</v>
      </c>
      <c r="F2879" s="1">
        <v>0.64444444444444449</v>
      </c>
      <c r="G2879" s="9">
        <f t="shared" si="298"/>
        <v>45894</v>
      </c>
      <c r="H2879" s="11">
        <f t="shared" si="299"/>
        <v>3.2</v>
      </c>
      <c r="I2879" s="10">
        <f t="shared" si="300"/>
        <v>6.6</v>
      </c>
      <c r="J2879" s="10">
        <f t="shared" si="301"/>
        <v>7.2</v>
      </c>
      <c r="K2879" s="10">
        <f t="shared" si="302"/>
        <v>14.3</v>
      </c>
      <c r="L2879" s="10">
        <f t="shared" si="303"/>
        <v>126.10000000000001</v>
      </c>
    </row>
    <row r="2880" spans="1:12" x14ac:dyDescent="0.25">
      <c r="A2880" s="7">
        <v>45896</v>
      </c>
      <c r="B2880" s="2" t="s">
        <v>411</v>
      </c>
      <c r="C2880" s="6">
        <v>6184</v>
      </c>
      <c r="D2880" s="5" t="s">
        <v>841</v>
      </c>
      <c r="E2880" s="1">
        <v>0.33124999999999999</v>
      </c>
      <c r="F2880" s="1">
        <v>0.65763888888888888</v>
      </c>
      <c r="G2880" s="9">
        <f t="shared" si="298"/>
        <v>45894</v>
      </c>
      <c r="H2880" s="11">
        <f t="shared" si="299"/>
        <v>7.8</v>
      </c>
      <c r="I2880" s="10">
        <f t="shared" si="300"/>
        <v>7.8</v>
      </c>
      <c r="J2880" s="10">
        <f t="shared" si="301"/>
        <v>7.2</v>
      </c>
      <c r="K2880" s="10">
        <f t="shared" si="302"/>
        <v>22.1</v>
      </c>
      <c r="L2880" s="10">
        <f t="shared" si="303"/>
        <v>133.9</v>
      </c>
    </row>
    <row r="2881" spans="1:12" x14ac:dyDescent="0.25">
      <c r="A2881" s="7">
        <v>45897</v>
      </c>
      <c r="B2881" s="2" t="s">
        <v>411</v>
      </c>
      <c r="C2881" s="6">
        <v>6184</v>
      </c>
      <c r="D2881" s="5" t="s">
        <v>841</v>
      </c>
      <c r="E2881" s="1">
        <v>0.35</v>
      </c>
      <c r="F2881" s="1">
        <v>0.47638888888888886</v>
      </c>
      <c r="G2881" s="9">
        <f t="shared" si="298"/>
        <v>45894</v>
      </c>
      <c r="H2881" s="11">
        <f t="shared" si="299"/>
        <v>3</v>
      </c>
      <c r="I2881" s="10">
        <f t="shared" si="300"/>
        <v>3</v>
      </c>
      <c r="J2881" s="10">
        <f t="shared" si="301"/>
        <v>7.2</v>
      </c>
      <c r="K2881" s="10">
        <f t="shared" si="302"/>
        <v>25.1</v>
      </c>
      <c r="L2881" s="10">
        <f t="shared" si="303"/>
        <v>136.9</v>
      </c>
    </row>
    <row r="2882" spans="1:12" x14ac:dyDescent="0.25">
      <c r="A2882" s="7">
        <v>45897</v>
      </c>
      <c r="B2882" t="s">
        <v>6</v>
      </c>
      <c r="C2882" s="6" t="s">
        <v>416</v>
      </c>
      <c r="D2882" s="5" t="s">
        <v>538</v>
      </c>
      <c r="E2882" s="1">
        <v>0.49236111111111114</v>
      </c>
      <c r="F2882" s="1">
        <v>0.58611111111111114</v>
      </c>
      <c r="G2882" s="9">
        <f t="shared" si="298"/>
        <v>45894</v>
      </c>
      <c r="H2882" s="11">
        <f t="shared" si="299"/>
        <v>2.2999999999999998</v>
      </c>
      <c r="I2882" s="10">
        <f t="shared" si="300"/>
        <v>5.3</v>
      </c>
      <c r="J2882" s="10">
        <f t="shared" si="301"/>
        <v>7.2</v>
      </c>
      <c r="K2882" s="10">
        <f t="shared" si="302"/>
        <v>27.400000000000002</v>
      </c>
      <c r="L2882" s="10">
        <f t="shared" si="303"/>
        <v>139.20000000000002</v>
      </c>
    </row>
    <row r="2883" spans="1:12" x14ac:dyDescent="0.25">
      <c r="A2883" s="7">
        <v>45897</v>
      </c>
      <c r="B2883" s="2" t="s">
        <v>411</v>
      </c>
      <c r="C2883" s="6">
        <v>6184</v>
      </c>
      <c r="D2883" s="5" t="s">
        <v>841</v>
      </c>
      <c r="E2883" s="1">
        <v>0.58611111111111114</v>
      </c>
      <c r="F2883" s="1">
        <v>0.64236111111111116</v>
      </c>
      <c r="G2883" s="9">
        <f t="shared" si="298"/>
        <v>45894</v>
      </c>
      <c r="H2883" s="11">
        <f t="shared" si="299"/>
        <v>1.4</v>
      </c>
      <c r="I2883" s="10">
        <f t="shared" si="300"/>
        <v>6.6999999999999993</v>
      </c>
      <c r="J2883" s="10">
        <f t="shared" si="301"/>
        <v>7.2</v>
      </c>
      <c r="K2883" s="10">
        <f t="shared" si="302"/>
        <v>28.799999999999997</v>
      </c>
      <c r="L2883" s="10">
        <f t="shared" si="303"/>
        <v>140.6</v>
      </c>
    </row>
    <row r="2884" spans="1:12" x14ac:dyDescent="0.25">
      <c r="A2884" s="7">
        <v>45898</v>
      </c>
      <c r="B2884" t="s">
        <v>598</v>
      </c>
      <c r="C2884" s="6">
        <v>6004</v>
      </c>
      <c r="D2884" s="5" t="s">
        <v>840</v>
      </c>
      <c r="E2884" s="1">
        <v>0.30694444444444446</v>
      </c>
      <c r="F2884" s="1">
        <v>0.41666666666666669</v>
      </c>
      <c r="G2884" s="9">
        <f t="shared" si="298"/>
        <v>45894</v>
      </c>
      <c r="H2884" s="11">
        <f t="shared" si="299"/>
        <v>2.6</v>
      </c>
      <c r="I2884" s="10">
        <f t="shared" si="300"/>
        <v>2.6</v>
      </c>
      <c r="J2884" s="10">
        <f t="shared" si="301"/>
        <v>7.2</v>
      </c>
      <c r="K2884" s="10">
        <f t="shared" si="302"/>
        <v>31.400000000000002</v>
      </c>
      <c r="L2884" s="10">
        <f t="shared" si="303"/>
        <v>143.19999999999999</v>
      </c>
    </row>
    <row r="2885" spans="1:12" x14ac:dyDescent="0.25">
      <c r="A2885" s="7">
        <v>45898</v>
      </c>
      <c r="B2885" t="s">
        <v>598</v>
      </c>
      <c r="C2885" s="6">
        <v>6004</v>
      </c>
      <c r="D2885" s="5" t="s">
        <v>842</v>
      </c>
      <c r="E2885" s="1">
        <v>0.41666666666666669</v>
      </c>
      <c r="F2885" s="1">
        <v>0.4909722222222222</v>
      </c>
      <c r="G2885" s="9">
        <f t="shared" ref="G2885:G2948" si="304">IF(E2885&gt;0,INT((A2885-2)/7)*7+2,"")</f>
        <v>45894</v>
      </c>
      <c r="H2885" s="11">
        <f t="shared" ref="H2885:H2948" si="305">IF(E2885&gt;0,ROUND(24*(IF(F2885&gt;0,F2885,NowTime)-E2885),1),"")</f>
        <v>1.8</v>
      </c>
      <c r="I2885" s="10">
        <f t="shared" ref="I2885:I2948" si="306">IF(H2885="",H2885,H2885+IF(A2885=A2884,_xlfn.NUMBERVALUE(I2884),0))</f>
        <v>4.4000000000000004</v>
      </c>
      <c r="J2885" s="10">
        <f t="shared" ref="J2885:J2948" si="307">IF(H2885="",H2885,7.2)</f>
        <v>7.2</v>
      </c>
      <c r="K2885" s="10">
        <f t="shared" ref="K2885:K2948" si="308">IF(H2885="",H2885,H2885+IF(G2885=G2884,_xlfn.NUMBERVALUE(K2884),0))</f>
        <v>33.199999999999996</v>
      </c>
      <c r="L2885" s="10">
        <f t="shared" ref="L2885:L2948" si="309">IF(H2885="",H2885,H2885+IF(MONTH(A2885)=MONTH(A2884),_xlfn.NUMBERVALUE(L2884),0))</f>
        <v>145</v>
      </c>
    </row>
    <row r="2886" spans="1:12" x14ac:dyDescent="0.25">
      <c r="A2886" s="7">
        <v>45898</v>
      </c>
      <c r="B2886" t="s">
        <v>6</v>
      </c>
      <c r="C2886" s="6" t="s">
        <v>416</v>
      </c>
      <c r="D2886" s="5" t="s">
        <v>505</v>
      </c>
      <c r="E2886" s="1">
        <v>0.54166666666666663</v>
      </c>
      <c r="F2886" s="1">
        <v>0.58333333333333337</v>
      </c>
      <c r="G2886" s="9">
        <f t="shared" si="304"/>
        <v>45894</v>
      </c>
      <c r="H2886" s="11">
        <f t="shared" si="305"/>
        <v>1</v>
      </c>
      <c r="I2886" s="10">
        <f t="shared" si="306"/>
        <v>5.4</v>
      </c>
      <c r="J2886" s="10">
        <f t="shared" si="307"/>
        <v>7.2</v>
      </c>
      <c r="K2886" s="10">
        <f t="shared" si="308"/>
        <v>34.200000000000003</v>
      </c>
      <c r="L2886" s="10">
        <f t="shared" si="309"/>
        <v>146</v>
      </c>
    </row>
    <row r="2887" spans="1:12" x14ac:dyDescent="0.25">
      <c r="A2887" s="7">
        <v>45898</v>
      </c>
      <c r="B2887" t="s">
        <v>598</v>
      </c>
      <c r="C2887" s="6">
        <v>6004</v>
      </c>
      <c r="D2887" s="5" t="s">
        <v>843</v>
      </c>
      <c r="E2887" s="1">
        <v>0.58333333333333337</v>
      </c>
      <c r="F2887" s="1">
        <v>0.61111111111111116</v>
      </c>
      <c r="G2887" s="9">
        <f t="shared" si="304"/>
        <v>45894</v>
      </c>
      <c r="H2887" s="11">
        <f t="shared" si="305"/>
        <v>0.7</v>
      </c>
      <c r="I2887" s="10">
        <f t="shared" si="306"/>
        <v>6.1000000000000005</v>
      </c>
      <c r="J2887" s="10">
        <f t="shared" si="307"/>
        <v>7.2</v>
      </c>
      <c r="K2887" s="10">
        <f t="shared" si="308"/>
        <v>34.900000000000006</v>
      </c>
      <c r="L2887" s="10">
        <f t="shared" si="309"/>
        <v>146.69999999999999</v>
      </c>
    </row>
    <row r="2888" spans="1:12" x14ac:dyDescent="0.25">
      <c r="A2888" s="7">
        <v>45898</v>
      </c>
      <c r="B2888" t="s">
        <v>598</v>
      </c>
      <c r="C2888" s="6">
        <v>6004</v>
      </c>
      <c r="D2888" s="5" t="s">
        <v>842</v>
      </c>
      <c r="E2888" s="1">
        <v>0.61111111111111116</v>
      </c>
      <c r="F2888" s="1">
        <v>0.65763888888888888</v>
      </c>
      <c r="G2888" s="9">
        <f t="shared" si="304"/>
        <v>45894</v>
      </c>
      <c r="H2888" s="11">
        <f t="shared" si="305"/>
        <v>1.1000000000000001</v>
      </c>
      <c r="I2888" s="10">
        <f t="shared" si="306"/>
        <v>7.1999999999999993</v>
      </c>
      <c r="J2888" s="10">
        <f t="shared" si="307"/>
        <v>7.2</v>
      </c>
      <c r="K2888" s="10">
        <f t="shared" si="308"/>
        <v>36</v>
      </c>
      <c r="L2888" s="10">
        <f t="shared" si="309"/>
        <v>147.79999999999998</v>
      </c>
    </row>
    <row r="2889" spans="1:12" x14ac:dyDescent="0.25">
      <c r="A2889" s="7">
        <v>45901</v>
      </c>
      <c r="B2889" t="s">
        <v>598</v>
      </c>
      <c r="C2889" s="6">
        <v>6004</v>
      </c>
      <c r="D2889" s="5" t="s">
        <v>842</v>
      </c>
      <c r="E2889" s="1">
        <v>0.34027777777777779</v>
      </c>
      <c r="F2889" s="1">
        <v>0.45833333333333331</v>
      </c>
      <c r="G2889" s="9">
        <f t="shared" si="304"/>
        <v>45901</v>
      </c>
      <c r="H2889" s="11">
        <f t="shared" si="305"/>
        <v>2.8</v>
      </c>
      <c r="I2889" s="10">
        <f t="shared" si="306"/>
        <v>2.8</v>
      </c>
      <c r="J2889" s="10">
        <f t="shared" si="307"/>
        <v>7.2</v>
      </c>
      <c r="K2889" s="10">
        <f t="shared" si="308"/>
        <v>2.8</v>
      </c>
      <c r="L2889" s="10">
        <f t="shared" si="309"/>
        <v>2.8</v>
      </c>
    </row>
    <row r="2890" spans="1:12" x14ac:dyDescent="0.25">
      <c r="A2890" s="7">
        <v>45901</v>
      </c>
      <c r="B2890" t="s">
        <v>6</v>
      </c>
      <c r="C2890" s="6" t="s">
        <v>416</v>
      </c>
      <c r="D2890" s="5" t="s">
        <v>844</v>
      </c>
      <c r="E2890" s="1">
        <v>0.45833333333333331</v>
      </c>
      <c r="F2890" s="1">
        <v>0.47916666666666669</v>
      </c>
      <c r="G2890" s="9">
        <f t="shared" si="304"/>
        <v>45901</v>
      </c>
      <c r="H2890" s="11">
        <f t="shared" si="305"/>
        <v>0.5</v>
      </c>
      <c r="I2890" s="10">
        <f t="shared" si="306"/>
        <v>3.3</v>
      </c>
      <c r="J2890" s="10">
        <f t="shared" si="307"/>
        <v>7.2</v>
      </c>
      <c r="K2890" s="10">
        <f t="shared" si="308"/>
        <v>3.3</v>
      </c>
      <c r="L2890" s="10">
        <f t="shared" si="309"/>
        <v>3.3</v>
      </c>
    </row>
    <row r="2891" spans="1:12" x14ac:dyDescent="0.25">
      <c r="A2891" s="7">
        <v>45901</v>
      </c>
      <c r="B2891" t="s">
        <v>6</v>
      </c>
      <c r="C2891" s="6" t="s">
        <v>416</v>
      </c>
      <c r="D2891" s="5" t="s">
        <v>845</v>
      </c>
      <c r="E2891" s="1">
        <v>0.47916666666666669</v>
      </c>
      <c r="F2891" s="1">
        <v>0.54166666666666663</v>
      </c>
      <c r="G2891" s="9">
        <f t="shared" si="304"/>
        <v>45901</v>
      </c>
      <c r="H2891" s="11">
        <f t="shared" si="305"/>
        <v>1.5</v>
      </c>
      <c r="I2891" s="10">
        <f t="shared" si="306"/>
        <v>4.8</v>
      </c>
      <c r="J2891" s="10">
        <f t="shared" si="307"/>
        <v>7.2</v>
      </c>
      <c r="K2891" s="10">
        <f t="shared" si="308"/>
        <v>4.8</v>
      </c>
      <c r="L2891" s="10">
        <f t="shared" si="309"/>
        <v>4.8</v>
      </c>
    </row>
    <row r="2892" spans="1:12" x14ac:dyDescent="0.25">
      <c r="A2892" s="7">
        <v>45901</v>
      </c>
      <c r="B2892" t="s">
        <v>598</v>
      </c>
      <c r="C2892" s="6">
        <v>6004</v>
      </c>
      <c r="D2892" s="5" t="s">
        <v>846</v>
      </c>
      <c r="E2892" s="1">
        <v>0.54166666666666663</v>
      </c>
      <c r="F2892" s="1">
        <v>0.56458333333333333</v>
      </c>
      <c r="G2892" s="9">
        <f t="shared" si="304"/>
        <v>45901</v>
      </c>
      <c r="H2892" s="11">
        <f t="shared" si="305"/>
        <v>0.6</v>
      </c>
      <c r="I2892" s="10">
        <f t="shared" si="306"/>
        <v>5.3999999999999995</v>
      </c>
      <c r="J2892" s="10">
        <f t="shared" si="307"/>
        <v>7.2</v>
      </c>
      <c r="K2892" s="10">
        <f t="shared" si="308"/>
        <v>5.3999999999999995</v>
      </c>
      <c r="L2892" s="10">
        <f t="shared" si="309"/>
        <v>5.3999999999999995</v>
      </c>
    </row>
    <row r="2893" spans="1:12" x14ac:dyDescent="0.25">
      <c r="A2893" s="7">
        <v>45901</v>
      </c>
      <c r="B2893" t="s">
        <v>6</v>
      </c>
      <c r="C2893" s="6" t="s">
        <v>416</v>
      </c>
      <c r="D2893" s="5" t="s">
        <v>845</v>
      </c>
      <c r="E2893" s="1">
        <v>0.56458333333333333</v>
      </c>
      <c r="F2893" s="1">
        <v>0.58958333333333335</v>
      </c>
      <c r="G2893" s="9">
        <f t="shared" si="304"/>
        <v>45901</v>
      </c>
      <c r="H2893" s="11">
        <f t="shared" si="305"/>
        <v>0.6</v>
      </c>
      <c r="I2893" s="10">
        <f t="shared" si="306"/>
        <v>6</v>
      </c>
      <c r="J2893" s="10">
        <f t="shared" si="307"/>
        <v>7.2</v>
      </c>
      <c r="K2893" s="10">
        <f t="shared" si="308"/>
        <v>6</v>
      </c>
      <c r="L2893" s="10">
        <f t="shared" si="309"/>
        <v>6</v>
      </c>
    </row>
    <row r="2894" spans="1:12" x14ac:dyDescent="0.25">
      <c r="A2894" s="7">
        <v>45901</v>
      </c>
      <c r="B2894" t="s">
        <v>598</v>
      </c>
      <c r="C2894" s="6">
        <v>6004</v>
      </c>
      <c r="D2894" s="5" t="s">
        <v>842</v>
      </c>
      <c r="E2894" s="1">
        <v>0.58958333333333335</v>
      </c>
      <c r="F2894" s="1">
        <v>0.59583333333333333</v>
      </c>
      <c r="G2894" s="9">
        <f t="shared" si="304"/>
        <v>45901</v>
      </c>
      <c r="H2894" s="11">
        <f t="shared" si="305"/>
        <v>0.1</v>
      </c>
      <c r="I2894" s="10">
        <f t="shared" si="306"/>
        <v>6.1</v>
      </c>
      <c r="J2894" s="10">
        <f t="shared" si="307"/>
        <v>7.2</v>
      </c>
      <c r="K2894" s="10">
        <f t="shared" si="308"/>
        <v>6.1</v>
      </c>
      <c r="L2894" s="10">
        <f t="shared" si="309"/>
        <v>6.1</v>
      </c>
    </row>
    <row r="2895" spans="1:12" x14ac:dyDescent="0.25">
      <c r="A2895" s="7">
        <v>45901</v>
      </c>
      <c r="B2895" t="s">
        <v>6</v>
      </c>
      <c r="C2895" s="6" t="s">
        <v>416</v>
      </c>
      <c r="D2895" s="5" t="s">
        <v>847</v>
      </c>
      <c r="E2895" s="1">
        <v>0.59583333333333333</v>
      </c>
      <c r="F2895" s="1">
        <v>0.61805555555555558</v>
      </c>
      <c r="G2895" s="9">
        <f t="shared" si="304"/>
        <v>45901</v>
      </c>
      <c r="H2895" s="11">
        <f t="shared" si="305"/>
        <v>0.5</v>
      </c>
      <c r="I2895" s="10">
        <f t="shared" si="306"/>
        <v>6.6</v>
      </c>
      <c r="J2895" s="10">
        <f t="shared" si="307"/>
        <v>7.2</v>
      </c>
      <c r="K2895" s="10">
        <f t="shared" si="308"/>
        <v>6.6</v>
      </c>
      <c r="L2895" s="10">
        <f t="shared" si="309"/>
        <v>6.6</v>
      </c>
    </row>
    <row r="2896" spans="1:12" x14ac:dyDescent="0.25">
      <c r="A2896" s="7">
        <v>45902</v>
      </c>
      <c r="B2896" t="s">
        <v>6</v>
      </c>
      <c r="C2896" s="6" t="s">
        <v>416</v>
      </c>
      <c r="D2896" s="5" t="s">
        <v>848</v>
      </c>
      <c r="E2896" s="1">
        <v>0.31874999999999998</v>
      </c>
      <c r="F2896" s="1">
        <v>0.49444444444444446</v>
      </c>
      <c r="G2896" s="9">
        <f t="shared" si="304"/>
        <v>45901</v>
      </c>
      <c r="H2896" s="11">
        <f t="shared" si="305"/>
        <v>4.2</v>
      </c>
      <c r="I2896" s="10">
        <f t="shared" si="306"/>
        <v>4.2</v>
      </c>
      <c r="J2896" s="10">
        <f t="shared" si="307"/>
        <v>7.2</v>
      </c>
      <c r="K2896" s="10">
        <f t="shared" si="308"/>
        <v>10.8</v>
      </c>
      <c r="L2896" s="10">
        <f t="shared" si="309"/>
        <v>10.8</v>
      </c>
    </row>
    <row r="2897" spans="1:12" x14ac:dyDescent="0.25">
      <c r="A2897" s="7">
        <v>45902</v>
      </c>
      <c r="B2897" s="2" t="s">
        <v>464</v>
      </c>
      <c r="C2897" s="6">
        <v>2431</v>
      </c>
      <c r="D2897" s="5" t="s">
        <v>849</v>
      </c>
      <c r="E2897" s="1">
        <v>0.49444444444444446</v>
      </c>
      <c r="F2897" s="1">
        <v>0.52986111111111112</v>
      </c>
      <c r="G2897" s="9">
        <f t="shared" si="304"/>
        <v>45901</v>
      </c>
      <c r="H2897" s="11">
        <f t="shared" si="305"/>
        <v>0.9</v>
      </c>
      <c r="I2897" s="10">
        <f t="shared" si="306"/>
        <v>5.1000000000000005</v>
      </c>
      <c r="J2897" s="10">
        <f t="shared" si="307"/>
        <v>7.2</v>
      </c>
      <c r="K2897" s="10">
        <f t="shared" si="308"/>
        <v>11.700000000000001</v>
      </c>
      <c r="L2897" s="10">
        <f t="shared" si="309"/>
        <v>11.700000000000001</v>
      </c>
    </row>
    <row r="2898" spans="1:12" x14ac:dyDescent="0.25">
      <c r="A2898" s="7">
        <v>45902</v>
      </c>
      <c r="B2898" t="s">
        <v>6</v>
      </c>
      <c r="C2898" s="6" t="s">
        <v>416</v>
      </c>
      <c r="D2898" s="5" t="s">
        <v>845</v>
      </c>
      <c r="E2898" s="1">
        <v>0.54097222222222219</v>
      </c>
      <c r="F2898" s="1">
        <v>0.59305555555555556</v>
      </c>
      <c r="G2898" s="9">
        <f t="shared" si="304"/>
        <v>45901</v>
      </c>
      <c r="H2898" s="11">
        <f t="shared" si="305"/>
        <v>1.3</v>
      </c>
      <c r="I2898" s="10">
        <f t="shared" si="306"/>
        <v>6.3999999999999995</v>
      </c>
      <c r="J2898" s="10">
        <f t="shared" si="307"/>
        <v>7.2</v>
      </c>
      <c r="K2898" s="10">
        <f t="shared" si="308"/>
        <v>13</v>
      </c>
      <c r="L2898" s="10">
        <f t="shared" si="309"/>
        <v>13</v>
      </c>
    </row>
    <row r="2899" spans="1:12" x14ac:dyDescent="0.25">
      <c r="A2899" s="7">
        <v>45902</v>
      </c>
      <c r="B2899" t="s">
        <v>598</v>
      </c>
      <c r="C2899" s="6">
        <v>6004</v>
      </c>
      <c r="D2899" s="5" t="s">
        <v>842</v>
      </c>
      <c r="E2899" s="1">
        <v>0.59305555555555556</v>
      </c>
      <c r="F2899" s="1">
        <v>0.64166666666666672</v>
      </c>
      <c r="G2899" s="9">
        <f t="shared" si="304"/>
        <v>45901</v>
      </c>
      <c r="H2899" s="11">
        <f t="shared" si="305"/>
        <v>1.2</v>
      </c>
      <c r="I2899" s="10">
        <f t="shared" si="306"/>
        <v>7.6000000000000005</v>
      </c>
      <c r="J2899" s="10">
        <f t="shared" si="307"/>
        <v>7.2</v>
      </c>
      <c r="K2899" s="10">
        <f t="shared" si="308"/>
        <v>14.2</v>
      </c>
      <c r="L2899" s="10">
        <f t="shared" si="309"/>
        <v>14.2</v>
      </c>
    </row>
    <row r="2900" spans="1:12" x14ac:dyDescent="0.25">
      <c r="A2900" s="7">
        <v>45903</v>
      </c>
      <c r="B2900" t="s">
        <v>6</v>
      </c>
      <c r="C2900" s="6" t="s">
        <v>416</v>
      </c>
      <c r="D2900" s="5" t="s">
        <v>845</v>
      </c>
      <c r="E2900" s="1">
        <v>0.34583333333333333</v>
      </c>
      <c r="F2900" s="1">
        <v>0.41875000000000001</v>
      </c>
      <c r="G2900" s="9">
        <f t="shared" si="304"/>
        <v>45901</v>
      </c>
      <c r="H2900" s="11">
        <f t="shared" si="305"/>
        <v>1.8</v>
      </c>
      <c r="I2900" s="10">
        <f t="shared" si="306"/>
        <v>1.8</v>
      </c>
      <c r="J2900" s="10">
        <f t="shared" si="307"/>
        <v>7.2</v>
      </c>
      <c r="K2900" s="10">
        <f t="shared" si="308"/>
        <v>16</v>
      </c>
      <c r="L2900" s="10">
        <f t="shared" si="309"/>
        <v>16</v>
      </c>
    </row>
    <row r="2901" spans="1:12" x14ac:dyDescent="0.25">
      <c r="A2901" s="7">
        <v>45903</v>
      </c>
      <c r="B2901" t="s">
        <v>6</v>
      </c>
      <c r="C2901" s="6" t="s">
        <v>416</v>
      </c>
      <c r="D2901" s="5" t="s">
        <v>850</v>
      </c>
      <c r="E2901" s="1">
        <v>0.41875000000000001</v>
      </c>
      <c r="F2901" s="1">
        <v>0.45833333333333331</v>
      </c>
      <c r="G2901" s="9">
        <f t="shared" si="304"/>
        <v>45901</v>
      </c>
      <c r="H2901" s="11">
        <f t="shared" si="305"/>
        <v>0.9</v>
      </c>
      <c r="I2901" s="10">
        <f t="shared" si="306"/>
        <v>2.7</v>
      </c>
      <c r="J2901" s="10">
        <f t="shared" si="307"/>
        <v>7.2</v>
      </c>
      <c r="K2901" s="10">
        <f t="shared" si="308"/>
        <v>16.899999999999999</v>
      </c>
      <c r="L2901" s="10">
        <f t="shared" si="309"/>
        <v>16.899999999999999</v>
      </c>
    </row>
    <row r="2902" spans="1:12" x14ac:dyDescent="0.25">
      <c r="A2902" s="7">
        <v>45903</v>
      </c>
      <c r="B2902" t="s">
        <v>598</v>
      </c>
      <c r="C2902" s="6">
        <v>6004</v>
      </c>
      <c r="D2902" s="5" t="s">
        <v>842</v>
      </c>
      <c r="E2902" s="1">
        <v>0.45833333333333331</v>
      </c>
      <c r="F2902" s="1">
        <v>0.65902777777777777</v>
      </c>
      <c r="G2902" s="9">
        <f t="shared" si="304"/>
        <v>45901</v>
      </c>
      <c r="H2902" s="11">
        <f t="shared" si="305"/>
        <v>4.8</v>
      </c>
      <c r="I2902" s="10">
        <f t="shared" si="306"/>
        <v>7.5</v>
      </c>
      <c r="J2902" s="10">
        <f t="shared" si="307"/>
        <v>7.2</v>
      </c>
      <c r="K2902" s="10">
        <f t="shared" si="308"/>
        <v>21.7</v>
      </c>
      <c r="L2902" s="10">
        <f t="shared" si="309"/>
        <v>21.7</v>
      </c>
    </row>
    <row r="2903" spans="1:12" x14ac:dyDescent="0.25">
      <c r="A2903" s="7">
        <v>45904</v>
      </c>
      <c r="B2903" t="s">
        <v>598</v>
      </c>
      <c r="C2903" s="6">
        <v>6004</v>
      </c>
      <c r="D2903" s="5" t="s">
        <v>842</v>
      </c>
      <c r="E2903" s="1">
        <v>0.34652777777777777</v>
      </c>
      <c r="F2903" s="1">
        <v>0.36805555555555558</v>
      </c>
      <c r="G2903" s="9">
        <f t="shared" si="304"/>
        <v>45901</v>
      </c>
      <c r="H2903" s="11">
        <f t="shared" si="305"/>
        <v>0.5</v>
      </c>
      <c r="I2903" s="10">
        <f t="shared" si="306"/>
        <v>0.5</v>
      </c>
      <c r="J2903" s="10">
        <f t="shared" si="307"/>
        <v>7.2</v>
      </c>
      <c r="K2903" s="10">
        <f t="shared" si="308"/>
        <v>22.2</v>
      </c>
      <c r="L2903" s="10">
        <f t="shared" si="309"/>
        <v>22.2</v>
      </c>
    </row>
    <row r="2904" spans="1:12" x14ac:dyDescent="0.25">
      <c r="A2904" s="7">
        <v>45904</v>
      </c>
      <c r="B2904" t="s">
        <v>582</v>
      </c>
      <c r="C2904" s="6">
        <v>8859</v>
      </c>
      <c r="D2904" s="5" t="s">
        <v>851</v>
      </c>
      <c r="E2904" s="1">
        <v>0.36805555555555558</v>
      </c>
      <c r="F2904" s="1">
        <v>0.48958333333333331</v>
      </c>
      <c r="G2904" s="9">
        <f t="shared" si="304"/>
        <v>45901</v>
      </c>
      <c r="H2904" s="11">
        <f t="shared" si="305"/>
        <v>2.9</v>
      </c>
      <c r="I2904" s="10">
        <f t="shared" si="306"/>
        <v>3.4</v>
      </c>
      <c r="J2904" s="10">
        <f t="shared" si="307"/>
        <v>7.2</v>
      </c>
      <c r="K2904" s="10">
        <f t="shared" si="308"/>
        <v>25.099999999999998</v>
      </c>
      <c r="L2904" s="10">
        <f t="shared" si="309"/>
        <v>25.099999999999998</v>
      </c>
    </row>
    <row r="2905" spans="1:12" x14ac:dyDescent="0.25">
      <c r="A2905" s="7">
        <v>45904</v>
      </c>
      <c r="B2905" s="2" t="s">
        <v>579</v>
      </c>
      <c r="C2905" s="6">
        <v>2682</v>
      </c>
      <c r="D2905" s="5" t="s">
        <v>90</v>
      </c>
      <c r="E2905" s="1">
        <v>0.48958333333333331</v>
      </c>
      <c r="F2905" s="1">
        <v>0.49791666666666667</v>
      </c>
      <c r="G2905" s="9">
        <f t="shared" si="304"/>
        <v>45901</v>
      </c>
      <c r="H2905" s="11">
        <f t="shared" si="305"/>
        <v>0.2</v>
      </c>
      <c r="I2905" s="10">
        <f t="shared" si="306"/>
        <v>3.6</v>
      </c>
      <c r="J2905" s="10">
        <f t="shared" si="307"/>
        <v>7.2</v>
      </c>
      <c r="K2905" s="10">
        <f t="shared" si="308"/>
        <v>25.3</v>
      </c>
      <c r="L2905" s="10">
        <f t="shared" si="309"/>
        <v>25.3</v>
      </c>
    </row>
    <row r="2906" spans="1:12" x14ac:dyDescent="0.25">
      <c r="A2906" s="7">
        <v>45904</v>
      </c>
      <c r="B2906" s="2" t="s">
        <v>579</v>
      </c>
      <c r="C2906" s="6">
        <v>2682</v>
      </c>
      <c r="D2906" s="5" t="s">
        <v>90</v>
      </c>
      <c r="E2906" s="1">
        <v>0.51875000000000004</v>
      </c>
      <c r="F2906" s="1">
        <v>0.62916666666666665</v>
      </c>
      <c r="G2906" s="9">
        <f t="shared" si="304"/>
        <v>45901</v>
      </c>
      <c r="H2906" s="11">
        <f t="shared" si="305"/>
        <v>2.7</v>
      </c>
      <c r="I2906" s="10">
        <f t="shared" si="306"/>
        <v>6.3000000000000007</v>
      </c>
      <c r="J2906" s="10">
        <f t="shared" si="307"/>
        <v>7.2</v>
      </c>
      <c r="K2906" s="10">
        <f t="shared" si="308"/>
        <v>28</v>
      </c>
      <c r="L2906" s="10">
        <f t="shared" si="309"/>
        <v>28</v>
      </c>
    </row>
    <row r="2907" spans="1:12" x14ac:dyDescent="0.25">
      <c r="A2907" s="7">
        <v>45905</v>
      </c>
      <c r="B2907" s="2" t="s">
        <v>579</v>
      </c>
      <c r="C2907" s="6">
        <v>2682</v>
      </c>
      <c r="D2907" s="5" t="s">
        <v>90</v>
      </c>
      <c r="E2907" s="1">
        <v>0.34027777777777779</v>
      </c>
      <c r="F2907" s="1">
        <v>0.38541666666666669</v>
      </c>
      <c r="G2907" s="9">
        <f t="shared" si="304"/>
        <v>45901</v>
      </c>
      <c r="H2907" s="11">
        <f t="shared" si="305"/>
        <v>1.1000000000000001</v>
      </c>
      <c r="I2907" s="10">
        <f t="shared" si="306"/>
        <v>1.1000000000000001</v>
      </c>
      <c r="J2907" s="10">
        <f t="shared" si="307"/>
        <v>7.2</v>
      </c>
      <c r="K2907" s="10">
        <f t="shared" si="308"/>
        <v>29.1</v>
      </c>
      <c r="L2907" s="10">
        <f t="shared" si="309"/>
        <v>29.1</v>
      </c>
    </row>
    <row r="2908" spans="1:12" x14ac:dyDescent="0.25">
      <c r="A2908" s="7">
        <v>45905</v>
      </c>
      <c r="B2908" s="2" t="s">
        <v>411</v>
      </c>
      <c r="C2908" s="6">
        <v>6184</v>
      </c>
      <c r="D2908" s="5" t="s">
        <v>841</v>
      </c>
      <c r="E2908" s="1">
        <v>0.38541666666666669</v>
      </c>
      <c r="F2908" s="1">
        <v>0.3923611111111111</v>
      </c>
      <c r="G2908" s="9">
        <f t="shared" si="304"/>
        <v>45901</v>
      </c>
      <c r="H2908" s="11">
        <f t="shared" si="305"/>
        <v>0.2</v>
      </c>
      <c r="I2908" s="10">
        <f t="shared" si="306"/>
        <v>1.3</v>
      </c>
      <c r="J2908" s="10">
        <f t="shared" si="307"/>
        <v>7.2</v>
      </c>
      <c r="K2908" s="10">
        <f t="shared" si="308"/>
        <v>29.3</v>
      </c>
      <c r="L2908" s="10">
        <f t="shared" si="309"/>
        <v>29.3</v>
      </c>
    </row>
    <row r="2909" spans="1:12" x14ac:dyDescent="0.25">
      <c r="A2909" s="7">
        <v>45905</v>
      </c>
      <c r="B2909" t="s">
        <v>6</v>
      </c>
      <c r="C2909" s="6" t="s">
        <v>416</v>
      </c>
      <c r="D2909" s="5" t="s">
        <v>512</v>
      </c>
      <c r="E2909" s="1">
        <v>0.3923611111111111</v>
      </c>
      <c r="F2909" s="1">
        <v>0.42430555555555555</v>
      </c>
      <c r="G2909" s="9">
        <f t="shared" si="304"/>
        <v>45901</v>
      </c>
      <c r="H2909" s="11">
        <f t="shared" si="305"/>
        <v>0.8</v>
      </c>
      <c r="I2909" s="10">
        <f t="shared" si="306"/>
        <v>2.1</v>
      </c>
      <c r="J2909" s="10">
        <f t="shared" si="307"/>
        <v>7.2</v>
      </c>
      <c r="K2909" s="10">
        <f t="shared" si="308"/>
        <v>30.1</v>
      </c>
      <c r="L2909" s="10">
        <f t="shared" si="309"/>
        <v>30.1</v>
      </c>
    </row>
    <row r="2910" spans="1:12" x14ac:dyDescent="0.25">
      <c r="A2910" s="7">
        <v>45905</v>
      </c>
      <c r="B2910" s="2" t="s">
        <v>411</v>
      </c>
      <c r="C2910" s="6">
        <v>6184</v>
      </c>
      <c r="D2910" s="5" t="s">
        <v>841</v>
      </c>
      <c r="E2910" s="1">
        <v>0.42430555555555555</v>
      </c>
      <c r="F2910" s="1">
        <v>0.47083333333333333</v>
      </c>
      <c r="G2910" s="9">
        <f t="shared" si="304"/>
        <v>45901</v>
      </c>
      <c r="H2910" s="11">
        <f t="shared" si="305"/>
        <v>1.1000000000000001</v>
      </c>
      <c r="I2910" s="10">
        <f t="shared" si="306"/>
        <v>3.2</v>
      </c>
      <c r="J2910" s="10">
        <f t="shared" si="307"/>
        <v>7.2</v>
      </c>
      <c r="K2910" s="10">
        <f t="shared" si="308"/>
        <v>31.200000000000003</v>
      </c>
      <c r="L2910" s="10">
        <f t="shared" si="309"/>
        <v>31.200000000000003</v>
      </c>
    </row>
    <row r="2911" spans="1:12" x14ac:dyDescent="0.25">
      <c r="A2911" s="7">
        <v>45905</v>
      </c>
      <c r="B2911" s="2" t="s">
        <v>464</v>
      </c>
      <c r="C2911" s="6">
        <v>2431</v>
      </c>
      <c r="D2911" s="5" t="s">
        <v>821</v>
      </c>
      <c r="E2911" s="1">
        <v>0.47083333333333333</v>
      </c>
      <c r="F2911" s="1">
        <v>0.49861111111111112</v>
      </c>
      <c r="G2911" s="9">
        <f t="shared" si="304"/>
        <v>45901</v>
      </c>
      <c r="H2911" s="11">
        <f t="shared" si="305"/>
        <v>0.7</v>
      </c>
      <c r="I2911" s="10">
        <f t="shared" si="306"/>
        <v>3.9000000000000004</v>
      </c>
      <c r="J2911" s="10">
        <f t="shared" si="307"/>
        <v>7.2</v>
      </c>
      <c r="K2911" s="10">
        <f t="shared" si="308"/>
        <v>31.9</v>
      </c>
      <c r="L2911" s="10">
        <f t="shared" si="309"/>
        <v>31.9</v>
      </c>
    </row>
    <row r="2912" spans="1:12" x14ac:dyDescent="0.25">
      <c r="A2912" s="7">
        <v>45905</v>
      </c>
      <c r="B2912" s="2" t="s">
        <v>411</v>
      </c>
      <c r="C2912" s="6">
        <v>6184</v>
      </c>
      <c r="D2912" s="5" t="s">
        <v>841</v>
      </c>
      <c r="E2912" s="1">
        <v>0.51388888888888884</v>
      </c>
      <c r="F2912" s="1">
        <v>0.58333333333333337</v>
      </c>
      <c r="G2912" s="9">
        <f t="shared" si="304"/>
        <v>45901</v>
      </c>
      <c r="H2912" s="11">
        <f t="shared" si="305"/>
        <v>1.7</v>
      </c>
      <c r="I2912" s="10">
        <f t="shared" si="306"/>
        <v>5.6</v>
      </c>
      <c r="J2912" s="10">
        <f t="shared" si="307"/>
        <v>7.2</v>
      </c>
      <c r="K2912" s="10">
        <f t="shared" si="308"/>
        <v>33.6</v>
      </c>
      <c r="L2912" s="10">
        <f t="shared" si="309"/>
        <v>33.6</v>
      </c>
    </row>
    <row r="2913" spans="1:12" x14ac:dyDescent="0.25">
      <c r="A2913" s="7">
        <v>45905</v>
      </c>
      <c r="B2913" s="2" t="s">
        <v>411</v>
      </c>
      <c r="C2913" s="6">
        <v>6184</v>
      </c>
      <c r="D2913" s="5" t="s">
        <v>44</v>
      </c>
      <c r="E2913" s="1">
        <v>0.58333333333333337</v>
      </c>
      <c r="F2913" s="1">
        <v>0.63402777777777775</v>
      </c>
      <c r="G2913" s="9">
        <f t="shared" si="304"/>
        <v>45901</v>
      </c>
      <c r="H2913" s="11">
        <f t="shared" si="305"/>
        <v>1.2</v>
      </c>
      <c r="I2913" s="10">
        <f t="shared" si="306"/>
        <v>6.8</v>
      </c>
      <c r="J2913" s="10">
        <f t="shared" si="307"/>
        <v>7.2</v>
      </c>
      <c r="K2913" s="10">
        <f t="shared" si="308"/>
        <v>34.800000000000004</v>
      </c>
      <c r="L2913" s="10">
        <f t="shared" si="309"/>
        <v>34.800000000000004</v>
      </c>
    </row>
    <row r="2914" spans="1:12" x14ac:dyDescent="0.25">
      <c r="A2914" s="7">
        <v>45908</v>
      </c>
      <c r="B2914" t="s">
        <v>6</v>
      </c>
      <c r="C2914" s="6" t="s">
        <v>416</v>
      </c>
      <c r="D2914" s="5" t="s">
        <v>585</v>
      </c>
      <c r="E2914" s="1">
        <v>0.37430555555555556</v>
      </c>
      <c r="F2914" s="1">
        <v>0.4375</v>
      </c>
      <c r="G2914" s="9">
        <f t="shared" si="304"/>
        <v>45908</v>
      </c>
      <c r="H2914" s="11">
        <f t="shared" si="305"/>
        <v>1.5</v>
      </c>
      <c r="I2914" s="10">
        <f t="shared" si="306"/>
        <v>1.5</v>
      </c>
      <c r="J2914" s="10">
        <f t="shared" si="307"/>
        <v>7.2</v>
      </c>
      <c r="K2914" s="10">
        <f t="shared" si="308"/>
        <v>1.5</v>
      </c>
      <c r="L2914" s="10">
        <f t="shared" si="309"/>
        <v>36.299999999999997</v>
      </c>
    </row>
    <row r="2915" spans="1:12" x14ac:dyDescent="0.25">
      <c r="A2915" s="7">
        <v>45908</v>
      </c>
      <c r="B2915" s="2" t="s">
        <v>411</v>
      </c>
      <c r="C2915" s="6">
        <v>6184</v>
      </c>
      <c r="D2915" s="5" t="s">
        <v>852</v>
      </c>
      <c r="E2915" s="1">
        <v>0.4375</v>
      </c>
      <c r="F2915" s="1">
        <v>0.5</v>
      </c>
      <c r="G2915" s="9">
        <f t="shared" si="304"/>
        <v>45908</v>
      </c>
      <c r="H2915" s="11">
        <f t="shared" si="305"/>
        <v>1.5</v>
      </c>
      <c r="I2915" s="10">
        <f t="shared" si="306"/>
        <v>3</v>
      </c>
      <c r="J2915" s="10">
        <f t="shared" si="307"/>
        <v>7.2</v>
      </c>
      <c r="K2915" s="10">
        <f t="shared" si="308"/>
        <v>3</v>
      </c>
      <c r="L2915" s="10">
        <f t="shared" si="309"/>
        <v>37.799999999999997</v>
      </c>
    </row>
    <row r="2916" spans="1:12" x14ac:dyDescent="0.25">
      <c r="A2916" s="7">
        <v>45908</v>
      </c>
      <c r="B2916" s="2" t="s">
        <v>411</v>
      </c>
      <c r="C2916" s="6">
        <v>6184</v>
      </c>
      <c r="D2916" s="5" t="s">
        <v>853</v>
      </c>
      <c r="E2916" s="1">
        <v>0.5</v>
      </c>
      <c r="F2916" s="1">
        <v>0.64583333333333337</v>
      </c>
      <c r="G2916" s="9">
        <f t="shared" si="304"/>
        <v>45908</v>
      </c>
      <c r="H2916" s="11">
        <f t="shared" si="305"/>
        <v>3.5</v>
      </c>
      <c r="I2916" s="10">
        <f t="shared" si="306"/>
        <v>6.5</v>
      </c>
      <c r="J2916" s="10">
        <f t="shared" si="307"/>
        <v>7.2</v>
      </c>
      <c r="K2916" s="10">
        <f t="shared" si="308"/>
        <v>6.5</v>
      </c>
      <c r="L2916" s="10">
        <f t="shared" si="309"/>
        <v>41.3</v>
      </c>
    </row>
    <row r="2917" spans="1:12" x14ac:dyDescent="0.25">
      <c r="A2917" s="7">
        <v>45909</v>
      </c>
      <c r="B2917" s="2" t="s">
        <v>411</v>
      </c>
      <c r="C2917" s="6">
        <v>6184</v>
      </c>
      <c r="D2917" s="5" t="s">
        <v>853</v>
      </c>
      <c r="E2917" s="1">
        <v>0.3527777777777778</v>
      </c>
      <c r="F2917" s="1">
        <v>0.47916666666666669</v>
      </c>
      <c r="G2917" s="9">
        <f t="shared" si="304"/>
        <v>45908</v>
      </c>
      <c r="H2917" s="11">
        <f t="shared" si="305"/>
        <v>3</v>
      </c>
      <c r="I2917" s="10">
        <f t="shared" si="306"/>
        <v>3</v>
      </c>
      <c r="J2917" s="10">
        <f t="shared" si="307"/>
        <v>7.2</v>
      </c>
      <c r="K2917" s="10">
        <f t="shared" si="308"/>
        <v>9.5</v>
      </c>
      <c r="L2917" s="10">
        <f t="shared" si="309"/>
        <v>44.3</v>
      </c>
    </row>
    <row r="2918" spans="1:12" x14ac:dyDescent="0.25">
      <c r="A2918" s="7">
        <v>45909</v>
      </c>
      <c r="B2918" t="s">
        <v>6</v>
      </c>
      <c r="C2918" s="6" t="s">
        <v>416</v>
      </c>
      <c r="D2918" s="5" t="s">
        <v>58</v>
      </c>
      <c r="E2918" s="1">
        <v>0.47916666666666669</v>
      </c>
      <c r="F2918" s="1">
        <v>0.52361111111111114</v>
      </c>
      <c r="G2918" s="9">
        <f t="shared" si="304"/>
        <v>45908</v>
      </c>
      <c r="H2918" s="11">
        <f t="shared" si="305"/>
        <v>1.1000000000000001</v>
      </c>
      <c r="I2918" s="10">
        <f t="shared" si="306"/>
        <v>4.0999999999999996</v>
      </c>
      <c r="J2918" s="10">
        <f t="shared" si="307"/>
        <v>7.2</v>
      </c>
      <c r="K2918" s="10">
        <f t="shared" si="308"/>
        <v>10.6</v>
      </c>
      <c r="L2918" s="10">
        <f t="shared" si="309"/>
        <v>45.4</v>
      </c>
    </row>
    <row r="2919" spans="1:12" x14ac:dyDescent="0.25">
      <c r="A2919" s="7">
        <v>45909</v>
      </c>
      <c r="B2919" s="2" t="s">
        <v>411</v>
      </c>
      <c r="C2919" s="6">
        <v>6184</v>
      </c>
      <c r="D2919" s="5" t="s">
        <v>853</v>
      </c>
      <c r="E2919" s="1">
        <v>0.54513888888888884</v>
      </c>
      <c r="F2919" s="1">
        <v>0.58333333333333337</v>
      </c>
      <c r="G2919" s="9">
        <f t="shared" si="304"/>
        <v>45908</v>
      </c>
      <c r="H2919" s="11">
        <f t="shared" si="305"/>
        <v>0.9</v>
      </c>
      <c r="I2919" s="10">
        <f t="shared" si="306"/>
        <v>5</v>
      </c>
      <c r="J2919" s="10">
        <f t="shared" si="307"/>
        <v>7.2</v>
      </c>
      <c r="K2919" s="10">
        <f t="shared" si="308"/>
        <v>11.5</v>
      </c>
      <c r="L2919" s="10">
        <f t="shared" si="309"/>
        <v>46.3</v>
      </c>
    </row>
    <row r="2920" spans="1:12" x14ac:dyDescent="0.25">
      <c r="A2920" s="7">
        <v>45909</v>
      </c>
      <c r="B2920" t="s">
        <v>582</v>
      </c>
      <c r="C2920" s="6">
        <v>8859</v>
      </c>
      <c r="D2920" s="5" t="s">
        <v>854</v>
      </c>
      <c r="E2920" s="1">
        <v>0.58333333333333337</v>
      </c>
      <c r="F2920" s="1">
        <v>0.61458333333333337</v>
      </c>
      <c r="G2920" s="9">
        <f t="shared" si="304"/>
        <v>45908</v>
      </c>
      <c r="H2920" s="11">
        <f t="shared" si="305"/>
        <v>0.8</v>
      </c>
      <c r="I2920" s="10">
        <f t="shared" si="306"/>
        <v>5.8</v>
      </c>
      <c r="J2920" s="10">
        <f t="shared" si="307"/>
        <v>7.2</v>
      </c>
      <c r="K2920" s="10">
        <f t="shared" si="308"/>
        <v>12.3</v>
      </c>
      <c r="L2920" s="10">
        <f t="shared" si="309"/>
        <v>47.099999999999994</v>
      </c>
    </row>
    <row r="2921" spans="1:12" x14ac:dyDescent="0.25">
      <c r="A2921" s="7">
        <v>45909</v>
      </c>
      <c r="B2921" s="2" t="s">
        <v>411</v>
      </c>
      <c r="C2921" s="6">
        <v>6184</v>
      </c>
      <c r="D2921" s="5" t="s">
        <v>853</v>
      </c>
      <c r="E2921" s="1">
        <v>0.61458333333333337</v>
      </c>
      <c r="F2921" s="1">
        <v>0.64513888888888893</v>
      </c>
      <c r="G2921" s="9">
        <f t="shared" si="304"/>
        <v>45908</v>
      </c>
      <c r="H2921" s="11">
        <f t="shared" si="305"/>
        <v>0.7</v>
      </c>
      <c r="I2921" s="10">
        <f t="shared" si="306"/>
        <v>6.5</v>
      </c>
      <c r="J2921" s="10">
        <f t="shared" si="307"/>
        <v>7.2</v>
      </c>
      <c r="K2921" s="10">
        <f t="shared" si="308"/>
        <v>13</v>
      </c>
      <c r="L2921" s="10">
        <f t="shared" si="309"/>
        <v>47.800000000000004</v>
      </c>
    </row>
    <row r="2922" spans="1:12" x14ac:dyDescent="0.25">
      <c r="A2922" s="7">
        <v>45910</v>
      </c>
      <c r="B2922" s="2" t="s">
        <v>411</v>
      </c>
      <c r="C2922" s="6">
        <v>6184</v>
      </c>
      <c r="D2922" s="5" t="s">
        <v>852</v>
      </c>
      <c r="E2922" s="1">
        <v>0.32291666666666669</v>
      </c>
      <c r="F2922" s="1">
        <v>0.69930555555555551</v>
      </c>
      <c r="G2922" s="9">
        <f t="shared" si="304"/>
        <v>45908</v>
      </c>
      <c r="H2922" s="11">
        <f t="shared" si="305"/>
        <v>9</v>
      </c>
      <c r="I2922" s="10">
        <f t="shared" si="306"/>
        <v>9</v>
      </c>
      <c r="J2922" s="10">
        <f t="shared" si="307"/>
        <v>7.2</v>
      </c>
      <c r="K2922" s="10">
        <f t="shared" si="308"/>
        <v>22</v>
      </c>
      <c r="L2922" s="10">
        <f t="shared" si="309"/>
        <v>56.8</v>
      </c>
    </row>
    <row r="2923" spans="1:12" x14ac:dyDescent="0.25">
      <c r="A2923" s="7">
        <v>45911</v>
      </c>
      <c r="B2923" s="2" t="s">
        <v>411</v>
      </c>
      <c r="C2923" s="6">
        <v>6184</v>
      </c>
      <c r="D2923" s="5" t="s">
        <v>275</v>
      </c>
      <c r="E2923" s="1">
        <v>0.35972222222222222</v>
      </c>
      <c r="F2923" s="1">
        <v>0.50208333333333333</v>
      </c>
      <c r="G2923" s="9">
        <f t="shared" si="304"/>
        <v>45908</v>
      </c>
      <c r="H2923" s="11">
        <f t="shared" si="305"/>
        <v>3.4</v>
      </c>
      <c r="I2923" s="10">
        <f t="shared" si="306"/>
        <v>3.4</v>
      </c>
      <c r="J2923" s="10">
        <f t="shared" si="307"/>
        <v>7.2</v>
      </c>
      <c r="K2923" s="10">
        <f t="shared" si="308"/>
        <v>25.4</v>
      </c>
      <c r="L2923" s="10">
        <f t="shared" si="309"/>
        <v>60.199999999999996</v>
      </c>
    </row>
    <row r="2924" spans="1:12" x14ac:dyDescent="0.25">
      <c r="A2924" s="7">
        <v>45911</v>
      </c>
      <c r="B2924" s="2" t="s">
        <v>411</v>
      </c>
      <c r="C2924" s="6">
        <v>6184</v>
      </c>
      <c r="D2924" s="5" t="s">
        <v>275</v>
      </c>
      <c r="E2924" s="1">
        <v>0.52152777777777781</v>
      </c>
      <c r="F2924" s="1">
        <v>0.65208333333333335</v>
      </c>
      <c r="G2924" s="9">
        <f t="shared" si="304"/>
        <v>45908</v>
      </c>
      <c r="H2924" s="11">
        <f t="shared" si="305"/>
        <v>3.1</v>
      </c>
      <c r="I2924" s="10">
        <f t="shared" si="306"/>
        <v>6.5</v>
      </c>
      <c r="J2924" s="10">
        <f t="shared" si="307"/>
        <v>7.2</v>
      </c>
      <c r="K2924" s="10">
        <f t="shared" si="308"/>
        <v>28.5</v>
      </c>
      <c r="L2924" s="10">
        <f t="shared" si="309"/>
        <v>63.300000000000004</v>
      </c>
    </row>
    <row r="2925" spans="1:12" x14ac:dyDescent="0.25">
      <c r="A2925" s="7">
        <v>45912</v>
      </c>
      <c r="B2925" s="2" t="s">
        <v>411</v>
      </c>
      <c r="C2925" s="6">
        <v>6184</v>
      </c>
      <c r="D2925" s="5" t="s">
        <v>275</v>
      </c>
      <c r="E2925" s="1">
        <v>0.31527777777777777</v>
      </c>
      <c r="F2925" s="1">
        <v>0.40972222222222221</v>
      </c>
      <c r="G2925" s="9">
        <f t="shared" si="304"/>
        <v>45908</v>
      </c>
      <c r="H2925" s="11">
        <f t="shared" si="305"/>
        <v>2.2999999999999998</v>
      </c>
      <c r="I2925" s="10">
        <f t="shared" si="306"/>
        <v>2.2999999999999998</v>
      </c>
      <c r="J2925" s="10">
        <f t="shared" si="307"/>
        <v>7.2</v>
      </c>
      <c r="K2925" s="10">
        <f t="shared" si="308"/>
        <v>30.8</v>
      </c>
      <c r="L2925" s="10">
        <f t="shared" si="309"/>
        <v>65.599999999999994</v>
      </c>
    </row>
    <row r="2926" spans="1:12" x14ac:dyDescent="0.25">
      <c r="A2926" s="7">
        <v>45912</v>
      </c>
      <c r="B2926" t="s">
        <v>598</v>
      </c>
      <c r="C2926" s="6">
        <v>6004</v>
      </c>
      <c r="D2926" s="5" t="s">
        <v>842</v>
      </c>
      <c r="E2926" s="1">
        <v>0.40972222222222221</v>
      </c>
      <c r="F2926" s="1">
        <v>0.4861111111111111</v>
      </c>
      <c r="G2926" s="9">
        <f t="shared" si="304"/>
        <v>45908</v>
      </c>
      <c r="H2926" s="11">
        <f t="shared" si="305"/>
        <v>1.8</v>
      </c>
      <c r="I2926" s="10">
        <f t="shared" si="306"/>
        <v>4.0999999999999996</v>
      </c>
      <c r="J2926" s="10">
        <f t="shared" si="307"/>
        <v>7.2</v>
      </c>
      <c r="K2926" s="10">
        <f t="shared" si="308"/>
        <v>32.6</v>
      </c>
      <c r="L2926" s="10">
        <f t="shared" si="309"/>
        <v>67.399999999999991</v>
      </c>
    </row>
    <row r="2927" spans="1:12" x14ac:dyDescent="0.25">
      <c r="A2927" s="7">
        <v>45912</v>
      </c>
      <c r="B2927" t="s">
        <v>598</v>
      </c>
      <c r="C2927" s="6">
        <v>6004</v>
      </c>
      <c r="D2927" s="5" t="s">
        <v>840</v>
      </c>
      <c r="E2927" s="1">
        <v>0.51249999999999996</v>
      </c>
      <c r="F2927" s="1">
        <v>0.65347222222222223</v>
      </c>
      <c r="G2927" s="9">
        <f t="shared" si="304"/>
        <v>45908</v>
      </c>
      <c r="H2927" s="11">
        <f t="shared" si="305"/>
        <v>3.4</v>
      </c>
      <c r="I2927" s="10">
        <f t="shared" si="306"/>
        <v>7.5</v>
      </c>
      <c r="J2927" s="10">
        <f t="shared" si="307"/>
        <v>7.2</v>
      </c>
      <c r="K2927" s="10">
        <f t="shared" si="308"/>
        <v>36</v>
      </c>
      <c r="L2927" s="10">
        <f t="shared" si="309"/>
        <v>70.800000000000011</v>
      </c>
    </row>
    <row r="2928" spans="1:12" x14ac:dyDescent="0.25">
      <c r="A2928" s="7">
        <v>45915</v>
      </c>
      <c r="B2928" t="s">
        <v>6</v>
      </c>
      <c r="C2928" s="6" t="s">
        <v>416</v>
      </c>
      <c r="D2928" s="5" t="s">
        <v>855</v>
      </c>
      <c r="E2928" s="1">
        <v>0.33124999999999999</v>
      </c>
      <c r="F2928" s="1">
        <v>0.40208333333333335</v>
      </c>
      <c r="G2928" s="9">
        <f t="shared" si="304"/>
        <v>45915</v>
      </c>
      <c r="H2928" s="11">
        <f t="shared" si="305"/>
        <v>1.7</v>
      </c>
      <c r="I2928" s="10">
        <f t="shared" si="306"/>
        <v>1.7</v>
      </c>
      <c r="J2928" s="10">
        <f t="shared" si="307"/>
        <v>7.2</v>
      </c>
      <c r="K2928" s="10">
        <f t="shared" si="308"/>
        <v>1.7</v>
      </c>
      <c r="L2928" s="10">
        <f t="shared" si="309"/>
        <v>72.5</v>
      </c>
    </row>
    <row r="2929" spans="1:12" x14ac:dyDescent="0.25">
      <c r="A2929" s="7">
        <v>45915</v>
      </c>
      <c r="B2929" t="s">
        <v>598</v>
      </c>
      <c r="C2929" s="6">
        <v>6004</v>
      </c>
      <c r="D2929" s="5" t="s">
        <v>840</v>
      </c>
      <c r="E2929" s="1">
        <v>0.40208333333333335</v>
      </c>
      <c r="F2929" s="1">
        <v>0.48333333333333334</v>
      </c>
      <c r="G2929" s="9">
        <f t="shared" si="304"/>
        <v>45915</v>
      </c>
      <c r="H2929" s="11">
        <f t="shared" si="305"/>
        <v>2</v>
      </c>
      <c r="I2929" s="10">
        <f t="shared" si="306"/>
        <v>3.7</v>
      </c>
      <c r="J2929" s="10">
        <f t="shared" si="307"/>
        <v>7.2</v>
      </c>
      <c r="K2929" s="10">
        <f t="shared" si="308"/>
        <v>3.7</v>
      </c>
      <c r="L2929" s="10">
        <f t="shared" si="309"/>
        <v>74.5</v>
      </c>
    </row>
    <row r="2930" spans="1:12" x14ac:dyDescent="0.25">
      <c r="A2930" s="7">
        <v>45915</v>
      </c>
      <c r="B2930" t="s">
        <v>598</v>
      </c>
      <c r="C2930" s="6">
        <v>6004</v>
      </c>
      <c r="D2930" s="5" t="s">
        <v>840</v>
      </c>
      <c r="E2930" s="1">
        <v>0.5</v>
      </c>
      <c r="F2930" s="1">
        <v>0.57847222222222228</v>
      </c>
      <c r="G2930" s="9">
        <f t="shared" si="304"/>
        <v>45915</v>
      </c>
      <c r="H2930" s="11">
        <f t="shared" si="305"/>
        <v>1.9</v>
      </c>
      <c r="I2930" s="10">
        <f t="shared" si="306"/>
        <v>5.6</v>
      </c>
      <c r="J2930" s="10">
        <f t="shared" si="307"/>
        <v>7.2</v>
      </c>
      <c r="K2930" s="10">
        <f t="shared" si="308"/>
        <v>5.6</v>
      </c>
      <c r="L2930" s="10">
        <f t="shared" si="309"/>
        <v>76.400000000000006</v>
      </c>
    </row>
    <row r="2931" spans="1:12" x14ac:dyDescent="0.25">
      <c r="A2931" s="7">
        <v>45915</v>
      </c>
      <c r="B2931" t="s">
        <v>6</v>
      </c>
      <c r="C2931" s="6" t="s">
        <v>416</v>
      </c>
      <c r="D2931" s="5" t="s">
        <v>856</v>
      </c>
      <c r="E2931" s="1">
        <v>0.57847222222222228</v>
      </c>
      <c r="F2931" s="1">
        <v>0.60416666666666663</v>
      </c>
      <c r="G2931" s="9">
        <f t="shared" si="304"/>
        <v>45915</v>
      </c>
      <c r="H2931" s="11">
        <f t="shared" si="305"/>
        <v>0.6</v>
      </c>
      <c r="I2931" s="10">
        <f t="shared" si="306"/>
        <v>6.1999999999999993</v>
      </c>
      <c r="J2931" s="10">
        <f t="shared" si="307"/>
        <v>7.2</v>
      </c>
      <c r="K2931" s="10">
        <f t="shared" si="308"/>
        <v>6.1999999999999993</v>
      </c>
      <c r="L2931" s="10">
        <f t="shared" si="309"/>
        <v>77</v>
      </c>
    </row>
    <row r="2932" spans="1:12" x14ac:dyDescent="0.25">
      <c r="A2932" s="7">
        <v>45915</v>
      </c>
      <c r="B2932" t="s">
        <v>598</v>
      </c>
      <c r="C2932" s="6">
        <v>6004</v>
      </c>
      <c r="D2932" s="5" t="s">
        <v>44</v>
      </c>
      <c r="E2932" s="1">
        <v>0.60416666666666663</v>
      </c>
      <c r="F2932" s="1">
        <v>0.63402777777777775</v>
      </c>
      <c r="G2932" s="9">
        <f t="shared" si="304"/>
        <v>45915</v>
      </c>
      <c r="H2932" s="11">
        <f t="shared" si="305"/>
        <v>0.7</v>
      </c>
      <c r="I2932" s="10">
        <f t="shared" si="306"/>
        <v>6.9</v>
      </c>
      <c r="J2932" s="10">
        <f t="shared" si="307"/>
        <v>7.2</v>
      </c>
      <c r="K2932" s="10">
        <f t="shared" si="308"/>
        <v>6.9</v>
      </c>
      <c r="L2932" s="10">
        <f t="shared" si="309"/>
        <v>77.7</v>
      </c>
    </row>
    <row r="2933" spans="1:12" x14ac:dyDescent="0.25">
      <c r="A2933" s="7">
        <v>45915</v>
      </c>
      <c r="B2933" t="s">
        <v>598</v>
      </c>
      <c r="C2933" s="6">
        <v>6004</v>
      </c>
      <c r="D2933" s="5" t="s">
        <v>840</v>
      </c>
      <c r="E2933" s="1">
        <v>0.63402777777777775</v>
      </c>
      <c r="F2933" s="1">
        <v>0.65694444444444444</v>
      </c>
      <c r="G2933" s="9">
        <f t="shared" si="304"/>
        <v>45915</v>
      </c>
      <c r="H2933" s="11">
        <f t="shared" si="305"/>
        <v>0.6</v>
      </c>
      <c r="I2933" s="10">
        <f t="shared" si="306"/>
        <v>7.5</v>
      </c>
      <c r="J2933" s="10">
        <f t="shared" si="307"/>
        <v>7.2</v>
      </c>
      <c r="K2933" s="10">
        <f t="shared" si="308"/>
        <v>7.5</v>
      </c>
      <c r="L2933" s="10">
        <f t="shared" si="309"/>
        <v>78.3</v>
      </c>
    </row>
    <row r="2934" spans="1:12" x14ac:dyDescent="0.25">
      <c r="A2934" s="7">
        <v>45916</v>
      </c>
      <c r="B2934" t="s">
        <v>598</v>
      </c>
      <c r="C2934" s="6">
        <v>6004</v>
      </c>
      <c r="D2934" s="5" t="s">
        <v>840</v>
      </c>
      <c r="E2934" s="1">
        <v>0.31805555555555554</v>
      </c>
      <c r="F2934" s="1">
        <v>0.48749999999999999</v>
      </c>
      <c r="G2934" s="9">
        <f t="shared" si="304"/>
        <v>45915</v>
      </c>
      <c r="H2934" s="11">
        <f t="shared" si="305"/>
        <v>4.0999999999999996</v>
      </c>
      <c r="I2934" s="10">
        <f t="shared" si="306"/>
        <v>4.0999999999999996</v>
      </c>
      <c r="J2934" s="10">
        <f t="shared" si="307"/>
        <v>7.2</v>
      </c>
      <c r="K2934" s="10">
        <f t="shared" si="308"/>
        <v>11.6</v>
      </c>
      <c r="L2934" s="10">
        <f t="shared" si="309"/>
        <v>82.399999999999991</v>
      </c>
    </row>
    <row r="2935" spans="1:12" x14ac:dyDescent="0.25">
      <c r="A2935" s="7">
        <v>45916</v>
      </c>
      <c r="B2935" t="s">
        <v>598</v>
      </c>
      <c r="C2935" s="6">
        <v>6004</v>
      </c>
      <c r="D2935" s="5" t="s">
        <v>840</v>
      </c>
      <c r="E2935" s="1">
        <v>0.51736111111111116</v>
      </c>
      <c r="F2935" s="1">
        <v>0.61458333333333337</v>
      </c>
      <c r="G2935" s="9">
        <f t="shared" si="304"/>
        <v>45915</v>
      </c>
      <c r="H2935" s="11">
        <f t="shared" si="305"/>
        <v>2.2999999999999998</v>
      </c>
      <c r="I2935" s="10">
        <f t="shared" si="306"/>
        <v>6.3999999999999995</v>
      </c>
      <c r="J2935" s="10">
        <f t="shared" si="307"/>
        <v>7.2</v>
      </c>
      <c r="K2935" s="10">
        <f t="shared" si="308"/>
        <v>13.899999999999999</v>
      </c>
      <c r="L2935" s="10">
        <f t="shared" si="309"/>
        <v>84.7</v>
      </c>
    </row>
    <row r="2936" spans="1:12" x14ac:dyDescent="0.25">
      <c r="A2936" s="7">
        <v>45917</v>
      </c>
      <c r="B2936" t="s">
        <v>598</v>
      </c>
      <c r="C2936" s="6">
        <v>6004</v>
      </c>
      <c r="D2936" s="5" t="s">
        <v>840</v>
      </c>
      <c r="E2936" s="1">
        <v>0.3263888888888889</v>
      </c>
      <c r="F2936" s="1">
        <v>0.53472222222222221</v>
      </c>
      <c r="G2936" s="9">
        <f t="shared" si="304"/>
        <v>45915</v>
      </c>
      <c r="H2936" s="11">
        <f t="shared" si="305"/>
        <v>5</v>
      </c>
      <c r="I2936" s="10">
        <f t="shared" si="306"/>
        <v>5</v>
      </c>
      <c r="J2936" s="10">
        <f t="shared" si="307"/>
        <v>7.2</v>
      </c>
      <c r="K2936" s="10">
        <f t="shared" si="308"/>
        <v>18.899999999999999</v>
      </c>
      <c r="L2936" s="10">
        <f t="shared" si="309"/>
        <v>89.7</v>
      </c>
    </row>
    <row r="2937" spans="1:12" x14ac:dyDescent="0.25">
      <c r="A2937" s="7">
        <v>45917</v>
      </c>
      <c r="B2937" t="s">
        <v>598</v>
      </c>
      <c r="C2937" s="6">
        <v>6004</v>
      </c>
      <c r="D2937" s="5" t="s">
        <v>840</v>
      </c>
      <c r="E2937" s="1">
        <v>0.5493055555555556</v>
      </c>
      <c r="F2937" s="1">
        <v>0.59583333333333333</v>
      </c>
      <c r="G2937" s="9">
        <f t="shared" si="304"/>
        <v>45915</v>
      </c>
      <c r="H2937" s="11">
        <f t="shared" si="305"/>
        <v>1.1000000000000001</v>
      </c>
      <c r="I2937" s="10">
        <f t="shared" si="306"/>
        <v>6.1</v>
      </c>
      <c r="J2937" s="10">
        <f t="shared" si="307"/>
        <v>7.2</v>
      </c>
      <c r="K2937" s="10">
        <f t="shared" si="308"/>
        <v>20</v>
      </c>
      <c r="L2937" s="10">
        <f t="shared" si="309"/>
        <v>90.8</v>
      </c>
    </row>
    <row r="2938" spans="1:12" x14ac:dyDescent="0.25">
      <c r="A2938" s="7">
        <v>45918</v>
      </c>
      <c r="B2938" s="2" t="s">
        <v>579</v>
      </c>
      <c r="C2938" s="6">
        <v>2682</v>
      </c>
      <c r="D2938" s="5" t="s">
        <v>857</v>
      </c>
      <c r="E2938" s="1">
        <v>0.33402777777777776</v>
      </c>
      <c r="F2938" s="1">
        <v>0.5</v>
      </c>
      <c r="G2938" s="9">
        <f t="shared" si="304"/>
        <v>45915</v>
      </c>
      <c r="H2938" s="11">
        <f t="shared" si="305"/>
        <v>4</v>
      </c>
      <c r="I2938" s="10">
        <f t="shared" si="306"/>
        <v>4</v>
      </c>
      <c r="J2938" s="10">
        <f t="shared" si="307"/>
        <v>7.2</v>
      </c>
      <c r="K2938" s="10">
        <f t="shared" si="308"/>
        <v>24</v>
      </c>
      <c r="L2938" s="10">
        <f t="shared" si="309"/>
        <v>94.8</v>
      </c>
    </row>
    <row r="2939" spans="1:12" x14ac:dyDescent="0.25">
      <c r="A2939" s="7">
        <v>45918</v>
      </c>
      <c r="B2939" s="2" t="s">
        <v>579</v>
      </c>
      <c r="C2939" s="6">
        <v>2682</v>
      </c>
      <c r="D2939" s="5" t="s">
        <v>857</v>
      </c>
      <c r="E2939" s="1">
        <v>0.52500000000000002</v>
      </c>
      <c r="F2939" s="1">
        <v>0.67708333333333337</v>
      </c>
      <c r="G2939" s="9">
        <f t="shared" si="304"/>
        <v>45915</v>
      </c>
      <c r="H2939" s="11">
        <f t="shared" si="305"/>
        <v>3.7</v>
      </c>
      <c r="I2939" s="10">
        <f t="shared" si="306"/>
        <v>7.7</v>
      </c>
      <c r="J2939" s="10">
        <f t="shared" si="307"/>
        <v>7.2</v>
      </c>
      <c r="K2939" s="10">
        <f t="shared" si="308"/>
        <v>27.7</v>
      </c>
      <c r="L2939" s="10">
        <f t="shared" si="309"/>
        <v>98.5</v>
      </c>
    </row>
    <row r="2940" spans="1:12" x14ac:dyDescent="0.25">
      <c r="A2940" s="7">
        <v>45919</v>
      </c>
      <c r="B2940" t="s">
        <v>6</v>
      </c>
      <c r="C2940" s="6" t="s">
        <v>416</v>
      </c>
      <c r="D2940" s="5" t="s">
        <v>447</v>
      </c>
      <c r="E2940" s="1">
        <v>0.32916666666666666</v>
      </c>
      <c r="F2940" s="1">
        <v>0.41944444444444445</v>
      </c>
      <c r="G2940" s="9">
        <f t="shared" si="304"/>
        <v>45915</v>
      </c>
      <c r="H2940" s="11">
        <f t="shared" si="305"/>
        <v>2.2000000000000002</v>
      </c>
      <c r="I2940" s="10">
        <f t="shared" si="306"/>
        <v>2.2000000000000002</v>
      </c>
      <c r="J2940" s="10">
        <f t="shared" si="307"/>
        <v>7.2</v>
      </c>
      <c r="K2940" s="10">
        <f t="shared" si="308"/>
        <v>29.9</v>
      </c>
      <c r="L2940" s="10">
        <f t="shared" si="309"/>
        <v>100.7</v>
      </c>
    </row>
    <row r="2941" spans="1:12" x14ac:dyDescent="0.25">
      <c r="A2941" s="7">
        <v>45919</v>
      </c>
      <c r="B2941" s="2" t="s">
        <v>411</v>
      </c>
      <c r="C2941" s="6">
        <v>6184</v>
      </c>
      <c r="D2941" s="5" t="s">
        <v>275</v>
      </c>
      <c r="E2941" s="1">
        <v>0.41944444444444445</v>
      </c>
      <c r="F2941" s="1">
        <v>0.4909722222222222</v>
      </c>
      <c r="G2941" s="9">
        <f t="shared" si="304"/>
        <v>45915</v>
      </c>
      <c r="H2941" s="11">
        <f t="shared" si="305"/>
        <v>1.7</v>
      </c>
      <c r="I2941" s="10">
        <f t="shared" si="306"/>
        <v>3.9000000000000004</v>
      </c>
      <c r="J2941" s="10">
        <f t="shared" si="307"/>
        <v>7.2</v>
      </c>
      <c r="K2941" s="10">
        <f t="shared" si="308"/>
        <v>31.599999999999998</v>
      </c>
      <c r="L2941" s="10">
        <f t="shared" si="309"/>
        <v>102.4</v>
      </c>
    </row>
    <row r="2942" spans="1:12" x14ac:dyDescent="0.25">
      <c r="A2942" s="7">
        <v>45919</v>
      </c>
      <c r="B2942" s="2" t="s">
        <v>411</v>
      </c>
      <c r="C2942" s="6">
        <v>6184</v>
      </c>
      <c r="D2942" s="5" t="s">
        <v>275</v>
      </c>
      <c r="E2942" s="1">
        <v>0.52152777777777781</v>
      </c>
      <c r="F2942" s="1">
        <v>0.54166666666666663</v>
      </c>
      <c r="G2942" s="9">
        <f t="shared" si="304"/>
        <v>45915</v>
      </c>
      <c r="H2942" s="11">
        <f t="shared" si="305"/>
        <v>0.5</v>
      </c>
      <c r="I2942" s="10">
        <f t="shared" si="306"/>
        <v>4.4000000000000004</v>
      </c>
      <c r="J2942" s="10">
        <f t="shared" si="307"/>
        <v>7.2</v>
      </c>
      <c r="K2942" s="10">
        <f t="shared" si="308"/>
        <v>32.1</v>
      </c>
      <c r="L2942" s="10">
        <f t="shared" si="309"/>
        <v>102.9</v>
      </c>
    </row>
    <row r="2943" spans="1:12" x14ac:dyDescent="0.25">
      <c r="A2943" s="7">
        <v>45919</v>
      </c>
      <c r="B2943" t="s">
        <v>6</v>
      </c>
      <c r="C2943" s="6" t="s">
        <v>416</v>
      </c>
      <c r="D2943" s="5" t="s">
        <v>505</v>
      </c>
      <c r="E2943" s="1">
        <v>0.54166666666666663</v>
      </c>
      <c r="F2943" s="1">
        <v>0.59375</v>
      </c>
      <c r="G2943" s="9">
        <f t="shared" si="304"/>
        <v>45915</v>
      </c>
      <c r="H2943" s="11">
        <f t="shared" si="305"/>
        <v>1.3</v>
      </c>
      <c r="I2943" s="10">
        <f t="shared" si="306"/>
        <v>5.7</v>
      </c>
      <c r="J2943" s="10">
        <f t="shared" si="307"/>
        <v>7.2</v>
      </c>
      <c r="K2943" s="10">
        <f t="shared" si="308"/>
        <v>33.4</v>
      </c>
      <c r="L2943" s="10">
        <f t="shared" si="309"/>
        <v>104.2</v>
      </c>
    </row>
    <row r="2944" spans="1:12" x14ac:dyDescent="0.25">
      <c r="A2944" s="7">
        <v>45922</v>
      </c>
      <c r="B2944" t="s">
        <v>6</v>
      </c>
      <c r="C2944" s="6" t="s">
        <v>416</v>
      </c>
      <c r="D2944" s="5" t="s">
        <v>585</v>
      </c>
      <c r="E2944" s="1">
        <v>0.33541666666666664</v>
      </c>
      <c r="F2944" s="1">
        <v>0.36458333333333331</v>
      </c>
      <c r="G2944" s="9">
        <f t="shared" si="304"/>
        <v>45922</v>
      </c>
      <c r="H2944" s="11">
        <f t="shared" si="305"/>
        <v>0.7</v>
      </c>
      <c r="I2944" s="10">
        <f t="shared" si="306"/>
        <v>0.7</v>
      </c>
      <c r="J2944" s="10">
        <f t="shared" si="307"/>
        <v>7.2</v>
      </c>
      <c r="K2944" s="10">
        <f t="shared" si="308"/>
        <v>0.7</v>
      </c>
      <c r="L2944" s="10">
        <f t="shared" si="309"/>
        <v>104.9</v>
      </c>
    </row>
    <row r="2945" spans="1:12" x14ac:dyDescent="0.25">
      <c r="A2945" s="7">
        <v>45922</v>
      </c>
      <c r="B2945" t="s">
        <v>551</v>
      </c>
      <c r="C2945" s="6">
        <v>6184</v>
      </c>
      <c r="D2945" s="5" t="s">
        <v>858</v>
      </c>
      <c r="E2945" s="1">
        <v>0.36458333333333331</v>
      </c>
      <c r="F2945" s="1">
        <v>0.3972222222222222</v>
      </c>
      <c r="G2945" s="9">
        <f t="shared" si="304"/>
        <v>45922</v>
      </c>
      <c r="H2945" s="11">
        <f t="shared" si="305"/>
        <v>0.8</v>
      </c>
      <c r="I2945" s="10">
        <f t="shared" si="306"/>
        <v>1.5</v>
      </c>
      <c r="J2945" s="10">
        <f t="shared" si="307"/>
        <v>7.2</v>
      </c>
      <c r="K2945" s="10">
        <f t="shared" si="308"/>
        <v>1.5</v>
      </c>
      <c r="L2945" s="10">
        <f t="shared" si="309"/>
        <v>105.7</v>
      </c>
    </row>
    <row r="2946" spans="1:12" x14ac:dyDescent="0.25">
      <c r="A2946" s="7">
        <v>45922</v>
      </c>
      <c r="B2946" s="2" t="s">
        <v>838</v>
      </c>
      <c r="C2946" s="6">
        <v>6185</v>
      </c>
      <c r="D2946" s="5" t="s">
        <v>859</v>
      </c>
      <c r="E2946" s="1">
        <v>0.3972222222222222</v>
      </c>
      <c r="F2946" s="1">
        <v>0.45833333333333331</v>
      </c>
      <c r="G2946" s="9">
        <f t="shared" si="304"/>
        <v>45922</v>
      </c>
      <c r="H2946" s="11">
        <f t="shared" si="305"/>
        <v>1.5</v>
      </c>
      <c r="I2946" s="10">
        <f t="shared" si="306"/>
        <v>3</v>
      </c>
      <c r="J2946" s="10">
        <f t="shared" si="307"/>
        <v>7.2</v>
      </c>
      <c r="K2946" s="10">
        <f t="shared" si="308"/>
        <v>3</v>
      </c>
      <c r="L2946" s="10">
        <f t="shared" si="309"/>
        <v>107.2</v>
      </c>
    </row>
    <row r="2947" spans="1:12" x14ac:dyDescent="0.25">
      <c r="A2947" s="7">
        <v>45922</v>
      </c>
      <c r="B2947" t="s">
        <v>551</v>
      </c>
      <c r="C2947" s="6">
        <v>6184</v>
      </c>
      <c r="D2947" s="5" t="s">
        <v>300</v>
      </c>
      <c r="E2947" s="1">
        <v>0.45833333333333331</v>
      </c>
      <c r="F2947" s="1">
        <v>0.48194444444444445</v>
      </c>
      <c r="G2947" s="9">
        <f t="shared" si="304"/>
        <v>45922</v>
      </c>
      <c r="H2947" s="11">
        <f t="shared" si="305"/>
        <v>0.6</v>
      </c>
      <c r="I2947" s="10">
        <f t="shared" si="306"/>
        <v>3.6</v>
      </c>
      <c r="J2947" s="10">
        <f t="shared" si="307"/>
        <v>7.2</v>
      </c>
      <c r="K2947" s="10">
        <f t="shared" si="308"/>
        <v>3.6</v>
      </c>
      <c r="L2947" s="10">
        <f t="shared" si="309"/>
        <v>107.8</v>
      </c>
    </row>
    <row r="2948" spans="1:12" x14ac:dyDescent="0.25">
      <c r="A2948" s="7">
        <v>45922</v>
      </c>
      <c r="B2948" s="2" t="s">
        <v>579</v>
      </c>
      <c r="C2948" s="6">
        <v>2682</v>
      </c>
      <c r="D2948" s="5" t="s">
        <v>857</v>
      </c>
      <c r="E2948" s="1">
        <v>0.48194444444444445</v>
      </c>
      <c r="F2948" s="1">
        <v>0.6381944444444444</v>
      </c>
      <c r="G2948" s="9">
        <f t="shared" si="304"/>
        <v>45922</v>
      </c>
      <c r="H2948" s="11">
        <f t="shared" si="305"/>
        <v>3.8</v>
      </c>
      <c r="I2948" s="10">
        <f t="shared" si="306"/>
        <v>7.4</v>
      </c>
      <c r="J2948" s="10">
        <f t="shared" si="307"/>
        <v>7.2</v>
      </c>
      <c r="K2948" s="10">
        <f t="shared" si="308"/>
        <v>7.4</v>
      </c>
      <c r="L2948" s="10">
        <f t="shared" si="309"/>
        <v>111.6</v>
      </c>
    </row>
    <row r="2949" spans="1:12" x14ac:dyDescent="0.25">
      <c r="A2949" s="7">
        <v>45923</v>
      </c>
      <c r="B2949" t="s">
        <v>598</v>
      </c>
      <c r="C2949" s="6">
        <v>6004</v>
      </c>
      <c r="D2949" s="5" t="s">
        <v>842</v>
      </c>
      <c r="E2949" s="1">
        <v>0.32430555555555557</v>
      </c>
      <c r="F2949" s="1">
        <v>0.49583333333333335</v>
      </c>
      <c r="G2949" s="9">
        <f t="shared" ref="G2949:G3012" si="310">IF(E2949&gt;0,INT((A2949-2)/7)*7+2,"")</f>
        <v>45922</v>
      </c>
      <c r="H2949" s="11">
        <f t="shared" ref="H2949:H3012" si="311">IF(E2949&gt;0,ROUND(24*(IF(F2949&gt;0,F2949,NowTime)-E2949),1),"")</f>
        <v>4.0999999999999996</v>
      </c>
      <c r="I2949" s="10">
        <f t="shared" ref="I2949:I3012" si="312">IF(H2949="",H2949,H2949+IF(A2949=A2948,_xlfn.NUMBERVALUE(I2948),0))</f>
        <v>4.0999999999999996</v>
      </c>
      <c r="J2949" s="10">
        <f t="shared" ref="J2949:J3012" si="313">IF(H2949="",H2949,7.2)</f>
        <v>7.2</v>
      </c>
      <c r="K2949" s="10">
        <f t="shared" ref="K2949:K3012" si="314">IF(H2949="",H2949,H2949+IF(G2949=G2948,_xlfn.NUMBERVALUE(K2948),0))</f>
        <v>11.5</v>
      </c>
      <c r="L2949" s="10">
        <f t="shared" ref="L2949:L3012" si="315">IF(H2949="",H2949,H2949+IF(MONTH(A2949)=MONTH(A2948),_xlfn.NUMBERVALUE(L2948),0))</f>
        <v>115.69999999999999</v>
      </c>
    </row>
    <row r="2950" spans="1:12" x14ac:dyDescent="0.25">
      <c r="A2950" s="7">
        <v>45923</v>
      </c>
      <c r="B2950" s="2" t="s">
        <v>411</v>
      </c>
      <c r="C2950" s="6">
        <v>6184</v>
      </c>
      <c r="D2950" s="5" t="s">
        <v>275</v>
      </c>
      <c r="E2950" s="1">
        <v>0.5131944444444444</v>
      </c>
      <c r="F2950" s="1">
        <v>0.58472222222222225</v>
      </c>
      <c r="G2950" s="9">
        <f t="shared" si="310"/>
        <v>45922</v>
      </c>
      <c r="H2950" s="11">
        <f t="shared" si="311"/>
        <v>1.7</v>
      </c>
      <c r="I2950" s="10">
        <f t="shared" si="312"/>
        <v>5.8</v>
      </c>
      <c r="J2950" s="10">
        <f t="shared" si="313"/>
        <v>7.2</v>
      </c>
      <c r="K2950" s="10">
        <f t="shared" si="314"/>
        <v>13.2</v>
      </c>
      <c r="L2950" s="10">
        <f t="shared" si="315"/>
        <v>117.4</v>
      </c>
    </row>
    <row r="2951" spans="1:12" x14ac:dyDescent="0.25">
      <c r="A2951" s="7">
        <v>45923</v>
      </c>
      <c r="B2951" t="s">
        <v>6</v>
      </c>
      <c r="C2951" s="6" t="s">
        <v>416</v>
      </c>
      <c r="D2951" s="5" t="s">
        <v>71</v>
      </c>
      <c r="E2951" s="1">
        <v>0.58472222222222225</v>
      </c>
      <c r="F2951" s="1">
        <v>0.62708333333333333</v>
      </c>
      <c r="G2951" s="9">
        <f t="shared" si="310"/>
        <v>45922</v>
      </c>
      <c r="H2951" s="11">
        <f t="shared" si="311"/>
        <v>1</v>
      </c>
      <c r="I2951" s="10">
        <f t="shared" si="312"/>
        <v>6.8</v>
      </c>
      <c r="J2951" s="10">
        <f t="shared" si="313"/>
        <v>7.2</v>
      </c>
      <c r="K2951" s="10">
        <f t="shared" si="314"/>
        <v>14.2</v>
      </c>
      <c r="L2951" s="10">
        <f t="shared" si="315"/>
        <v>118.4</v>
      </c>
    </row>
    <row r="2952" spans="1:12" x14ac:dyDescent="0.25">
      <c r="A2952" s="7">
        <v>45923</v>
      </c>
      <c r="B2952" s="2" t="s">
        <v>411</v>
      </c>
      <c r="C2952" s="6">
        <v>6184</v>
      </c>
      <c r="D2952" s="5" t="s">
        <v>852</v>
      </c>
      <c r="E2952" s="1">
        <v>0.62708333333333333</v>
      </c>
      <c r="F2952" s="1">
        <v>0.64583333333333337</v>
      </c>
      <c r="G2952" s="9">
        <f t="shared" si="310"/>
        <v>45922</v>
      </c>
      <c r="H2952" s="11">
        <f t="shared" si="311"/>
        <v>0.5</v>
      </c>
      <c r="I2952" s="10">
        <f t="shared" si="312"/>
        <v>7.3</v>
      </c>
      <c r="J2952" s="10">
        <f t="shared" si="313"/>
        <v>7.2</v>
      </c>
      <c r="K2952" s="10">
        <f t="shared" si="314"/>
        <v>14.7</v>
      </c>
      <c r="L2952" s="10">
        <f t="shared" si="315"/>
        <v>118.9</v>
      </c>
    </row>
    <row r="2953" spans="1:12" x14ac:dyDescent="0.25">
      <c r="A2953" s="7">
        <v>45924</v>
      </c>
      <c r="B2953" s="2" t="s">
        <v>411</v>
      </c>
      <c r="C2953" s="6">
        <v>6184</v>
      </c>
      <c r="D2953" s="5" t="s">
        <v>852</v>
      </c>
      <c r="E2953" s="1">
        <v>0.31944444444444442</v>
      </c>
      <c r="F2953" s="1">
        <v>0.68680555555555556</v>
      </c>
      <c r="G2953" s="9">
        <f t="shared" si="310"/>
        <v>45922</v>
      </c>
      <c r="H2953" s="11">
        <f t="shared" si="311"/>
        <v>8.8000000000000007</v>
      </c>
      <c r="I2953" s="10">
        <f t="shared" si="312"/>
        <v>8.8000000000000007</v>
      </c>
      <c r="J2953" s="10">
        <f t="shared" si="313"/>
        <v>7.2</v>
      </c>
      <c r="K2953" s="10">
        <f t="shared" si="314"/>
        <v>23.5</v>
      </c>
      <c r="L2953" s="10">
        <f t="shared" si="315"/>
        <v>127.7</v>
      </c>
    </row>
    <row r="2954" spans="1:12" x14ac:dyDescent="0.25">
      <c r="A2954" s="7">
        <v>45925</v>
      </c>
      <c r="B2954" s="2" t="s">
        <v>411</v>
      </c>
      <c r="C2954" s="6">
        <v>6184</v>
      </c>
      <c r="D2954" s="5" t="s">
        <v>852</v>
      </c>
      <c r="E2954" s="1">
        <v>0.34236111111111112</v>
      </c>
      <c r="F2954" s="1">
        <v>0.63680555555555551</v>
      </c>
      <c r="G2954" s="9">
        <f t="shared" si="310"/>
        <v>45922</v>
      </c>
      <c r="H2954" s="11">
        <f t="shared" si="311"/>
        <v>7.1</v>
      </c>
      <c r="I2954" s="10">
        <f t="shared" si="312"/>
        <v>7.1</v>
      </c>
      <c r="J2954" s="10">
        <f t="shared" si="313"/>
        <v>7.2</v>
      </c>
      <c r="K2954" s="10">
        <f t="shared" si="314"/>
        <v>30.6</v>
      </c>
      <c r="L2954" s="10">
        <f t="shared" si="315"/>
        <v>134.80000000000001</v>
      </c>
    </row>
    <row r="2955" spans="1:12" x14ac:dyDescent="0.25">
      <c r="A2955" s="7">
        <v>45926</v>
      </c>
      <c r="B2955" s="2" t="s">
        <v>411</v>
      </c>
      <c r="C2955" s="6">
        <v>6184</v>
      </c>
      <c r="D2955" s="5" t="s">
        <v>852</v>
      </c>
      <c r="E2955" s="1">
        <v>0.35069444444444442</v>
      </c>
      <c r="F2955" s="1">
        <v>0.375</v>
      </c>
      <c r="G2955" s="9">
        <f t="shared" si="310"/>
        <v>45922</v>
      </c>
      <c r="H2955" s="11">
        <f t="shared" si="311"/>
        <v>0.6</v>
      </c>
      <c r="I2955" s="10">
        <f t="shared" si="312"/>
        <v>0.6</v>
      </c>
      <c r="J2955" s="10">
        <f t="shared" si="313"/>
        <v>7.2</v>
      </c>
      <c r="K2955" s="10">
        <f t="shared" si="314"/>
        <v>31.200000000000003</v>
      </c>
      <c r="L2955" s="10">
        <f t="shared" si="315"/>
        <v>135.4</v>
      </c>
    </row>
    <row r="2956" spans="1:12" x14ac:dyDescent="0.25">
      <c r="A2956" s="7">
        <v>45926</v>
      </c>
      <c r="B2956" t="s">
        <v>6</v>
      </c>
      <c r="C2956" s="6" t="s">
        <v>416</v>
      </c>
      <c r="D2956" s="5" t="s">
        <v>58</v>
      </c>
      <c r="E2956" s="1">
        <v>0.375</v>
      </c>
      <c r="F2956" s="1">
        <v>0.45208333333333334</v>
      </c>
      <c r="G2956" s="9">
        <f t="shared" si="310"/>
        <v>45922</v>
      </c>
      <c r="H2956" s="11">
        <f t="shared" si="311"/>
        <v>1.9</v>
      </c>
      <c r="I2956" s="10">
        <f t="shared" si="312"/>
        <v>2.5</v>
      </c>
      <c r="J2956" s="10">
        <f t="shared" si="313"/>
        <v>7.2</v>
      </c>
      <c r="K2956" s="10">
        <f t="shared" si="314"/>
        <v>33.1</v>
      </c>
      <c r="L2956" s="10">
        <f t="shared" si="315"/>
        <v>137.30000000000001</v>
      </c>
    </row>
    <row r="2957" spans="1:12" x14ac:dyDescent="0.25">
      <c r="A2957" s="7">
        <v>45926</v>
      </c>
      <c r="B2957" s="2" t="s">
        <v>411</v>
      </c>
      <c r="C2957" s="6">
        <v>6184</v>
      </c>
      <c r="D2957" s="5" t="s">
        <v>852</v>
      </c>
      <c r="E2957" s="1">
        <v>0.45208333333333334</v>
      </c>
      <c r="F2957" s="1">
        <v>0.60347222222222219</v>
      </c>
      <c r="G2957" s="9">
        <f t="shared" si="310"/>
        <v>45922</v>
      </c>
      <c r="H2957" s="11">
        <f t="shared" si="311"/>
        <v>3.6</v>
      </c>
      <c r="I2957" s="10">
        <f t="shared" si="312"/>
        <v>6.1</v>
      </c>
      <c r="J2957" s="10">
        <f t="shared" si="313"/>
        <v>7.2</v>
      </c>
      <c r="K2957" s="10">
        <f t="shared" si="314"/>
        <v>36.700000000000003</v>
      </c>
      <c r="L2957" s="10">
        <f t="shared" si="315"/>
        <v>140.9</v>
      </c>
    </row>
    <row r="2958" spans="1:12" x14ac:dyDescent="0.25">
      <c r="A2958" s="7">
        <v>45929</v>
      </c>
      <c r="B2958" s="2" t="s">
        <v>411</v>
      </c>
      <c r="C2958" s="6">
        <v>6184</v>
      </c>
      <c r="D2958" s="5" t="s">
        <v>860</v>
      </c>
      <c r="E2958" s="1">
        <v>0.33680555555555558</v>
      </c>
      <c r="F2958" s="1"/>
      <c r="G2958" s="9">
        <f t="shared" si="310"/>
        <v>45929</v>
      </c>
      <c r="H2958" s="11">
        <f t="shared" ca="1" si="311"/>
        <v>0.3</v>
      </c>
      <c r="I2958" s="10">
        <f t="shared" ca="1" si="312"/>
        <v>0.3</v>
      </c>
      <c r="J2958" s="10">
        <f t="shared" ca="1" si="313"/>
        <v>7.2</v>
      </c>
      <c r="K2958" s="10">
        <f t="shared" ca="1" si="314"/>
        <v>0.3</v>
      </c>
      <c r="L2958" s="10">
        <f t="shared" ca="1" si="315"/>
        <v>141.20000000000002</v>
      </c>
    </row>
    <row r="2959" spans="1:12" x14ac:dyDescent="0.25">
      <c r="A2959" s="7"/>
      <c r="D2959" s="5"/>
      <c r="E2959" s="1"/>
      <c r="F2959" s="1"/>
      <c r="G2959" s="9" t="str">
        <f t="shared" si="310"/>
        <v/>
      </c>
      <c r="H2959" s="11" t="str">
        <f t="shared" si="311"/>
        <v/>
      </c>
      <c r="I2959" s="10" t="str">
        <f t="shared" si="312"/>
        <v/>
      </c>
      <c r="J2959" s="10" t="str">
        <f t="shared" si="313"/>
        <v/>
      </c>
      <c r="K2959" s="10" t="str">
        <f t="shared" si="314"/>
        <v/>
      </c>
      <c r="L2959" s="10" t="str">
        <f t="shared" si="315"/>
        <v/>
      </c>
    </row>
    <row r="2960" spans="1:12" x14ac:dyDescent="0.25">
      <c r="A2960" s="7"/>
      <c r="D2960" s="5"/>
      <c r="E2960" s="1"/>
      <c r="F2960" s="1"/>
      <c r="G2960" s="9" t="str">
        <f t="shared" si="310"/>
        <v/>
      </c>
      <c r="H2960" s="11" t="str">
        <f t="shared" si="311"/>
        <v/>
      </c>
      <c r="I2960" s="10" t="str">
        <f t="shared" si="312"/>
        <v/>
      </c>
      <c r="J2960" s="10" t="str">
        <f t="shared" si="313"/>
        <v/>
      </c>
      <c r="K2960" s="10" t="str">
        <f t="shared" si="314"/>
        <v/>
      </c>
      <c r="L2960" s="10" t="str">
        <f t="shared" si="315"/>
        <v/>
      </c>
    </row>
    <row r="2961" spans="1:12" x14ac:dyDescent="0.25">
      <c r="A2961" s="7"/>
      <c r="D2961" s="5"/>
      <c r="E2961" s="1"/>
      <c r="F2961" s="1"/>
      <c r="G2961" s="9" t="str">
        <f t="shared" si="310"/>
        <v/>
      </c>
      <c r="H2961" s="11" t="str">
        <f t="shared" si="311"/>
        <v/>
      </c>
      <c r="I2961" s="10" t="str">
        <f t="shared" si="312"/>
        <v/>
      </c>
      <c r="J2961" s="10" t="str">
        <f t="shared" si="313"/>
        <v/>
      </c>
      <c r="K2961" s="10" t="str">
        <f t="shared" si="314"/>
        <v/>
      </c>
      <c r="L2961" s="10" t="str">
        <f t="shared" si="315"/>
        <v/>
      </c>
    </row>
    <row r="2962" spans="1:12" x14ac:dyDescent="0.25">
      <c r="A2962" s="7"/>
      <c r="D2962" s="5"/>
      <c r="E2962" s="1"/>
      <c r="F2962" s="1"/>
      <c r="G2962" s="9" t="str">
        <f t="shared" si="310"/>
        <v/>
      </c>
      <c r="H2962" s="11" t="str">
        <f t="shared" si="311"/>
        <v/>
      </c>
      <c r="I2962" s="10" t="str">
        <f t="shared" si="312"/>
        <v/>
      </c>
      <c r="J2962" s="10" t="str">
        <f t="shared" si="313"/>
        <v/>
      </c>
      <c r="K2962" s="10" t="str">
        <f t="shared" si="314"/>
        <v/>
      </c>
      <c r="L2962" s="10" t="str">
        <f t="shared" si="315"/>
        <v/>
      </c>
    </row>
    <row r="2963" spans="1:12" x14ac:dyDescent="0.25">
      <c r="A2963" s="7"/>
      <c r="D2963" s="5"/>
      <c r="E2963" s="1"/>
      <c r="F2963" s="1"/>
      <c r="G2963" s="9" t="str">
        <f t="shared" si="310"/>
        <v/>
      </c>
      <c r="H2963" s="11" t="str">
        <f t="shared" si="311"/>
        <v/>
      </c>
      <c r="I2963" s="10" t="str">
        <f t="shared" si="312"/>
        <v/>
      </c>
      <c r="J2963" s="10" t="str">
        <f t="shared" si="313"/>
        <v/>
      </c>
      <c r="K2963" s="10" t="str">
        <f t="shared" si="314"/>
        <v/>
      </c>
      <c r="L2963" s="10" t="str">
        <f t="shared" si="315"/>
        <v/>
      </c>
    </row>
    <row r="2964" spans="1:12" x14ac:dyDescent="0.25">
      <c r="A2964" s="7"/>
      <c r="D2964" s="5"/>
      <c r="E2964" s="1"/>
      <c r="F2964" s="1"/>
      <c r="G2964" s="9" t="str">
        <f t="shared" si="310"/>
        <v/>
      </c>
      <c r="H2964" s="11" t="str">
        <f t="shared" si="311"/>
        <v/>
      </c>
      <c r="I2964" s="10" t="str">
        <f t="shared" si="312"/>
        <v/>
      </c>
      <c r="J2964" s="10" t="str">
        <f t="shared" si="313"/>
        <v/>
      </c>
      <c r="K2964" s="10" t="str">
        <f t="shared" si="314"/>
        <v/>
      </c>
      <c r="L2964" s="10" t="str">
        <f t="shared" si="315"/>
        <v/>
      </c>
    </row>
    <row r="2965" spans="1:12" x14ac:dyDescent="0.25">
      <c r="A2965" s="7"/>
      <c r="D2965" s="5"/>
      <c r="E2965" s="1"/>
      <c r="F2965" s="1"/>
      <c r="G2965" s="9" t="str">
        <f t="shared" si="310"/>
        <v/>
      </c>
      <c r="H2965" s="11" t="str">
        <f t="shared" si="311"/>
        <v/>
      </c>
      <c r="I2965" s="10" t="str">
        <f t="shared" si="312"/>
        <v/>
      </c>
      <c r="J2965" s="10" t="str">
        <f t="shared" si="313"/>
        <v/>
      </c>
      <c r="K2965" s="10" t="str">
        <f t="shared" si="314"/>
        <v/>
      </c>
      <c r="L2965" s="10" t="str">
        <f t="shared" si="315"/>
        <v/>
      </c>
    </row>
    <row r="2966" spans="1:12" x14ac:dyDescent="0.25">
      <c r="A2966" s="7"/>
      <c r="D2966" s="5"/>
      <c r="E2966" s="1"/>
      <c r="F2966" s="1"/>
      <c r="G2966" s="9" t="str">
        <f t="shared" si="310"/>
        <v/>
      </c>
      <c r="H2966" s="11" t="str">
        <f t="shared" si="311"/>
        <v/>
      </c>
      <c r="I2966" s="10" t="str">
        <f t="shared" si="312"/>
        <v/>
      </c>
      <c r="J2966" s="10" t="str">
        <f t="shared" si="313"/>
        <v/>
      </c>
      <c r="K2966" s="10" t="str">
        <f t="shared" si="314"/>
        <v/>
      </c>
      <c r="L2966" s="10" t="str">
        <f t="shared" si="315"/>
        <v/>
      </c>
    </row>
    <row r="2967" spans="1:12" x14ac:dyDescent="0.25">
      <c r="A2967" s="7"/>
      <c r="D2967" s="5"/>
      <c r="E2967" s="1"/>
      <c r="F2967" s="1"/>
      <c r="G2967" s="9" t="str">
        <f t="shared" si="310"/>
        <v/>
      </c>
      <c r="H2967" s="11" t="str">
        <f t="shared" si="311"/>
        <v/>
      </c>
      <c r="I2967" s="10" t="str">
        <f t="shared" si="312"/>
        <v/>
      </c>
      <c r="J2967" s="10" t="str">
        <f t="shared" si="313"/>
        <v/>
      </c>
      <c r="K2967" s="10" t="str">
        <f t="shared" si="314"/>
        <v/>
      </c>
      <c r="L2967" s="10" t="str">
        <f t="shared" si="315"/>
        <v/>
      </c>
    </row>
    <row r="2968" spans="1:12" x14ac:dyDescent="0.25">
      <c r="A2968" s="7"/>
      <c r="D2968" s="5"/>
      <c r="E2968" s="1"/>
      <c r="F2968" s="1"/>
      <c r="G2968" s="9" t="str">
        <f t="shared" si="310"/>
        <v/>
      </c>
      <c r="H2968" s="11" t="str">
        <f t="shared" si="311"/>
        <v/>
      </c>
      <c r="I2968" s="10" t="str">
        <f t="shared" si="312"/>
        <v/>
      </c>
      <c r="J2968" s="10" t="str">
        <f t="shared" si="313"/>
        <v/>
      </c>
      <c r="K2968" s="10" t="str">
        <f t="shared" si="314"/>
        <v/>
      </c>
      <c r="L2968" s="10" t="str">
        <f t="shared" si="315"/>
        <v/>
      </c>
    </row>
    <row r="2969" spans="1:12" x14ac:dyDescent="0.25">
      <c r="A2969" s="7"/>
      <c r="D2969" s="5"/>
      <c r="E2969" s="1"/>
      <c r="F2969" s="1"/>
      <c r="G2969" s="9" t="str">
        <f t="shared" si="310"/>
        <v/>
      </c>
      <c r="H2969" s="11" t="str">
        <f t="shared" si="311"/>
        <v/>
      </c>
      <c r="I2969" s="10" t="str">
        <f t="shared" si="312"/>
        <v/>
      </c>
      <c r="J2969" s="10" t="str">
        <f t="shared" si="313"/>
        <v/>
      </c>
      <c r="K2969" s="10" t="str">
        <f t="shared" si="314"/>
        <v/>
      </c>
      <c r="L2969" s="10" t="str">
        <f t="shared" si="315"/>
        <v/>
      </c>
    </row>
    <row r="2970" spans="1:12" x14ac:dyDescent="0.25">
      <c r="A2970" s="7"/>
      <c r="D2970" s="5"/>
      <c r="E2970" s="1"/>
      <c r="F2970" s="1"/>
      <c r="G2970" s="9" t="str">
        <f t="shared" si="310"/>
        <v/>
      </c>
      <c r="H2970" s="11" t="str">
        <f t="shared" si="311"/>
        <v/>
      </c>
      <c r="I2970" s="10" t="str">
        <f t="shared" si="312"/>
        <v/>
      </c>
      <c r="J2970" s="10" t="str">
        <f t="shared" si="313"/>
        <v/>
      </c>
      <c r="K2970" s="10" t="str">
        <f t="shared" si="314"/>
        <v/>
      </c>
      <c r="L2970" s="10" t="str">
        <f t="shared" si="315"/>
        <v/>
      </c>
    </row>
    <row r="2971" spans="1:12" x14ac:dyDescent="0.25">
      <c r="A2971" s="7"/>
      <c r="D2971" s="5"/>
      <c r="E2971" s="1"/>
      <c r="F2971" s="1"/>
      <c r="G2971" s="9" t="str">
        <f t="shared" si="310"/>
        <v/>
      </c>
      <c r="H2971" s="11" t="str">
        <f t="shared" si="311"/>
        <v/>
      </c>
      <c r="I2971" s="10" t="str">
        <f t="shared" si="312"/>
        <v/>
      </c>
      <c r="J2971" s="10" t="str">
        <f t="shared" si="313"/>
        <v/>
      </c>
      <c r="K2971" s="10" t="str">
        <f t="shared" si="314"/>
        <v/>
      </c>
      <c r="L2971" s="10" t="str">
        <f t="shared" si="315"/>
        <v/>
      </c>
    </row>
    <row r="2972" spans="1:12" x14ac:dyDescent="0.25">
      <c r="A2972" s="7"/>
      <c r="D2972" s="5"/>
      <c r="E2972" s="1"/>
      <c r="F2972" s="1"/>
      <c r="G2972" s="9" t="str">
        <f t="shared" si="310"/>
        <v/>
      </c>
      <c r="H2972" s="11" t="str">
        <f t="shared" si="311"/>
        <v/>
      </c>
      <c r="I2972" s="10" t="str">
        <f t="shared" si="312"/>
        <v/>
      </c>
      <c r="J2972" s="10" t="str">
        <f t="shared" si="313"/>
        <v/>
      </c>
      <c r="K2972" s="10" t="str">
        <f t="shared" si="314"/>
        <v/>
      </c>
      <c r="L2972" s="10" t="str">
        <f t="shared" si="315"/>
        <v/>
      </c>
    </row>
    <row r="2973" spans="1:12" x14ac:dyDescent="0.25">
      <c r="A2973" s="7"/>
      <c r="D2973" s="5"/>
      <c r="E2973" s="1"/>
      <c r="F2973" s="1"/>
      <c r="G2973" s="9" t="str">
        <f t="shared" si="310"/>
        <v/>
      </c>
      <c r="H2973" s="11" t="str">
        <f t="shared" si="311"/>
        <v/>
      </c>
      <c r="I2973" s="10" t="str">
        <f t="shared" si="312"/>
        <v/>
      </c>
      <c r="J2973" s="10" t="str">
        <f t="shared" si="313"/>
        <v/>
      </c>
      <c r="K2973" s="10" t="str">
        <f t="shared" si="314"/>
        <v/>
      </c>
      <c r="L2973" s="10" t="str">
        <f t="shared" si="315"/>
        <v/>
      </c>
    </row>
    <row r="2974" spans="1:12" x14ac:dyDescent="0.25">
      <c r="A2974" s="7"/>
      <c r="D2974" s="5"/>
      <c r="E2974" s="1"/>
      <c r="F2974" s="1"/>
      <c r="G2974" s="9" t="str">
        <f t="shared" si="310"/>
        <v/>
      </c>
      <c r="H2974" s="11" t="str">
        <f t="shared" si="311"/>
        <v/>
      </c>
      <c r="I2974" s="10" t="str">
        <f t="shared" si="312"/>
        <v/>
      </c>
      <c r="J2974" s="10" t="str">
        <f t="shared" si="313"/>
        <v/>
      </c>
      <c r="K2974" s="10" t="str">
        <f t="shared" si="314"/>
        <v/>
      </c>
      <c r="L2974" s="10" t="str">
        <f t="shared" si="315"/>
        <v/>
      </c>
    </row>
    <row r="2975" spans="1:12" x14ac:dyDescent="0.25">
      <c r="A2975" s="7"/>
      <c r="D2975" s="5"/>
      <c r="E2975" s="1"/>
      <c r="F2975" s="1"/>
      <c r="G2975" s="9" t="str">
        <f t="shared" si="310"/>
        <v/>
      </c>
      <c r="H2975" s="11" t="str">
        <f t="shared" si="311"/>
        <v/>
      </c>
      <c r="I2975" s="10" t="str">
        <f t="shared" si="312"/>
        <v/>
      </c>
      <c r="J2975" s="10" t="str">
        <f t="shared" si="313"/>
        <v/>
      </c>
      <c r="K2975" s="10" t="str">
        <f t="shared" si="314"/>
        <v/>
      </c>
      <c r="L2975" s="10" t="str">
        <f t="shared" si="315"/>
        <v/>
      </c>
    </row>
    <row r="2976" spans="1:12" x14ac:dyDescent="0.25">
      <c r="A2976" s="7"/>
      <c r="D2976" s="5"/>
      <c r="E2976" s="1"/>
      <c r="F2976" s="1"/>
      <c r="G2976" s="9" t="str">
        <f t="shared" si="310"/>
        <v/>
      </c>
      <c r="H2976" s="11" t="str">
        <f t="shared" si="311"/>
        <v/>
      </c>
      <c r="I2976" s="10" t="str">
        <f t="shared" si="312"/>
        <v/>
      </c>
      <c r="J2976" s="10" t="str">
        <f t="shared" si="313"/>
        <v/>
      </c>
      <c r="K2976" s="10" t="str">
        <f t="shared" si="314"/>
        <v/>
      </c>
      <c r="L2976" s="10" t="str">
        <f t="shared" si="315"/>
        <v/>
      </c>
    </row>
    <row r="2977" spans="1:12" x14ac:dyDescent="0.25">
      <c r="A2977" s="7"/>
      <c r="D2977" s="5"/>
      <c r="E2977" s="1"/>
      <c r="F2977" s="1"/>
      <c r="G2977" s="9" t="str">
        <f t="shared" si="310"/>
        <v/>
      </c>
      <c r="H2977" s="11" t="str">
        <f t="shared" si="311"/>
        <v/>
      </c>
      <c r="I2977" s="10" t="str">
        <f t="shared" si="312"/>
        <v/>
      </c>
      <c r="J2977" s="10" t="str">
        <f t="shared" si="313"/>
        <v/>
      </c>
      <c r="K2977" s="10" t="str">
        <f t="shared" si="314"/>
        <v/>
      </c>
      <c r="L2977" s="10" t="str">
        <f t="shared" si="315"/>
        <v/>
      </c>
    </row>
    <row r="2978" spans="1:12" x14ac:dyDescent="0.25">
      <c r="A2978" s="7"/>
      <c r="D2978" s="5"/>
      <c r="E2978" s="1"/>
      <c r="F2978" s="1"/>
      <c r="G2978" s="9" t="str">
        <f t="shared" si="310"/>
        <v/>
      </c>
      <c r="H2978" s="11" t="str">
        <f t="shared" si="311"/>
        <v/>
      </c>
      <c r="I2978" s="10" t="str">
        <f t="shared" si="312"/>
        <v/>
      </c>
      <c r="J2978" s="10" t="str">
        <f t="shared" si="313"/>
        <v/>
      </c>
      <c r="K2978" s="10" t="str">
        <f t="shared" si="314"/>
        <v/>
      </c>
      <c r="L2978" s="10" t="str">
        <f t="shared" si="315"/>
        <v/>
      </c>
    </row>
    <row r="2979" spans="1:12" x14ac:dyDescent="0.25">
      <c r="A2979" s="7"/>
      <c r="D2979" s="5"/>
      <c r="E2979" s="1"/>
      <c r="F2979" s="1"/>
      <c r="G2979" s="9" t="str">
        <f t="shared" si="310"/>
        <v/>
      </c>
      <c r="H2979" s="11" t="str">
        <f t="shared" si="311"/>
        <v/>
      </c>
      <c r="I2979" s="10" t="str">
        <f t="shared" si="312"/>
        <v/>
      </c>
      <c r="J2979" s="10" t="str">
        <f t="shared" si="313"/>
        <v/>
      </c>
      <c r="K2979" s="10" t="str">
        <f t="shared" si="314"/>
        <v/>
      </c>
      <c r="L2979" s="10" t="str">
        <f t="shared" si="315"/>
        <v/>
      </c>
    </row>
    <row r="2980" spans="1:12" x14ac:dyDescent="0.25">
      <c r="A2980" s="7"/>
      <c r="D2980" s="5"/>
      <c r="E2980" s="1"/>
      <c r="F2980" s="1"/>
      <c r="G2980" s="9" t="str">
        <f t="shared" si="310"/>
        <v/>
      </c>
      <c r="H2980" s="11" t="str">
        <f t="shared" si="311"/>
        <v/>
      </c>
      <c r="I2980" s="10" t="str">
        <f t="shared" si="312"/>
        <v/>
      </c>
      <c r="J2980" s="10" t="str">
        <f t="shared" si="313"/>
        <v/>
      </c>
      <c r="K2980" s="10" t="str">
        <f t="shared" si="314"/>
        <v/>
      </c>
      <c r="L2980" s="10" t="str">
        <f t="shared" si="315"/>
        <v/>
      </c>
    </row>
    <row r="2981" spans="1:12" x14ac:dyDescent="0.25">
      <c r="A2981" s="7"/>
      <c r="D2981" s="5"/>
      <c r="E2981" s="1"/>
      <c r="F2981" s="1"/>
      <c r="G2981" s="9" t="str">
        <f t="shared" si="310"/>
        <v/>
      </c>
      <c r="H2981" s="11" t="str">
        <f t="shared" si="311"/>
        <v/>
      </c>
      <c r="I2981" s="10" t="str">
        <f t="shared" si="312"/>
        <v/>
      </c>
      <c r="J2981" s="10" t="str">
        <f t="shared" si="313"/>
        <v/>
      </c>
      <c r="K2981" s="10" t="str">
        <f t="shared" si="314"/>
        <v/>
      </c>
      <c r="L2981" s="10" t="str">
        <f t="shared" si="315"/>
        <v/>
      </c>
    </row>
    <row r="2982" spans="1:12" x14ac:dyDescent="0.25">
      <c r="A2982" s="7"/>
      <c r="D2982" s="5"/>
      <c r="E2982" s="1"/>
      <c r="F2982" s="1"/>
      <c r="G2982" s="9" t="str">
        <f t="shared" si="310"/>
        <v/>
      </c>
      <c r="H2982" s="11" t="str">
        <f t="shared" si="311"/>
        <v/>
      </c>
      <c r="I2982" s="10" t="str">
        <f t="shared" si="312"/>
        <v/>
      </c>
      <c r="J2982" s="10" t="str">
        <f t="shared" si="313"/>
        <v/>
      </c>
      <c r="K2982" s="10" t="str">
        <f t="shared" si="314"/>
        <v/>
      </c>
      <c r="L2982" s="10" t="str">
        <f t="shared" si="315"/>
        <v/>
      </c>
    </row>
    <row r="2983" spans="1:12" x14ac:dyDescent="0.25">
      <c r="A2983" s="7"/>
      <c r="D2983" s="5"/>
      <c r="E2983" s="1"/>
      <c r="F2983" s="1"/>
      <c r="G2983" s="9" t="str">
        <f t="shared" si="310"/>
        <v/>
      </c>
      <c r="H2983" s="11" t="str">
        <f t="shared" si="311"/>
        <v/>
      </c>
      <c r="I2983" s="10" t="str">
        <f t="shared" si="312"/>
        <v/>
      </c>
      <c r="J2983" s="10" t="str">
        <f t="shared" si="313"/>
        <v/>
      </c>
      <c r="K2983" s="10" t="str">
        <f t="shared" si="314"/>
        <v/>
      </c>
      <c r="L2983" s="10" t="str">
        <f t="shared" si="315"/>
        <v/>
      </c>
    </row>
    <row r="2984" spans="1:12" x14ac:dyDescent="0.25">
      <c r="A2984" s="7"/>
      <c r="D2984" s="5"/>
      <c r="E2984" s="1"/>
      <c r="F2984" s="1"/>
      <c r="G2984" s="9" t="str">
        <f t="shared" si="310"/>
        <v/>
      </c>
      <c r="H2984" s="11" t="str">
        <f t="shared" si="311"/>
        <v/>
      </c>
      <c r="I2984" s="10" t="str">
        <f t="shared" si="312"/>
        <v/>
      </c>
      <c r="J2984" s="10" t="str">
        <f t="shared" si="313"/>
        <v/>
      </c>
      <c r="K2984" s="10" t="str">
        <f t="shared" si="314"/>
        <v/>
      </c>
      <c r="L2984" s="10" t="str">
        <f t="shared" si="315"/>
        <v/>
      </c>
    </row>
    <row r="2985" spans="1:12" x14ac:dyDescent="0.25">
      <c r="A2985" s="7"/>
      <c r="D2985" s="5"/>
      <c r="E2985" s="1"/>
      <c r="F2985" s="1"/>
      <c r="G2985" s="9" t="str">
        <f t="shared" si="310"/>
        <v/>
      </c>
      <c r="H2985" s="11" t="str">
        <f t="shared" si="311"/>
        <v/>
      </c>
      <c r="I2985" s="10" t="str">
        <f t="shared" si="312"/>
        <v/>
      </c>
      <c r="J2985" s="10" t="str">
        <f t="shared" si="313"/>
        <v/>
      </c>
      <c r="K2985" s="10" t="str">
        <f t="shared" si="314"/>
        <v/>
      </c>
      <c r="L2985" s="10" t="str">
        <f t="shared" si="315"/>
        <v/>
      </c>
    </row>
    <row r="2986" spans="1:12" x14ac:dyDescent="0.25">
      <c r="A2986" s="7"/>
      <c r="D2986" s="5"/>
      <c r="E2986" s="1"/>
      <c r="F2986" s="1"/>
      <c r="G2986" s="9" t="str">
        <f t="shared" si="310"/>
        <v/>
      </c>
      <c r="H2986" s="11" t="str">
        <f t="shared" si="311"/>
        <v/>
      </c>
      <c r="I2986" s="10" t="str">
        <f t="shared" si="312"/>
        <v/>
      </c>
      <c r="J2986" s="10" t="str">
        <f t="shared" si="313"/>
        <v/>
      </c>
      <c r="K2986" s="10" t="str">
        <f t="shared" si="314"/>
        <v/>
      </c>
      <c r="L2986" s="10" t="str">
        <f t="shared" si="315"/>
        <v/>
      </c>
    </row>
    <row r="2987" spans="1:12" x14ac:dyDescent="0.25">
      <c r="A2987" s="7"/>
      <c r="D2987" s="5"/>
      <c r="E2987" s="1"/>
      <c r="F2987" s="1"/>
      <c r="G2987" s="9" t="str">
        <f t="shared" si="310"/>
        <v/>
      </c>
      <c r="H2987" s="11" t="str">
        <f t="shared" si="311"/>
        <v/>
      </c>
      <c r="I2987" s="10" t="str">
        <f t="shared" si="312"/>
        <v/>
      </c>
      <c r="J2987" s="10" t="str">
        <f t="shared" si="313"/>
        <v/>
      </c>
      <c r="K2987" s="10" t="str">
        <f t="shared" si="314"/>
        <v/>
      </c>
      <c r="L2987" s="10" t="str">
        <f t="shared" si="315"/>
        <v/>
      </c>
    </row>
    <row r="2988" spans="1:12" x14ac:dyDescent="0.25">
      <c r="A2988" s="7"/>
      <c r="D2988" s="5"/>
      <c r="E2988" s="1"/>
      <c r="F2988" s="1"/>
      <c r="G2988" s="9" t="str">
        <f t="shared" si="310"/>
        <v/>
      </c>
      <c r="H2988" s="11" t="str">
        <f t="shared" si="311"/>
        <v/>
      </c>
      <c r="I2988" s="10" t="str">
        <f t="shared" si="312"/>
        <v/>
      </c>
      <c r="J2988" s="10" t="str">
        <f t="shared" si="313"/>
        <v/>
      </c>
      <c r="K2988" s="10" t="str">
        <f t="shared" si="314"/>
        <v/>
      </c>
      <c r="L2988" s="10" t="str">
        <f t="shared" si="315"/>
        <v/>
      </c>
    </row>
    <row r="2989" spans="1:12" x14ac:dyDescent="0.25">
      <c r="A2989" s="7"/>
      <c r="D2989" s="5"/>
      <c r="E2989" s="1"/>
      <c r="F2989" s="1"/>
      <c r="G2989" s="9" t="str">
        <f t="shared" si="310"/>
        <v/>
      </c>
      <c r="H2989" s="11" t="str">
        <f t="shared" si="311"/>
        <v/>
      </c>
      <c r="I2989" s="10" t="str">
        <f t="shared" si="312"/>
        <v/>
      </c>
      <c r="J2989" s="10" t="str">
        <f t="shared" si="313"/>
        <v/>
      </c>
      <c r="K2989" s="10" t="str">
        <f t="shared" si="314"/>
        <v/>
      </c>
      <c r="L2989" s="10" t="str">
        <f t="shared" si="315"/>
        <v/>
      </c>
    </row>
    <row r="2990" spans="1:12" x14ac:dyDescent="0.25">
      <c r="A2990" s="7"/>
      <c r="D2990" s="5"/>
      <c r="E2990" s="1"/>
      <c r="F2990" s="1"/>
      <c r="G2990" s="9" t="str">
        <f t="shared" si="310"/>
        <v/>
      </c>
      <c r="H2990" s="11" t="str">
        <f t="shared" si="311"/>
        <v/>
      </c>
      <c r="I2990" s="10" t="str">
        <f t="shared" si="312"/>
        <v/>
      </c>
      <c r="J2990" s="10" t="str">
        <f t="shared" si="313"/>
        <v/>
      </c>
      <c r="K2990" s="10" t="str">
        <f t="shared" si="314"/>
        <v/>
      </c>
      <c r="L2990" s="10" t="str">
        <f t="shared" si="315"/>
        <v/>
      </c>
    </row>
    <row r="2991" spans="1:12" x14ac:dyDescent="0.25">
      <c r="A2991" s="7"/>
      <c r="D2991" s="5"/>
      <c r="E2991" s="1"/>
      <c r="F2991" s="1"/>
      <c r="G2991" s="9" t="str">
        <f t="shared" si="310"/>
        <v/>
      </c>
      <c r="H2991" s="11" t="str">
        <f t="shared" si="311"/>
        <v/>
      </c>
      <c r="I2991" s="10" t="str">
        <f t="shared" si="312"/>
        <v/>
      </c>
      <c r="J2991" s="10" t="str">
        <f t="shared" si="313"/>
        <v/>
      </c>
      <c r="K2991" s="10" t="str">
        <f t="shared" si="314"/>
        <v/>
      </c>
      <c r="L2991" s="10" t="str">
        <f t="shared" si="315"/>
        <v/>
      </c>
    </row>
    <row r="2992" spans="1:12" x14ac:dyDescent="0.25">
      <c r="A2992" s="7"/>
      <c r="D2992" s="5"/>
      <c r="E2992" s="1"/>
      <c r="F2992" s="1"/>
      <c r="G2992" s="9" t="str">
        <f t="shared" si="310"/>
        <v/>
      </c>
      <c r="H2992" s="11" t="str">
        <f t="shared" si="311"/>
        <v/>
      </c>
      <c r="I2992" s="10" t="str">
        <f t="shared" si="312"/>
        <v/>
      </c>
      <c r="J2992" s="10" t="str">
        <f t="shared" si="313"/>
        <v/>
      </c>
      <c r="K2992" s="10" t="str">
        <f t="shared" si="314"/>
        <v/>
      </c>
      <c r="L2992" s="10" t="str">
        <f t="shared" si="315"/>
        <v/>
      </c>
    </row>
    <row r="2993" spans="1:12" x14ac:dyDescent="0.25">
      <c r="A2993" s="7"/>
      <c r="D2993" s="5"/>
      <c r="E2993" s="1"/>
      <c r="F2993" s="1"/>
      <c r="G2993" s="9" t="str">
        <f t="shared" si="310"/>
        <v/>
      </c>
      <c r="H2993" s="11" t="str">
        <f t="shared" si="311"/>
        <v/>
      </c>
      <c r="I2993" s="10" t="str">
        <f t="shared" si="312"/>
        <v/>
      </c>
      <c r="J2993" s="10" t="str">
        <f t="shared" si="313"/>
        <v/>
      </c>
      <c r="K2993" s="10" t="str">
        <f t="shared" si="314"/>
        <v/>
      </c>
      <c r="L2993" s="10" t="str">
        <f t="shared" si="315"/>
        <v/>
      </c>
    </row>
    <row r="2994" spans="1:12" x14ac:dyDescent="0.25">
      <c r="A2994" s="7"/>
      <c r="D2994" s="5"/>
      <c r="E2994" s="1"/>
      <c r="F2994" s="1"/>
      <c r="G2994" s="9" t="str">
        <f t="shared" si="310"/>
        <v/>
      </c>
      <c r="H2994" s="11" t="str">
        <f t="shared" si="311"/>
        <v/>
      </c>
      <c r="I2994" s="10" t="str">
        <f t="shared" si="312"/>
        <v/>
      </c>
      <c r="J2994" s="10" t="str">
        <f t="shared" si="313"/>
        <v/>
      </c>
      <c r="K2994" s="10" t="str">
        <f t="shared" si="314"/>
        <v/>
      </c>
      <c r="L2994" s="10" t="str">
        <f t="shared" si="315"/>
        <v/>
      </c>
    </row>
    <row r="2995" spans="1:12" x14ac:dyDescent="0.25">
      <c r="A2995" s="7"/>
      <c r="D2995" s="5"/>
      <c r="E2995" s="1"/>
      <c r="F2995" s="1"/>
      <c r="G2995" s="9" t="str">
        <f t="shared" si="310"/>
        <v/>
      </c>
      <c r="H2995" s="11" t="str">
        <f t="shared" si="311"/>
        <v/>
      </c>
      <c r="I2995" s="10" t="str">
        <f t="shared" si="312"/>
        <v/>
      </c>
      <c r="J2995" s="10" t="str">
        <f t="shared" si="313"/>
        <v/>
      </c>
      <c r="K2995" s="10" t="str">
        <f t="shared" si="314"/>
        <v/>
      </c>
      <c r="L2995" s="10" t="str">
        <f t="shared" si="315"/>
        <v/>
      </c>
    </row>
    <row r="2996" spans="1:12" x14ac:dyDescent="0.25">
      <c r="A2996" s="7"/>
      <c r="D2996" s="5"/>
      <c r="E2996" s="1"/>
      <c r="F2996" s="1"/>
      <c r="G2996" s="9" t="str">
        <f t="shared" si="310"/>
        <v/>
      </c>
      <c r="H2996" s="11" t="str">
        <f t="shared" si="311"/>
        <v/>
      </c>
      <c r="I2996" s="10" t="str">
        <f t="shared" si="312"/>
        <v/>
      </c>
      <c r="J2996" s="10" t="str">
        <f t="shared" si="313"/>
        <v/>
      </c>
      <c r="K2996" s="10" t="str">
        <f t="shared" si="314"/>
        <v/>
      </c>
      <c r="L2996" s="10" t="str">
        <f t="shared" si="315"/>
        <v/>
      </c>
    </row>
    <row r="2997" spans="1:12" x14ac:dyDescent="0.25">
      <c r="A2997" s="7"/>
      <c r="D2997" s="5"/>
      <c r="E2997" s="1"/>
      <c r="F2997" s="1"/>
      <c r="G2997" s="9" t="str">
        <f t="shared" si="310"/>
        <v/>
      </c>
      <c r="H2997" s="11" t="str">
        <f t="shared" si="311"/>
        <v/>
      </c>
      <c r="I2997" s="10" t="str">
        <f t="shared" si="312"/>
        <v/>
      </c>
      <c r="J2997" s="10" t="str">
        <f t="shared" si="313"/>
        <v/>
      </c>
      <c r="K2997" s="10" t="str">
        <f t="shared" si="314"/>
        <v/>
      </c>
      <c r="L2997" s="10" t="str">
        <f t="shared" si="315"/>
        <v/>
      </c>
    </row>
    <row r="2998" spans="1:12" x14ac:dyDescent="0.25">
      <c r="A2998" s="7"/>
      <c r="D2998" s="5"/>
      <c r="E2998" s="1"/>
      <c r="F2998" s="1"/>
      <c r="G2998" s="9" t="str">
        <f t="shared" si="310"/>
        <v/>
      </c>
      <c r="H2998" s="11" t="str">
        <f t="shared" si="311"/>
        <v/>
      </c>
      <c r="I2998" s="10" t="str">
        <f t="shared" si="312"/>
        <v/>
      </c>
      <c r="J2998" s="10" t="str">
        <f t="shared" si="313"/>
        <v/>
      </c>
      <c r="K2998" s="10" t="str">
        <f t="shared" si="314"/>
        <v/>
      </c>
      <c r="L2998" s="10" t="str">
        <f t="shared" si="315"/>
        <v/>
      </c>
    </row>
    <row r="2999" spans="1:12" x14ac:dyDescent="0.25">
      <c r="A2999" s="7"/>
      <c r="D2999" s="5"/>
      <c r="E2999" s="1"/>
      <c r="F2999" s="1"/>
      <c r="G2999" s="9" t="str">
        <f t="shared" si="310"/>
        <v/>
      </c>
      <c r="H2999" s="11" t="str">
        <f t="shared" si="311"/>
        <v/>
      </c>
      <c r="I2999" s="10" t="str">
        <f t="shared" si="312"/>
        <v/>
      </c>
      <c r="J2999" s="10" t="str">
        <f t="shared" si="313"/>
        <v/>
      </c>
      <c r="K2999" s="10" t="str">
        <f t="shared" si="314"/>
        <v/>
      </c>
      <c r="L2999" s="10" t="str">
        <f t="shared" si="315"/>
        <v/>
      </c>
    </row>
    <row r="3000" spans="1:12" x14ac:dyDescent="0.25">
      <c r="A3000" s="7"/>
      <c r="D3000" s="5"/>
      <c r="E3000" s="1"/>
      <c r="F3000" s="1"/>
      <c r="G3000" s="9" t="str">
        <f t="shared" si="310"/>
        <v/>
      </c>
      <c r="H3000" s="11" t="str">
        <f t="shared" si="311"/>
        <v/>
      </c>
      <c r="I3000" s="10" t="str">
        <f t="shared" si="312"/>
        <v/>
      </c>
      <c r="J3000" s="10" t="str">
        <f t="shared" si="313"/>
        <v/>
      </c>
      <c r="K3000" s="10" t="str">
        <f t="shared" si="314"/>
        <v/>
      </c>
      <c r="L3000" s="10" t="str">
        <f t="shared" si="315"/>
        <v/>
      </c>
    </row>
    <row r="3001" spans="1:12" x14ac:dyDescent="0.25">
      <c r="A3001" s="7"/>
      <c r="D3001" s="5"/>
      <c r="E3001" s="1"/>
      <c r="F3001" s="1"/>
      <c r="G3001" s="9" t="str">
        <f t="shared" si="310"/>
        <v/>
      </c>
      <c r="H3001" s="11" t="str">
        <f t="shared" si="311"/>
        <v/>
      </c>
      <c r="I3001" s="10" t="str">
        <f t="shared" si="312"/>
        <v/>
      </c>
      <c r="J3001" s="10" t="str">
        <f t="shared" si="313"/>
        <v/>
      </c>
      <c r="K3001" s="10" t="str">
        <f t="shared" si="314"/>
        <v/>
      </c>
      <c r="L3001" s="10" t="str">
        <f t="shared" si="315"/>
        <v/>
      </c>
    </row>
    <row r="3002" spans="1:12" x14ac:dyDescent="0.25">
      <c r="A3002" s="7"/>
      <c r="D3002" s="5"/>
      <c r="E3002" s="1"/>
      <c r="F3002" s="1"/>
      <c r="G3002" s="9" t="str">
        <f t="shared" si="310"/>
        <v/>
      </c>
      <c r="H3002" s="11" t="str">
        <f t="shared" si="311"/>
        <v/>
      </c>
      <c r="I3002" s="10" t="str">
        <f t="shared" si="312"/>
        <v/>
      </c>
      <c r="J3002" s="10" t="str">
        <f t="shared" si="313"/>
        <v/>
      </c>
      <c r="K3002" s="10" t="str">
        <f t="shared" si="314"/>
        <v/>
      </c>
      <c r="L3002" s="10" t="str">
        <f t="shared" si="315"/>
        <v/>
      </c>
    </row>
    <row r="3003" spans="1:12" x14ac:dyDescent="0.25">
      <c r="A3003" s="7"/>
      <c r="D3003" s="5"/>
      <c r="E3003" s="1"/>
      <c r="F3003" s="1"/>
      <c r="G3003" s="9" t="str">
        <f t="shared" si="310"/>
        <v/>
      </c>
      <c r="H3003" s="11" t="str">
        <f t="shared" si="311"/>
        <v/>
      </c>
      <c r="I3003" s="10" t="str">
        <f t="shared" si="312"/>
        <v/>
      </c>
      <c r="J3003" s="10" t="str">
        <f t="shared" si="313"/>
        <v/>
      </c>
      <c r="K3003" s="10" t="str">
        <f t="shared" si="314"/>
        <v/>
      </c>
      <c r="L3003" s="10" t="str">
        <f t="shared" si="315"/>
        <v/>
      </c>
    </row>
    <row r="3004" spans="1:12" x14ac:dyDescent="0.25">
      <c r="A3004" s="7"/>
      <c r="D3004" s="5"/>
      <c r="E3004" s="1"/>
      <c r="F3004" s="1"/>
      <c r="G3004" s="9" t="str">
        <f t="shared" si="310"/>
        <v/>
      </c>
      <c r="H3004" s="11" t="str">
        <f t="shared" si="311"/>
        <v/>
      </c>
      <c r="I3004" s="10" t="str">
        <f t="shared" si="312"/>
        <v/>
      </c>
      <c r="J3004" s="10" t="str">
        <f t="shared" si="313"/>
        <v/>
      </c>
      <c r="K3004" s="10" t="str">
        <f t="shared" si="314"/>
        <v/>
      </c>
      <c r="L3004" s="10" t="str">
        <f t="shared" si="315"/>
        <v/>
      </c>
    </row>
    <row r="3005" spans="1:12" x14ac:dyDescent="0.25">
      <c r="A3005" s="7"/>
      <c r="D3005" s="5"/>
      <c r="E3005" s="1"/>
      <c r="F3005" s="1"/>
      <c r="G3005" s="9" t="str">
        <f t="shared" si="310"/>
        <v/>
      </c>
      <c r="H3005" s="11" t="str">
        <f t="shared" si="311"/>
        <v/>
      </c>
      <c r="I3005" s="10" t="str">
        <f t="shared" si="312"/>
        <v/>
      </c>
      <c r="J3005" s="10" t="str">
        <f t="shared" si="313"/>
        <v/>
      </c>
      <c r="K3005" s="10" t="str">
        <f t="shared" si="314"/>
        <v/>
      </c>
      <c r="L3005" s="10" t="str">
        <f t="shared" si="315"/>
        <v/>
      </c>
    </row>
    <row r="3006" spans="1:12" x14ac:dyDescent="0.25">
      <c r="A3006" s="7"/>
      <c r="D3006" s="5"/>
      <c r="E3006" s="1"/>
      <c r="F3006" s="1"/>
      <c r="G3006" s="9" t="str">
        <f t="shared" si="310"/>
        <v/>
      </c>
      <c r="H3006" s="11" t="str">
        <f t="shared" si="311"/>
        <v/>
      </c>
      <c r="I3006" s="10" t="str">
        <f t="shared" si="312"/>
        <v/>
      </c>
      <c r="J3006" s="10" t="str">
        <f t="shared" si="313"/>
        <v/>
      </c>
      <c r="K3006" s="10" t="str">
        <f t="shared" si="314"/>
        <v/>
      </c>
      <c r="L3006" s="10" t="str">
        <f t="shared" si="315"/>
        <v/>
      </c>
    </row>
    <row r="3007" spans="1:12" x14ac:dyDescent="0.25">
      <c r="A3007" s="7"/>
      <c r="D3007" s="5"/>
      <c r="E3007" s="1"/>
      <c r="F3007" s="1"/>
      <c r="G3007" s="9" t="str">
        <f t="shared" si="310"/>
        <v/>
      </c>
      <c r="H3007" s="11" t="str">
        <f t="shared" si="311"/>
        <v/>
      </c>
      <c r="I3007" s="10" t="str">
        <f t="shared" si="312"/>
        <v/>
      </c>
      <c r="J3007" s="10" t="str">
        <f t="shared" si="313"/>
        <v/>
      </c>
      <c r="K3007" s="10" t="str">
        <f t="shared" si="314"/>
        <v/>
      </c>
      <c r="L3007" s="10" t="str">
        <f t="shared" si="315"/>
        <v/>
      </c>
    </row>
    <row r="3008" spans="1:12" x14ac:dyDescent="0.25">
      <c r="A3008" s="7"/>
      <c r="D3008" s="5"/>
      <c r="E3008" s="1"/>
      <c r="F3008" s="1"/>
      <c r="G3008" s="9" t="str">
        <f t="shared" si="310"/>
        <v/>
      </c>
      <c r="H3008" s="11" t="str">
        <f t="shared" si="311"/>
        <v/>
      </c>
      <c r="I3008" s="10" t="str">
        <f t="shared" si="312"/>
        <v/>
      </c>
      <c r="J3008" s="10" t="str">
        <f t="shared" si="313"/>
        <v/>
      </c>
      <c r="K3008" s="10" t="str">
        <f t="shared" si="314"/>
        <v/>
      </c>
      <c r="L3008" s="10" t="str">
        <f t="shared" si="315"/>
        <v/>
      </c>
    </row>
    <row r="3009" spans="1:12" x14ac:dyDescent="0.25">
      <c r="A3009" s="7"/>
      <c r="D3009" s="5"/>
      <c r="E3009" s="1"/>
      <c r="F3009" s="1"/>
      <c r="G3009" s="9" t="str">
        <f t="shared" si="310"/>
        <v/>
      </c>
      <c r="H3009" s="11" t="str">
        <f t="shared" si="311"/>
        <v/>
      </c>
      <c r="I3009" s="10" t="str">
        <f t="shared" si="312"/>
        <v/>
      </c>
      <c r="J3009" s="10" t="str">
        <f t="shared" si="313"/>
        <v/>
      </c>
      <c r="K3009" s="10" t="str">
        <f t="shared" si="314"/>
        <v/>
      </c>
      <c r="L3009" s="10" t="str">
        <f t="shared" si="315"/>
        <v/>
      </c>
    </row>
    <row r="3010" spans="1:12" x14ac:dyDescent="0.25">
      <c r="A3010" s="7"/>
      <c r="D3010" s="5"/>
      <c r="E3010" s="1"/>
      <c r="F3010" s="1"/>
      <c r="G3010" s="9" t="str">
        <f t="shared" si="310"/>
        <v/>
      </c>
      <c r="H3010" s="11" t="str">
        <f t="shared" si="311"/>
        <v/>
      </c>
      <c r="I3010" s="10" t="str">
        <f t="shared" si="312"/>
        <v/>
      </c>
      <c r="J3010" s="10" t="str">
        <f t="shared" si="313"/>
        <v/>
      </c>
      <c r="K3010" s="10" t="str">
        <f t="shared" si="314"/>
        <v/>
      </c>
      <c r="L3010" s="10" t="str">
        <f t="shared" si="315"/>
        <v/>
      </c>
    </row>
    <row r="3011" spans="1:12" x14ac:dyDescent="0.25">
      <c r="A3011" s="7"/>
      <c r="D3011" s="5"/>
      <c r="E3011" s="1"/>
      <c r="F3011" s="1"/>
      <c r="G3011" s="9" t="str">
        <f t="shared" si="310"/>
        <v/>
      </c>
      <c r="H3011" s="11" t="str">
        <f t="shared" si="311"/>
        <v/>
      </c>
      <c r="I3011" s="10" t="str">
        <f t="shared" si="312"/>
        <v/>
      </c>
      <c r="J3011" s="10" t="str">
        <f t="shared" si="313"/>
        <v/>
      </c>
      <c r="K3011" s="10" t="str">
        <f t="shared" si="314"/>
        <v/>
      </c>
      <c r="L3011" s="10" t="str">
        <f t="shared" si="315"/>
        <v/>
      </c>
    </row>
    <row r="3012" spans="1:12" x14ac:dyDescent="0.25">
      <c r="A3012" s="7"/>
      <c r="D3012" s="5"/>
      <c r="E3012" s="1"/>
      <c r="F3012" s="1"/>
      <c r="G3012" s="9" t="str">
        <f t="shared" si="310"/>
        <v/>
      </c>
      <c r="H3012" s="11" t="str">
        <f t="shared" si="311"/>
        <v/>
      </c>
      <c r="I3012" s="10" t="str">
        <f t="shared" si="312"/>
        <v/>
      </c>
      <c r="J3012" s="10" t="str">
        <f t="shared" si="313"/>
        <v/>
      </c>
      <c r="K3012" s="10" t="str">
        <f t="shared" si="314"/>
        <v/>
      </c>
      <c r="L3012" s="10" t="str">
        <f t="shared" si="315"/>
        <v/>
      </c>
    </row>
    <row r="3013" spans="1:12" x14ac:dyDescent="0.25">
      <c r="A3013" s="7"/>
      <c r="D3013" s="5"/>
      <c r="E3013" s="1"/>
      <c r="F3013" s="1"/>
      <c r="G3013" s="9" t="str">
        <f t="shared" ref="G3013:G3076" si="316">IF(E3013&gt;0,INT((A3013-2)/7)*7+2,"")</f>
        <v/>
      </c>
      <c r="H3013" s="11" t="str">
        <f t="shared" ref="H3013:H3076" si="317">IF(E3013&gt;0,ROUND(24*(IF(F3013&gt;0,F3013,NowTime)-E3013),1),"")</f>
        <v/>
      </c>
      <c r="I3013" s="10" t="str">
        <f t="shared" ref="I3013:I3076" si="318">IF(H3013="",H3013,H3013+IF(A3013=A3012,_xlfn.NUMBERVALUE(I3012),0))</f>
        <v/>
      </c>
      <c r="J3013" s="10" t="str">
        <f t="shared" ref="J3013:J3076" si="319">IF(H3013="",H3013,7.2)</f>
        <v/>
      </c>
      <c r="K3013" s="10" t="str">
        <f t="shared" ref="K3013:K3076" si="320">IF(H3013="",H3013,H3013+IF(G3013=G3012,_xlfn.NUMBERVALUE(K3012),0))</f>
        <v/>
      </c>
      <c r="L3013" s="10" t="str">
        <f t="shared" ref="L3013:L3076" si="321">IF(H3013="",H3013,H3013+IF(MONTH(A3013)=MONTH(A3012),_xlfn.NUMBERVALUE(L3012),0))</f>
        <v/>
      </c>
    </row>
    <row r="3014" spans="1:12" x14ac:dyDescent="0.25">
      <c r="A3014" s="7"/>
      <c r="D3014" s="5"/>
      <c r="E3014" s="1"/>
      <c r="F3014" s="1"/>
      <c r="G3014" s="9" t="str">
        <f t="shared" si="316"/>
        <v/>
      </c>
      <c r="H3014" s="11" t="str">
        <f t="shared" si="317"/>
        <v/>
      </c>
      <c r="I3014" s="10" t="str">
        <f t="shared" si="318"/>
        <v/>
      </c>
      <c r="J3014" s="10" t="str">
        <f t="shared" si="319"/>
        <v/>
      </c>
      <c r="K3014" s="10" t="str">
        <f t="shared" si="320"/>
        <v/>
      </c>
      <c r="L3014" s="10" t="str">
        <f t="shared" si="321"/>
        <v/>
      </c>
    </row>
    <row r="3015" spans="1:12" x14ac:dyDescent="0.25">
      <c r="A3015" s="7"/>
      <c r="D3015" s="5"/>
      <c r="E3015" s="1"/>
      <c r="F3015" s="1"/>
      <c r="G3015" s="9" t="str">
        <f t="shared" si="316"/>
        <v/>
      </c>
      <c r="H3015" s="11" t="str">
        <f t="shared" si="317"/>
        <v/>
      </c>
      <c r="I3015" s="10" t="str">
        <f t="shared" si="318"/>
        <v/>
      </c>
      <c r="J3015" s="10" t="str">
        <f t="shared" si="319"/>
        <v/>
      </c>
      <c r="K3015" s="10" t="str">
        <f t="shared" si="320"/>
        <v/>
      </c>
      <c r="L3015" s="10" t="str">
        <f t="shared" si="321"/>
        <v/>
      </c>
    </row>
    <row r="3016" spans="1:12" x14ac:dyDescent="0.25">
      <c r="A3016" s="7"/>
      <c r="D3016" s="5"/>
      <c r="E3016" s="1"/>
      <c r="F3016" s="1"/>
      <c r="G3016" s="9" t="str">
        <f t="shared" si="316"/>
        <v/>
      </c>
      <c r="H3016" s="11" t="str">
        <f t="shared" si="317"/>
        <v/>
      </c>
      <c r="I3016" s="10" t="str">
        <f t="shared" si="318"/>
        <v/>
      </c>
      <c r="J3016" s="10" t="str">
        <f t="shared" si="319"/>
        <v/>
      </c>
      <c r="K3016" s="10" t="str">
        <f t="shared" si="320"/>
        <v/>
      </c>
      <c r="L3016" s="10" t="str">
        <f t="shared" si="321"/>
        <v/>
      </c>
    </row>
    <row r="3017" spans="1:12" x14ac:dyDescent="0.25">
      <c r="A3017" s="7"/>
      <c r="D3017" s="5"/>
      <c r="E3017" s="1"/>
      <c r="F3017" s="1"/>
      <c r="G3017" s="9" t="str">
        <f t="shared" si="316"/>
        <v/>
      </c>
      <c r="H3017" s="11" t="str">
        <f t="shared" si="317"/>
        <v/>
      </c>
      <c r="I3017" s="10" t="str">
        <f t="shared" si="318"/>
        <v/>
      </c>
      <c r="J3017" s="10" t="str">
        <f t="shared" si="319"/>
        <v/>
      </c>
      <c r="K3017" s="10" t="str">
        <f t="shared" si="320"/>
        <v/>
      </c>
      <c r="L3017" s="10" t="str">
        <f t="shared" si="321"/>
        <v/>
      </c>
    </row>
    <row r="3018" spans="1:12" x14ac:dyDescent="0.25">
      <c r="A3018" s="7"/>
      <c r="D3018" s="5"/>
      <c r="E3018" s="1"/>
      <c r="F3018" s="1"/>
      <c r="G3018" s="9" t="str">
        <f t="shared" si="316"/>
        <v/>
      </c>
      <c r="H3018" s="11" t="str">
        <f t="shared" si="317"/>
        <v/>
      </c>
      <c r="I3018" s="10" t="str">
        <f t="shared" si="318"/>
        <v/>
      </c>
      <c r="J3018" s="10" t="str">
        <f t="shared" si="319"/>
        <v/>
      </c>
      <c r="K3018" s="10" t="str">
        <f t="shared" si="320"/>
        <v/>
      </c>
      <c r="L3018" s="10" t="str">
        <f t="shared" si="321"/>
        <v/>
      </c>
    </row>
    <row r="3019" spans="1:12" x14ac:dyDescent="0.25">
      <c r="A3019" s="7"/>
      <c r="D3019" s="5"/>
      <c r="E3019" s="1"/>
      <c r="F3019" s="1"/>
      <c r="G3019" s="9" t="str">
        <f t="shared" si="316"/>
        <v/>
      </c>
      <c r="H3019" s="11" t="str">
        <f t="shared" si="317"/>
        <v/>
      </c>
      <c r="I3019" s="10" t="str">
        <f t="shared" si="318"/>
        <v/>
      </c>
      <c r="J3019" s="10" t="str">
        <f t="shared" si="319"/>
        <v/>
      </c>
      <c r="K3019" s="10" t="str">
        <f t="shared" si="320"/>
        <v/>
      </c>
      <c r="L3019" s="10" t="str">
        <f t="shared" si="321"/>
        <v/>
      </c>
    </row>
    <row r="3020" spans="1:12" x14ac:dyDescent="0.25">
      <c r="A3020" s="7"/>
      <c r="D3020" s="5"/>
      <c r="E3020" s="1"/>
      <c r="F3020" s="1"/>
      <c r="G3020" s="9" t="str">
        <f t="shared" si="316"/>
        <v/>
      </c>
      <c r="H3020" s="11" t="str">
        <f t="shared" si="317"/>
        <v/>
      </c>
      <c r="I3020" s="10" t="str">
        <f t="shared" si="318"/>
        <v/>
      </c>
      <c r="J3020" s="10" t="str">
        <f t="shared" si="319"/>
        <v/>
      </c>
      <c r="K3020" s="10" t="str">
        <f t="shared" si="320"/>
        <v/>
      </c>
      <c r="L3020" s="10" t="str">
        <f t="shared" si="321"/>
        <v/>
      </c>
    </row>
    <row r="3021" spans="1:12" x14ac:dyDescent="0.25">
      <c r="A3021" s="7"/>
      <c r="D3021" s="5"/>
      <c r="E3021" s="1"/>
      <c r="F3021" s="1"/>
      <c r="G3021" s="9" t="str">
        <f t="shared" si="316"/>
        <v/>
      </c>
      <c r="H3021" s="11" t="str">
        <f t="shared" si="317"/>
        <v/>
      </c>
      <c r="I3021" s="10" t="str">
        <f t="shared" si="318"/>
        <v/>
      </c>
      <c r="J3021" s="10" t="str">
        <f t="shared" si="319"/>
        <v/>
      </c>
      <c r="K3021" s="10" t="str">
        <f t="shared" si="320"/>
        <v/>
      </c>
      <c r="L3021" s="10" t="str">
        <f t="shared" si="321"/>
        <v/>
      </c>
    </row>
    <row r="3022" spans="1:12" x14ac:dyDescent="0.25">
      <c r="A3022" s="7"/>
      <c r="D3022" s="5"/>
      <c r="E3022" s="1"/>
      <c r="F3022" s="1"/>
      <c r="G3022" s="9" t="str">
        <f t="shared" si="316"/>
        <v/>
      </c>
      <c r="H3022" s="11" t="str">
        <f t="shared" si="317"/>
        <v/>
      </c>
      <c r="I3022" s="10" t="str">
        <f t="shared" si="318"/>
        <v/>
      </c>
      <c r="J3022" s="10" t="str">
        <f t="shared" si="319"/>
        <v/>
      </c>
      <c r="K3022" s="10" t="str">
        <f t="shared" si="320"/>
        <v/>
      </c>
      <c r="L3022" s="10" t="str">
        <f t="shared" si="321"/>
        <v/>
      </c>
    </row>
    <row r="3023" spans="1:12" x14ac:dyDescent="0.25">
      <c r="A3023" s="7"/>
      <c r="D3023" s="5"/>
      <c r="E3023" s="1"/>
      <c r="F3023" s="1"/>
      <c r="G3023" s="9" t="str">
        <f t="shared" si="316"/>
        <v/>
      </c>
      <c r="H3023" s="11" t="str">
        <f t="shared" si="317"/>
        <v/>
      </c>
      <c r="I3023" s="10" t="str">
        <f t="shared" si="318"/>
        <v/>
      </c>
      <c r="J3023" s="10" t="str">
        <f t="shared" si="319"/>
        <v/>
      </c>
      <c r="K3023" s="10" t="str">
        <f t="shared" si="320"/>
        <v/>
      </c>
      <c r="L3023" s="10" t="str">
        <f t="shared" si="321"/>
        <v/>
      </c>
    </row>
    <row r="3024" spans="1:12" x14ac:dyDescent="0.25">
      <c r="A3024" s="7"/>
      <c r="D3024" s="5"/>
      <c r="E3024" s="1"/>
      <c r="F3024" s="1"/>
      <c r="G3024" s="9" t="str">
        <f t="shared" si="316"/>
        <v/>
      </c>
      <c r="H3024" s="11" t="str">
        <f t="shared" si="317"/>
        <v/>
      </c>
      <c r="I3024" s="10" t="str">
        <f t="shared" si="318"/>
        <v/>
      </c>
      <c r="J3024" s="10" t="str">
        <f t="shared" si="319"/>
        <v/>
      </c>
      <c r="K3024" s="10" t="str">
        <f t="shared" si="320"/>
        <v/>
      </c>
      <c r="L3024" s="10" t="str">
        <f t="shared" si="321"/>
        <v/>
      </c>
    </row>
    <row r="3025" spans="1:12" x14ac:dyDescent="0.25">
      <c r="A3025" s="7"/>
      <c r="D3025" s="5"/>
      <c r="E3025" s="1"/>
      <c r="F3025" s="1"/>
      <c r="G3025" s="9" t="str">
        <f t="shared" si="316"/>
        <v/>
      </c>
      <c r="H3025" s="11" t="str">
        <f t="shared" si="317"/>
        <v/>
      </c>
      <c r="I3025" s="10" t="str">
        <f t="shared" si="318"/>
        <v/>
      </c>
      <c r="J3025" s="10" t="str">
        <f t="shared" si="319"/>
        <v/>
      </c>
      <c r="K3025" s="10" t="str">
        <f t="shared" si="320"/>
        <v/>
      </c>
      <c r="L3025" s="10" t="str">
        <f t="shared" si="321"/>
        <v/>
      </c>
    </row>
    <row r="3026" spans="1:12" x14ac:dyDescent="0.25">
      <c r="A3026" s="7"/>
      <c r="D3026" s="5"/>
      <c r="E3026" s="1"/>
      <c r="F3026" s="1"/>
      <c r="G3026" s="9" t="str">
        <f t="shared" si="316"/>
        <v/>
      </c>
      <c r="H3026" s="11" t="str">
        <f t="shared" si="317"/>
        <v/>
      </c>
      <c r="I3026" s="10" t="str">
        <f t="shared" si="318"/>
        <v/>
      </c>
      <c r="J3026" s="10" t="str">
        <f t="shared" si="319"/>
        <v/>
      </c>
      <c r="K3026" s="10" t="str">
        <f t="shared" si="320"/>
        <v/>
      </c>
      <c r="L3026" s="10" t="str">
        <f t="shared" si="321"/>
        <v/>
      </c>
    </row>
    <row r="3027" spans="1:12" x14ac:dyDescent="0.25">
      <c r="A3027" s="7"/>
      <c r="D3027" s="5"/>
      <c r="E3027" s="1"/>
      <c r="F3027" s="1"/>
      <c r="G3027" s="9" t="str">
        <f t="shared" si="316"/>
        <v/>
      </c>
      <c r="H3027" s="11" t="str">
        <f t="shared" si="317"/>
        <v/>
      </c>
      <c r="I3027" s="10" t="str">
        <f t="shared" si="318"/>
        <v/>
      </c>
      <c r="J3027" s="10" t="str">
        <f t="shared" si="319"/>
        <v/>
      </c>
      <c r="K3027" s="10" t="str">
        <f t="shared" si="320"/>
        <v/>
      </c>
      <c r="L3027" s="10" t="str">
        <f t="shared" si="321"/>
        <v/>
      </c>
    </row>
    <row r="3028" spans="1:12" x14ac:dyDescent="0.25">
      <c r="A3028" s="7"/>
      <c r="D3028" s="5"/>
      <c r="E3028" s="1"/>
      <c r="F3028" s="1"/>
      <c r="G3028" s="9" t="str">
        <f t="shared" si="316"/>
        <v/>
      </c>
      <c r="H3028" s="11" t="str">
        <f t="shared" si="317"/>
        <v/>
      </c>
      <c r="I3028" s="10" t="str">
        <f t="shared" si="318"/>
        <v/>
      </c>
      <c r="J3028" s="10" t="str">
        <f t="shared" si="319"/>
        <v/>
      </c>
      <c r="K3028" s="10" t="str">
        <f t="shared" si="320"/>
        <v/>
      </c>
      <c r="L3028" s="10" t="str">
        <f t="shared" si="321"/>
        <v/>
      </c>
    </row>
    <row r="3029" spans="1:12" x14ac:dyDescent="0.25">
      <c r="A3029" s="7"/>
      <c r="D3029" s="5"/>
      <c r="E3029" s="1"/>
      <c r="F3029" s="1"/>
      <c r="G3029" s="9" t="str">
        <f t="shared" si="316"/>
        <v/>
      </c>
      <c r="H3029" s="11" t="str">
        <f t="shared" si="317"/>
        <v/>
      </c>
      <c r="I3029" s="10" t="str">
        <f t="shared" si="318"/>
        <v/>
      </c>
      <c r="J3029" s="10" t="str">
        <f t="shared" si="319"/>
        <v/>
      </c>
      <c r="K3029" s="10" t="str">
        <f t="shared" si="320"/>
        <v/>
      </c>
      <c r="L3029" s="10" t="str">
        <f t="shared" si="321"/>
        <v/>
      </c>
    </row>
    <row r="3030" spans="1:12" x14ac:dyDescent="0.25">
      <c r="A3030" s="7"/>
      <c r="D3030" s="5"/>
      <c r="E3030" s="1"/>
      <c r="F3030" s="1"/>
      <c r="G3030" s="9" t="str">
        <f t="shared" si="316"/>
        <v/>
      </c>
      <c r="H3030" s="11" t="str">
        <f t="shared" si="317"/>
        <v/>
      </c>
      <c r="I3030" s="10" t="str">
        <f t="shared" si="318"/>
        <v/>
      </c>
      <c r="J3030" s="10" t="str">
        <f t="shared" si="319"/>
        <v/>
      </c>
      <c r="K3030" s="10" t="str">
        <f t="shared" si="320"/>
        <v/>
      </c>
      <c r="L3030" s="10" t="str">
        <f t="shared" si="321"/>
        <v/>
      </c>
    </row>
    <row r="3031" spans="1:12" x14ac:dyDescent="0.25">
      <c r="A3031" s="7"/>
      <c r="D3031" s="5"/>
      <c r="E3031" s="1"/>
      <c r="F3031" s="1"/>
      <c r="G3031" s="9" t="str">
        <f t="shared" si="316"/>
        <v/>
      </c>
      <c r="H3031" s="11" t="str">
        <f t="shared" si="317"/>
        <v/>
      </c>
      <c r="I3031" s="10" t="str">
        <f t="shared" si="318"/>
        <v/>
      </c>
      <c r="J3031" s="10" t="str">
        <f t="shared" si="319"/>
        <v/>
      </c>
      <c r="K3031" s="10" t="str">
        <f t="shared" si="320"/>
        <v/>
      </c>
      <c r="L3031" s="10" t="str">
        <f t="shared" si="321"/>
        <v/>
      </c>
    </row>
    <row r="3032" spans="1:12" x14ac:dyDescent="0.25">
      <c r="A3032" s="7"/>
      <c r="D3032" s="5"/>
      <c r="E3032" s="1"/>
      <c r="F3032" s="1"/>
      <c r="G3032" s="9" t="str">
        <f t="shared" si="316"/>
        <v/>
      </c>
      <c r="H3032" s="11" t="str">
        <f t="shared" si="317"/>
        <v/>
      </c>
      <c r="I3032" s="10" t="str">
        <f t="shared" si="318"/>
        <v/>
      </c>
      <c r="J3032" s="10" t="str">
        <f t="shared" si="319"/>
        <v/>
      </c>
      <c r="K3032" s="10" t="str">
        <f t="shared" si="320"/>
        <v/>
      </c>
      <c r="L3032" s="10" t="str">
        <f t="shared" si="321"/>
        <v/>
      </c>
    </row>
    <row r="3033" spans="1:12" x14ac:dyDescent="0.25">
      <c r="A3033" s="7"/>
      <c r="D3033" s="5"/>
      <c r="E3033" s="1"/>
      <c r="F3033" s="1"/>
      <c r="G3033" s="9" t="str">
        <f t="shared" si="316"/>
        <v/>
      </c>
      <c r="H3033" s="11" t="str">
        <f t="shared" si="317"/>
        <v/>
      </c>
      <c r="I3033" s="10" t="str">
        <f t="shared" si="318"/>
        <v/>
      </c>
      <c r="J3033" s="10" t="str">
        <f t="shared" si="319"/>
        <v/>
      </c>
      <c r="K3033" s="10" t="str">
        <f t="shared" si="320"/>
        <v/>
      </c>
      <c r="L3033" s="10" t="str">
        <f t="shared" si="321"/>
        <v/>
      </c>
    </row>
    <row r="3034" spans="1:12" x14ac:dyDescent="0.25">
      <c r="A3034" s="7"/>
      <c r="D3034" s="5"/>
      <c r="E3034" s="1"/>
      <c r="F3034" s="1"/>
      <c r="G3034" s="9" t="str">
        <f t="shared" si="316"/>
        <v/>
      </c>
      <c r="H3034" s="11" t="str">
        <f t="shared" si="317"/>
        <v/>
      </c>
      <c r="I3034" s="10" t="str">
        <f t="shared" si="318"/>
        <v/>
      </c>
      <c r="J3034" s="10" t="str">
        <f t="shared" si="319"/>
        <v/>
      </c>
      <c r="K3034" s="10" t="str">
        <f t="shared" si="320"/>
        <v/>
      </c>
      <c r="L3034" s="10" t="str">
        <f t="shared" si="321"/>
        <v/>
      </c>
    </row>
    <row r="3035" spans="1:12" x14ac:dyDescent="0.25">
      <c r="A3035" s="7"/>
      <c r="D3035" s="5"/>
      <c r="E3035" s="1"/>
      <c r="F3035" s="1"/>
      <c r="G3035" s="9" t="str">
        <f t="shared" si="316"/>
        <v/>
      </c>
      <c r="H3035" s="11" t="str">
        <f t="shared" si="317"/>
        <v/>
      </c>
      <c r="I3035" s="10" t="str">
        <f t="shared" si="318"/>
        <v/>
      </c>
      <c r="J3035" s="10" t="str">
        <f t="shared" si="319"/>
        <v/>
      </c>
      <c r="K3035" s="10" t="str">
        <f t="shared" si="320"/>
        <v/>
      </c>
      <c r="L3035" s="10" t="str">
        <f t="shared" si="321"/>
        <v/>
      </c>
    </row>
    <row r="3036" spans="1:12" x14ac:dyDescent="0.25">
      <c r="A3036" s="7"/>
      <c r="D3036" s="5"/>
      <c r="E3036" s="1"/>
      <c r="F3036" s="1"/>
      <c r="G3036" s="9" t="str">
        <f t="shared" si="316"/>
        <v/>
      </c>
      <c r="H3036" s="11" t="str">
        <f t="shared" si="317"/>
        <v/>
      </c>
      <c r="I3036" s="10" t="str">
        <f t="shared" si="318"/>
        <v/>
      </c>
      <c r="J3036" s="10" t="str">
        <f t="shared" si="319"/>
        <v/>
      </c>
      <c r="K3036" s="10" t="str">
        <f t="shared" si="320"/>
        <v/>
      </c>
      <c r="L3036" s="10" t="str">
        <f t="shared" si="321"/>
        <v/>
      </c>
    </row>
    <row r="3037" spans="1:12" x14ac:dyDescent="0.25">
      <c r="A3037" s="7"/>
      <c r="D3037" s="5"/>
      <c r="E3037" s="1"/>
      <c r="F3037" s="1"/>
      <c r="G3037" s="9" t="str">
        <f t="shared" si="316"/>
        <v/>
      </c>
      <c r="H3037" s="11" t="str">
        <f t="shared" si="317"/>
        <v/>
      </c>
      <c r="I3037" s="10" t="str">
        <f t="shared" si="318"/>
        <v/>
      </c>
      <c r="J3037" s="10" t="str">
        <f t="shared" si="319"/>
        <v/>
      </c>
      <c r="K3037" s="10" t="str">
        <f t="shared" si="320"/>
        <v/>
      </c>
      <c r="L3037" s="10" t="str">
        <f t="shared" si="321"/>
        <v/>
      </c>
    </row>
    <row r="3038" spans="1:12" x14ac:dyDescent="0.25">
      <c r="A3038" s="7"/>
      <c r="D3038" s="5"/>
      <c r="E3038" s="1"/>
      <c r="F3038" s="1"/>
      <c r="G3038" s="9" t="str">
        <f t="shared" si="316"/>
        <v/>
      </c>
      <c r="H3038" s="11" t="str">
        <f t="shared" si="317"/>
        <v/>
      </c>
      <c r="I3038" s="10" t="str">
        <f t="shared" si="318"/>
        <v/>
      </c>
      <c r="J3038" s="10" t="str">
        <f t="shared" si="319"/>
        <v/>
      </c>
      <c r="K3038" s="10" t="str">
        <f t="shared" si="320"/>
        <v/>
      </c>
      <c r="L3038" s="10" t="str">
        <f t="shared" si="321"/>
        <v/>
      </c>
    </row>
    <row r="3039" spans="1:12" x14ac:dyDescent="0.25">
      <c r="A3039" s="7"/>
      <c r="D3039" s="5"/>
      <c r="E3039" s="1"/>
      <c r="F3039" s="1"/>
      <c r="G3039" s="9" t="str">
        <f t="shared" si="316"/>
        <v/>
      </c>
      <c r="H3039" s="11" t="str">
        <f t="shared" si="317"/>
        <v/>
      </c>
      <c r="I3039" s="10" t="str">
        <f t="shared" si="318"/>
        <v/>
      </c>
      <c r="J3039" s="10" t="str">
        <f t="shared" si="319"/>
        <v/>
      </c>
      <c r="K3039" s="10" t="str">
        <f t="shared" si="320"/>
        <v/>
      </c>
      <c r="L3039" s="10" t="str">
        <f t="shared" si="321"/>
        <v/>
      </c>
    </row>
    <row r="3040" spans="1:12" x14ac:dyDescent="0.25">
      <c r="A3040" s="7"/>
      <c r="D3040" s="5"/>
      <c r="E3040" s="1"/>
      <c r="F3040" s="1"/>
      <c r="G3040" s="9" t="str">
        <f t="shared" si="316"/>
        <v/>
      </c>
      <c r="H3040" s="11" t="str">
        <f t="shared" si="317"/>
        <v/>
      </c>
      <c r="I3040" s="10" t="str">
        <f t="shared" si="318"/>
        <v/>
      </c>
      <c r="J3040" s="10" t="str">
        <f t="shared" si="319"/>
        <v/>
      </c>
      <c r="K3040" s="10" t="str">
        <f t="shared" si="320"/>
        <v/>
      </c>
      <c r="L3040" s="10" t="str">
        <f t="shared" si="321"/>
        <v/>
      </c>
    </row>
    <row r="3041" spans="1:12" x14ac:dyDescent="0.25">
      <c r="A3041" s="7"/>
      <c r="D3041" s="5"/>
      <c r="E3041" s="1"/>
      <c r="F3041" s="1"/>
      <c r="G3041" s="9" t="str">
        <f t="shared" si="316"/>
        <v/>
      </c>
      <c r="H3041" s="11" t="str">
        <f t="shared" si="317"/>
        <v/>
      </c>
      <c r="I3041" s="10" t="str">
        <f t="shared" si="318"/>
        <v/>
      </c>
      <c r="J3041" s="10" t="str">
        <f t="shared" si="319"/>
        <v/>
      </c>
      <c r="K3041" s="10" t="str">
        <f t="shared" si="320"/>
        <v/>
      </c>
      <c r="L3041" s="10" t="str">
        <f t="shared" si="321"/>
        <v/>
      </c>
    </row>
    <row r="3042" spans="1:12" x14ac:dyDescent="0.25">
      <c r="A3042" s="7"/>
      <c r="D3042" s="5"/>
      <c r="E3042" s="1"/>
      <c r="F3042" s="1"/>
      <c r="G3042" s="9" t="str">
        <f t="shared" si="316"/>
        <v/>
      </c>
      <c r="H3042" s="11" t="str">
        <f t="shared" si="317"/>
        <v/>
      </c>
      <c r="I3042" s="10" t="str">
        <f t="shared" si="318"/>
        <v/>
      </c>
      <c r="J3042" s="10" t="str">
        <f t="shared" si="319"/>
        <v/>
      </c>
      <c r="K3042" s="10" t="str">
        <f t="shared" si="320"/>
        <v/>
      </c>
      <c r="L3042" s="10" t="str">
        <f t="shared" si="321"/>
        <v/>
      </c>
    </row>
    <row r="3043" spans="1:12" x14ac:dyDescent="0.25">
      <c r="A3043" s="7"/>
      <c r="D3043" s="5"/>
      <c r="E3043" s="1"/>
      <c r="F3043" s="1"/>
      <c r="G3043" s="9" t="str">
        <f t="shared" si="316"/>
        <v/>
      </c>
      <c r="H3043" s="11" t="str">
        <f t="shared" si="317"/>
        <v/>
      </c>
      <c r="I3043" s="10" t="str">
        <f t="shared" si="318"/>
        <v/>
      </c>
      <c r="J3043" s="10" t="str">
        <f t="shared" si="319"/>
        <v/>
      </c>
      <c r="K3043" s="10" t="str">
        <f t="shared" si="320"/>
        <v/>
      </c>
      <c r="L3043" s="10" t="str">
        <f t="shared" si="321"/>
        <v/>
      </c>
    </row>
    <row r="3044" spans="1:12" x14ac:dyDescent="0.25">
      <c r="A3044" s="7"/>
      <c r="D3044" s="5"/>
      <c r="E3044" s="1"/>
      <c r="F3044" s="1"/>
      <c r="G3044" s="9" t="str">
        <f t="shared" si="316"/>
        <v/>
      </c>
      <c r="H3044" s="11" t="str">
        <f t="shared" si="317"/>
        <v/>
      </c>
      <c r="I3044" s="10" t="str">
        <f t="shared" si="318"/>
        <v/>
      </c>
      <c r="J3044" s="10" t="str">
        <f t="shared" si="319"/>
        <v/>
      </c>
      <c r="K3044" s="10" t="str">
        <f t="shared" si="320"/>
        <v/>
      </c>
      <c r="L3044" s="10" t="str">
        <f t="shared" si="321"/>
        <v/>
      </c>
    </row>
    <row r="3045" spans="1:12" x14ac:dyDescent="0.25">
      <c r="A3045" s="7"/>
      <c r="D3045" s="5"/>
      <c r="E3045" s="1"/>
      <c r="F3045" s="1"/>
      <c r="G3045" s="9" t="str">
        <f t="shared" si="316"/>
        <v/>
      </c>
      <c r="H3045" s="11" t="str">
        <f t="shared" si="317"/>
        <v/>
      </c>
      <c r="I3045" s="10" t="str">
        <f t="shared" si="318"/>
        <v/>
      </c>
      <c r="J3045" s="10" t="str">
        <f t="shared" si="319"/>
        <v/>
      </c>
      <c r="K3045" s="10" t="str">
        <f t="shared" si="320"/>
        <v/>
      </c>
      <c r="L3045" s="10" t="str">
        <f t="shared" si="321"/>
        <v/>
      </c>
    </row>
    <row r="3046" spans="1:12" x14ac:dyDescent="0.25">
      <c r="A3046" s="7"/>
      <c r="D3046" s="5"/>
      <c r="E3046" s="1"/>
      <c r="F3046" s="1"/>
      <c r="G3046" s="9" t="str">
        <f t="shared" si="316"/>
        <v/>
      </c>
      <c r="H3046" s="11" t="str">
        <f t="shared" si="317"/>
        <v/>
      </c>
      <c r="I3046" s="10" t="str">
        <f t="shared" si="318"/>
        <v/>
      </c>
      <c r="J3046" s="10" t="str">
        <f t="shared" si="319"/>
        <v/>
      </c>
      <c r="K3046" s="10" t="str">
        <f t="shared" si="320"/>
        <v/>
      </c>
      <c r="L3046" s="10" t="str">
        <f t="shared" si="321"/>
        <v/>
      </c>
    </row>
    <row r="3047" spans="1:12" x14ac:dyDescent="0.25">
      <c r="A3047" s="7"/>
      <c r="D3047" s="5"/>
      <c r="E3047" s="1"/>
      <c r="F3047" s="1"/>
      <c r="G3047" s="9" t="str">
        <f t="shared" si="316"/>
        <v/>
      </c>
      <c r="H3047" s="11" t="str">
        <f t="shared" si="317"/>
        <v/>
      </c>
      <c r="I3047" s="10" t="str">
        <f t="shared" si="318"/>
        <v/>
      </c>
      <c r="J3047" s="10" t="str">
        <f t="shared" si="319"/>
        <v/>
      </c>
      <c r="K3047" s="10" t="str">
        <f t="shared" si="320"/>
        <v/>
      </c>
      <c r="L3047" s="10" t="str">
        <f t="shared" si="321"/>
        <v/>
      </c>
    </row>
    <row r="3048" spans="1:12" x14ac:dyDescent="0.25">
      <c r="A3048" s="7"/>
      <c r="D3048" s="5"/>
      <c r="E3048" s="1"/>
      <c r="F3048" s="1"/>
      <c r="G3048" s="9" t="str">
        <f t="shared" si="316"/>
        <v/>
      </c>
      <c r="H3048" s="11" t="str">
        <f t="shared" si="317"/>
        <v/>
      </c>
      <c r="I3048" s="10" t="str">
        <f t="shared" si="318"/>
        <v/>
      </c>
      <c r="J3048" s="10" t="str">
        <f t="shared" si="319"/>
        <v/>
      </c>
      <c r="K3048" s="10" t="str">
        <f t="shared" si="320"/>
        <v/>
      </c>
      <c r="L3048" s="10" t="str">
        <f t="shared" si="321"/>
        <v/>
      </c>
    </row>
    <row r="3049" spans="1:12" x14ac:dyDescent="0.25">
      <c r="A3049" s="7"/>
      <c r="D3049" s="5"/>
      <c r="E3049" s="1"/>
      <c r="F3049" s="1"/>
      <c r="G3049" s="9" t="str">
        <f t="shared" si="316"/>
        <v/>
      </c>
      <c r="H3049" s="11" t="str">
        <f t="shared" si="317"/>
        <v/>
      </c>
      <c r="I3049" s="10" t="str">
        <f t="shared" si="318"/>
        <v/>
      </c>
      <c r="J3049" s="10" t="str">
        <f t="shared" si="319"/>
        <v/>
      </c>
      <c r="K3049" s="10" t="str">
        <f t="shared" si="320"/>
        <v/>
      </c>
      <c r="L3049" s="10" t="str">
        <f t="shared" si="321"/>
        <v/>
      </c>
    </row>
    <row r="3050" spans="1:12" x14ac:dyDescent="0.25">
      <c r="A3050" s="7"/>
      <c r="D3050" s="5"/>
      <c r="E3050" s="1"/>
      <c r="F3050" s="1"/>
      <c r="G3050" s="9" t="str">
        <f t="shared" si="316"/>
        <v/>
      </c>
      <c r="H3050" s="11" t="str">
        <f t="shared" si="317"/>
        <v/>
      </c>
      <c r="I3050" s="10" t="str">
        <f t="shared" si="318"/>
        <v/>
      </c>
      <c r="J3050" s="10" t="str">
        <f t="shared" si="319"/>
        <v/>
      </c>
      <c r="K3050" s="10" t="str">
        <f t="shared" si="320"/>
        <v/>
      </c>
      <c r="L3050" s="10" t="str">
        <f t="shared" si="321"/>
        <v/>
      </c>
    </row>
    <row r="3051" spans="1:12" x14ac:dyDescent="0.25">
      <c r="A3051" s="7"/>
      <c r="D3051" s="5"/>
      <c r="E3051" s="1"/>
      <c r="F3051" s="1"/>
      <c r="G3051" s="9" t="str">
        <f t="shared" si="316"/>
        <v/>
      </c>
      <c r="H3051" s="11" t="str">
        <f t="shared" si="317"/>
        <v/>
      </c>
      <c r="I3051" s="10" t="str">
        <f t="shared" si="318"/>
        <v/>
      </c>
      <c r="J3051" s="10" t="str">
        <f t="shared" si="319"/>
        <v/>
      </c>
      <c r="K3051" s="10" t="str">
        <f t="shared" si="320"/>
        <v/>
      </c>
      <c r="L3051" s="10" t="str">
        <f t="shared" si="321"/>
        <v/>
      </c>
    </row>
    <row r="3052" spans="1:12" x14ac:dyDescent="0.25">
      <c r="A3052" s="7"/>
      <c r="D3052" s="5"/>
      <c r="E3052" s="1"/>
      <c r="F3052" s="1"/>
      <c r="G3052" s="9" t="str">
        <f t="shared" si="316"/>
        <v/>
      </c>
      <c r="H3052" s="11" t="str">
        <f t="shared" si="317"/>
        <v/>
      </c>
      <c r="I3052" s="10" t="str">
        <f t="shared" si="318"/>
        <v/>
      </c>
      <c r="J3052" s="10" t="str">
        <f t="shared" si="319"/>
        <v/>
      </c>
      <c r="K3052" s="10" t="str">
        <f t="shared" si="320"/>
        <v/>
      </c>
      <c r="L3052" s="10" t="str">
        <f t="shared" si="321"/>
        <v/>
      </c>
    </row>
    <row r="3053" spans="1:12" x14ac:dyDescent="0.25">
      <c r="A3053" s="7"/>
      <c r="D3053" s="5"/>
      <c r="E3053" s="1"/>
      <c r="F3053" s="1"/>
      <c r="G3053" s="9" t="str">
        <f t="shared" si="316"/>
        <v/>
      </c>
      <c r="H3053" s="11" t="str">
        <f t="shared" si="317"/>
        <v/>
      </c>
      <c r="I3053" s="10" t="str">
        <f t="shared" si="318"/>
        <v/>
      </c>
      <c r="J3053" s="10" t="str">
        <f t="shared" si="319"/>
        <v/>
      </c>
      <c r="K3053" s="10" t="str">
        <f t="shared" si="320"/>
        <v/>
      </c>
      <c r="L3053" s="10" t="str">
        <f t="shared" si="321"/>
        <v/>
      </c>
    </row>
    <row r="3054" spans="1:12" x14ac:dyDescent="0.25">
      <c r="A3054" s="7"/>
      <c r="D3054" s="5"/>
      <c r="E3054" s="1"/>
      <c r="F3054" s="1"/>
      <c r="G3054" s="9" t="str">
        <f t="shared" si="316"/>
        <v/>
      </c>
      <c r="H3054" s="11" t="str">
        <f t="shared" si="317"/>
        <v/>
      </c>
      <c r="I3054" s="10" t="str">
        <f t="shared" si="318"/>
        <v/>
      </c>
      <c r="J3054" s="10" t="str">
        <f t="shared" si="319"/>
        <v/>
      </c>
      <c r="K3054" s="10" t="str">
        <f t="shared" si="320"/>
        <v/>
      </c>
      <c r="L3054" s="10" t="str">
        <f t="shared" si="321"/>
        <v/>
      </c>
    </row>
    <row r="3055" spans="1:12" x14ac:dyDescent="0.25">
      <c r="A3055" s="7"/>
      <c r="D3055" s="5"/>
      <c r="E3055" s="1"/>
      <c r="F3055" s="1"/>
      <c r="G3055" s="9" t="str">
        <f t="shared" si="316"/>
        <v/>
      </c>
      <c r="H3055" s="11" t="str">
        <f t="shared" si="317"/>
        <v/>
      </c>
      <c r="I3055" s="10" t="str">
        <f t="shared" si="318"/>
        <v/>
      </c>
      <c r="J3055" s="10" t="str">
        <f t="shared" si="319"/>
        <v/>
      </c>
      <c r="K3055" s="10" t="str">
        <f t="shared" si="320"/>
        <v/>
      </c>
      <c r="L3055" s="10" t="str">
        <f t="shared" si="321"/>
        <v/>
      </c>
    </row>
    <row r="3056" spans="1:12" x14ac:dyDescent="0.25">
      <c r="A3056" s="7"/>
      <c r="D3056" s="5"/>
      <c r="E3056" s="1"/>
      <c r="F3056" s="1"/>
      <c r="G3056" s="9" t="str">
        <f t="shared" si="316"/>
        <v/>
      </c>
      <c r="H3056" s="11" t="str">
        <f t="shared" si="317"/>
        <v/>
      </c>
      <c r="I3056" s="10" t="str">
        <f t="shared" si="318"/>
        <v/>
      </c>
      <c r="J3056" s="10" t="str">
        <f t="shared" si="319"/>
        <v/>
      </c>
      <c r="K3056" s="10" t="str">
        <f t="shared" si="320"/>
        <v/>
      </c>
      <c r="L3056" s="10" t="str">
        <f t="shared" si="321"/>
        <v/>
      </c>
    </row>
    <row r="3057" spans="1:12" x14ac:dyDescent="0.25">
      <c r="A3057" s="7"/>
      <c r="D3057" s="5"/>
      <c r="E3057" s="1"/>
      <c r="F3057" s="1"/>
      <c r="G3057" s="9" t="str">
        <f t="shared" si="316"/>
        <v/>
      </c>
      <c r="H3057" s="11" t="str">
        <f t="shared" si="317"/>
        <v/>
      </c>
      <c r="I3057" s="10" t="str">
        <f t="shared" si="318"/>
        <v/>
      </c>
      <c r="J3057" s="10" t="str">
        <f t="shared" si="319"/>
        <v/>
      </c>
      <c r="K3057" s="10" t="str">
        <f t="shared" si="320"/>
        <v/>
      </c>
      <c r="L3057" s="10" t="str">
        <f t="shared" si="321"/>
        <v/>
      </c>
    </row>
    <row r="3058" spans="1:12" x14ac:dyDescent="0.25">
      <c r="A3058" s="7"/>
      <c r="D3058" s="5"/>
      <c r="E3058" s="1"/>
      <c r="F3058" s="1"/>
      <c r="G3058" s="9" t="str">
        <f t="shared" si="316"/>
        <v/>
      </c>
      <c r="H3058" s="11" t="str">
        <f t="shared" si="317"/>
        <v/>
      </c>
      <c r="I3058" s="10" t="str">
        <f t="shared" si="318"/>
        <v/>
      </c>
      <c r="J3058" s="10" t="str">
        <f t="shared" si="319"/>
        <v/>
      </c>
      <c r="K3058" s="10" t="str">
        <f t="shared" si="320"/>
        <v/>
      </c>
      <c r="L3058" s="10" t="str">
        <f t="shared" si="321"/>
        <v/>
      </c>
    </row>
    <row r="3059" spans="1:12" x14ac:dyDescent="0.25">
      <c r="A3059" s="7"/>
      <c r="D3059" s="5"/>
      <c r="E3059" s="1"/>
      <c r="F3059" s="1"/>
      <c r="G3059" s="9" t="str">
        <f t="shared" si="316"/>
        <v/>
      </c>
      <c r="H3059" s="11" t="str">
        <f t="shared" si="317"/>
        <v/>
      </c>
      <c r="I3059" s="10" t="str">
        <f t="shared" si="318"/>
        <v/>
      </c>
      <c r="J3059" s="10" t="str">
        <f t="shared" si="319"/>
        <v/>
      </c>
      <c r="K3059" s="10" t="str">
        <f t="shared" si="320"/>
        <v/>
      </c>
      <c r="L3059" s="10" t="str">
        <f t="shared" si="321"/>
        <v/>
      </c>
    </row>
    <row r="3060" spans="1:12" x14ac:dyDescent="0.25">
      <c r="A3060" s="7"/>
      <c r="D3060" s="5"/>
      <c r="E3060" s="1"/>
      <c r="F3060" s="1"/>
      <c r="G3060" s="9" t="str">
        <f t="shared" si="316"/>
        <v/>
      </c>
      <c r="H3060" s="11" t="str">
        <f t="shared" si="317"/>
        <v/>
      </c>
      <c r="I3060" s="10" t="str">
        <f t="shared" si="318"/>
        <v/>
      </c>
      <c r="J3060" s="10" t="str">
        <f t="shared" si="319"/>
        <v/>
      </c>
      <c r="K3060" s="10" t="str">
        <f t="shared" si="320"/>
        <v/>
      </c>
      <c r="L3060" s="10" t="str">
        <f t="shared" si="321"/>
        <v/>
      </c>
    </row>
    <row r="3061" spans="1:12" x14ac:dyDescent="0.25">
      <c r="A3061" s="7"/>
      <c r="D3061" s="5"/>
      <c r="E3061" s="1"/>
      <c r="F3061" s="1"/>
      <c r="G3061" s="9" t="str">
        <f t="shared" si="316"/>
        <v/>
      </c>
      <c r="H3061" s="11" t="str">
        <f t="shared" si="317"/>
        <v/>
      </c>
      <c r="I3061" s="10" t="str">
        <f t="shared" si="318"/>
        <v/>
      </c>
      <c r="J3061" s="10" t="str">
        <f t="shared" si="319"/>
        <v/>
      </c>
      <c r="K3061" s="10" t="str">
        <f t="shared" si="320"/>
        <v/>
      </c>
      <c r="L3061" s="10" t="str">
        <f t="shared" si="321"/>
        <v/>
      </c>
    </row>
    <row r="3062" spans="1:12" x14ac:dyDescent="0.25">
      <c r="A3062" s="7"/>
      <c r="D3062" s="5"/>
      <c r="E3062" s="1"/>
      <c r="F3062" s="1"/>
      <c r="G3062" s="9" t="str">
        <f t="shared" si="316"/>
        <v/>
      </c>
      <c r="H3062" s="11" t="str">
        <f t="shared" si="317"/>
        <v/>
      </c>
      <c r="I3062" s="10" t="str">
        <f t="shared" si="318"/>
        <v/>
      </c>
      <c r="J3062" s="10" t="str">
        <f t="shared" si="319"/>
        <v/>
      </c>
      <c r="K3062" s="10" t="str">
        <f t="shared" si="320"/>
        <v/>
      </c>
      <c r="L3062" s="10" t="str">
        <f t="shared" si="321"/>
        <v/>
      </c>
    </row>
    <row r="3063" spans="1:12" x14ac:dyDescent="0.25">
      <c r="A3063" s="7"/>
      <c r="D3063" s="5"/>
      <c r="E3063" s="1"/>
      <c r="F3063" s="1"/>
      <c r="G3063" s="9" t="str">
        <f t="shared" si="316"/>
        <v/>
      </c>
      <c r="H3063" s="11" t="str">
        <f t="shared" si="317"/>
        <v/>
      </c>
      <c r="I3063" s="10" t="str">
        <f t="shared" si="318"/>
        <v/>
      </c>
      <c r="J3063" s="10" t="str">
        <f t="shared" si="319"/>
        <v/>
      </c>
      <c r="K3063" s="10" t="str">
        <f t="shared" si="320"/>
        <v/>
      </c>
      <c r="L3063" s="10" t="str">
        <f t="shared" si="321"/>
        <v/>
      </c>
    </row>
    <row r="3064" spans="1:12" x14ac:dyDescent="0.25">
      <c r="A3064" s="7"/>
      <c r="D3064" s="5"/>
      <c r="E3064" s="1"/>
      <c r="F3064" s="1"/>
      <c r="G3064" s="9" t="str">
        <f t="shared" si="316"/>
        <v/>
      </c>
      <c r="H3064" s="11" t="str">
        <f t="shared" si="317"/>
        <v/>
      </c>
      <c r="I3064" s="10" t="str">
        <f t="shared" si="318"/>
        <v/>
      </c>
      <c r="J3064" s="10" t="str">
        <f t="shared" si="319"/>
        <v/>
      </c>
      <c r="K3064" s="10" t="str">
        <f t="shared" si="320"/>
        <v/>
      </c>
      <c r="L3064" s="10" t="str">
        <f t="shared" si="321"/>
        <v/>
      </c>
    </row>
    <row r="3065" spans="1:12" x14ac:dyDescent="0.25">
      <c r="A3065" s="7"/>
      <c r="D3065" s="5"/>
      <c r="E3065" s="1"/>
      <c r="F3065" s="1"/>
      <c r="G3065" s="9" t="str">
        <f t="shared" si="316"/>
        <v/>
      </c>
      <c r="H3065" s="11" t="str">
        <f t="shared" si="317"/>
        <v/>
      </c>
      <c r="I3065" s="10" t="str">
        <f t="shared" si="318"/>
        <v/>
      </c>
      <c r="J3065" s="10" t="str">
        <f t="shared" si="319"/>
        <v/>
      </c>
      <c r="K3065" s="10" t="str">
        <f t="shared" si="320"/>
        <v/>
      </c>
      <c r="L3065" s="10" t="str">
        <f t="shared" si="321"/>
        <v/>
      </c>
    </row>
    <row r="3066" spans="1:12" x14ac:dyDescent="0.25">
      <c r="A3066" s="7"/>
      <c r="D3066" s="5"/>
      <c r="E3066" s="1"/>
      <c r="F3066" s="1"/>
      <c r="G3066" s="9" t="str">
        <f t="shared" si="316"/>
        <v/>
      </c>
      <c r="H3066" s="11" t="str">
        <f t="shared" si="317"/>
        <v/>
      </c>
      <c r="I3066" s="10" t="str">
        <f t="shared" si="318"/>
        <v/>
      </c>
      <c r="J3066" s="10" t="str">
        <f t="shared" si="319"/>
        <v/>
      </c>
      <c r="K3066" s="10" t="str">
        <f t="shared" si="320"/>
        <v/>
      </c>
      <c r="L3066" s="10" t="str">
        <f t="shared" si="321"/>
        <v/>
      </c>
    </row>
    <row r="3067" spans="1:12" x14ac:dyDescent="0.25">
      <c r="A3067" s="7"/>
      <c r="D3067" s="5"/>
      <c r="E3067" s="1"/>
      <c r="F3067" s="1"/>
      <c r="G3067" s="9" t="str">
        <f t="shared" si="316"/>
        <v/>
      </c>
      <c r="H3067" s="11" t="str">
        <f t="shared" si="317"/>
        <v/>
      </c>
      <c r="I3067" s="10" t="str">
        <f t="shared" si="318"/>
        <v/>
      </c>
      <c r="J3067" s="10" t="str">
        <f t="shared" si="319"/>
        <v/>
      </c>
      <c r="K3067" s="10" t="str">
        <f t="shared" si="320"/>
        <v/>
      </c>
      <c r="L3067" s="10" t="str">
        <f t="shared" si="321"/>
        <v/>
      </c>
    </row>
    <row r="3068" spans="1:12" x14ac:dyDescent="0.25">
      <c r="A3068" s="7"/>
      <c r="D3068" s="5"/>
      <c r="E3068" s="1"/>
      <c r="F3068" s="1"/>
      <c r="G3068" s="9" t="str">
        <f t="shared" si="316"/>
        <v/>
      </c>
      <c r="H3068" s="11" t="str">
        <f t="shared" si="317"/>
        <v/>
      </c>
      <c r="I3068" s="10" t="str">
        <f t="shared" si="318"/>
        <v/>
      </c>
      <c r="J3068" s="10" t="str">
        <f t="shared" si="319"/>
        <v/>
      </c>
      <c r="K3068" s="10" t="str">
        <f t="shared" si="320"/>
        <v/>
      </c>
      <c r="L3068" s="10" t="str">
        <f t="shared" si="321"/>
        <v/>
      </c>
    </row>
    <row r="3069" spans="1:12" x14ac:dyDescent="0.25">
      <c r="A3069" s="7"/>
      <c r="D3069" s="5"/>
      <c r="E3069" s="1"/>
      <c r="F3069" s="1"/>
      <c r="G3069" s="9" t="str">
        <f t="shared" si="316"/>
        <v/>
      </c>
      <c r="H3069" s="11" t="str">
        <f t="shared" si="317"/>
        <v/>
      </c>
      <c r="I3069" s="10" t="str">
        <f t="shared" si="318"/>
        <v/>
      </c>
      <c r="J3069" s="10" t="str">
        <f t="shared" si="319"/>
        <v/>
      </c>
      <c r="K3069" s="10" t="str">
        <f t="shared" si="320"/>
        <v/>
      </c>
      <c r="L3069" s="10" t="str">
        <f t="shared" si="321"/>
        <v/>
      </c>
    </row>
    <row r="3070" spans="1:12" x14ac:dyDescent="0.25">
      <c r="A3070" s="7"/>
      <c r="D3070" s="5"/>
      <c r="E3070" s="1"/>
      <c r="F3070" s="1"/>
      <c r="G3070" s="9" t="str">
        <f t="shared" si="316"/>
        <v/>
      </c>
      <c r="H3070" s="11" t="str">
        <f t="shared" si="317"/>
        <v/>
      </c>
      <c r="I3070" s="10" t="str">
        <f t="shared" si="318"/>
        <v/>
      </c>
      <c r="J3070" s="10" t="str">
        <f t="shared" si="319"/>
        <v/>
      </c>
      <c r="K3070" s="10" t="str">
        <f t="shared" si="320"/>
        <v/>
      </c>
      <c r="L3070" s="10" t="str">
        <f t="shared" si="321"/>
        <v/>
      </c>
    </row>
    <row r="3071" spans="1:12" x14ac:dyDescent="0.25">
      <c r="A3071" s="7"/>
      <c r="D3071" s="5"/>
      <c r="E3071" s="1"/>
      <c r="F3071" s="1"/>
      <c r="G3071" s="9" t="str">
        <f t="shared" si="316"/>
        <v/>
      </c>
      <c r="H3071" s="11" t="str">
        <f t="shared" si="317"/>
        <v/>
      </c>
      <c r="I3071" s="10" t="str">
        <f t="shared" si="318"/>
        <v/>
      </c>
      <c r="J3071" s="10" t="str">
        <f t="shared" si="319"/>
        <v/>
      </c>
      <c r="K3071" s="10" t="str">
        <f t="shared" si="320"/>
        <v/>
      </c>
      <c r="L3071" s="10" t="str">
        <f t="shared" si="321"/>
        <v/>
      </c>
    </row>
    <row r="3072" spans="1:12" x14ac:dyDescent="0.25">
      <c r="A3072" s="7"/>
      <c r="D3072" s="5"/>
      <c r="E3072" s="1"/>
      <c r="F3072" s="1"/>
      <c r="G3072" s="9" t="str">
        <f t="shared" si="316"/>
        <v/>
      </c>
      <c r="H3072" s="11" t="str">
        <f t="shared" si="317"/>
        <v/>
      </c>
      <c r="I3072" s="10" t="str">
        <f t="shared" si="318"/>
        <v/>
      </c>
      <c r="J3072" s="10" t="str">
        <f t="shared" si="319"/>
        <v/>
      </c>
      <c r="K3072" s="10" t="str">
        <f t="shared" si="320"/>
        <v/>
      </c>
      <c r="L3072" s="10" t="str">
        <f t="shared" si="321"/>
        <v/>
      </c>
    </row>
    <row r="3073" spans="1:12" x14ac:dyDescent="0.25">
      <c r="A3073" s="7"/>
      <c r="D3073" s="5"/>
      <c r="E3073" s="1"/>
      <c r="F3073" s="1"/>
      <c r="G3073" s="9" t="str">
        <f t="shared" si="316"/>
        <v/>
      </c>
      <c r="H3073" s="11" t="str">
        <f t="shared" si="317"/>
        <v/>
      </c>
      <c r="I3073" s="10" t="str">
        <f t="shared" si="318"/>
        <v/>
      </c>
      <c r="J3073" s="10" t="str">
        <f t="shared" si="319"/>
        <v/>
      </c>
      <c r="K3073" s="10" t="str">
        <f t="shared" si="320"/>
        <v/>
      </c>
      <c r="L3073" s="10" t="str">
        <f t="shared" si="321"/>
        <v/>
      </c>
    </row>
    <row r="3074" spans="1:12" x14ac:dyDescent="0.25">
      <c r="A3074" s="7"/>
      <c r="D3074" s="5"/>
      <c r="E3074" s="1"/>
      <c r="F3074" s="1"/>
      <c r="G3074" s="9" t="str">
        <f t="shared" si="316"/>
        <v/>
      </c>
      <c r="H3074" s="11" t="str">
        <f t="shared" si="317"/>
        <v/>
      </c>
      <c r="I3074" s="10" t="str">
        <f t="shared" si="318"/>
        <v/>
      </c>
      <c r="J3074" s="10" t="str">
        <f t="shared" si="319"/>
        <v/>
      </c>
      <c r="K3074" s="10" t="str">
        <f t="shared" si="320"/>
        <v/>
      </c>
      <c r="L3074" s="10" t="str">
        <f t="shared" si="321"/>
        <v/>
      </c>
    </row>
    <row r="3075" spans="1:12" x14ac:dyDescent="0.25">
      <c r="A3075" s="7"/>
      <c r="D3075" s="5"/>
      <c r="E3075" s="1"/>
      <c r="F3075" s="1"/>
      <c r="G3075" s="9" t="str">
        <f t="shared" si="316"/>
        <v/>
      </c>
      <c r="H3075" s="11" t="str">
        <f t="shared" si="317"/>
        <v/>
      </c>
      <c r="I3075" s="10" t="str">
        <f t="shared" si="318"/>
        <v/>
      </c>
      <c r="J3075" s="10" t="str">
        <f t="shared" si="319"/>
        <v/>
      </c>
      <c r="K3075" s="10" t="str">
        <f t="shared" si="320"/>
        <v/>
      </c>
      <c r="L3075" s="10" t="str">
        <f t="shared" si="321"/>
        <v/>
      </c>
    </row>
    <row r="3076" spans="1:12" x14ac:dyDescent="0.25">
      <c r="A3076" s="7"/>
      <c r="D3076" s="5"/>
      <c r="E3076" s="1"/>
      <c r="F3076" s="1"/>
      <c r="G3076" s="9" t="str">
        <f t="shared" si="316"/>
        <v/>
      </c>
      <c r="H3076" s="11" t="str">
        <f t="shared" si="317"/>
        <v/>
      </c>
      <c r="I3076" s="10" t="str">
        <f t="shared" si="318"/>
        <v/>
      </c>
      <c r="J3076" s="10" t="str">
        <f t="shared" si="319"/>
        <v/>
      </c>
      <c r="K3076" s="10" t="str">
        <f t="shared" si="320"/>
        <v/>
      </c>
      <c r="L3076" s="10" t="str">
        <f t="shared" si="321"/>
        <v/>
      </c>
    </row>
    <row r="3077" spans="1:12" x14ac:dyDescent="0.25">
      <c r="A3077" s="7"/>
      <c r="D3077" s="5"/>
      <c r="E3077" s="1"/>
      <c r="F3077" s="1"/>
      <c r="G3077" s="9" t="str">
        <f t="shared" ref="G3077:G3099" si="322">IF(E3077&gt;0,INT((A3077-2)/7)*7+2,"")</f>
        <v/>
      </c>
      <c r="H3077" s="11" t="str">
        <f t="shared" ref="H3077:H3099" si="323">IF(E3077&gt;0,ROUND(24*(IF(F3077&gt;0,F3077,NowTime)-E3077),1),"")</f>
        <v/>
      </c>
      <c r="I3077" s="10" t="str">
        <f t="shared" ref="I3077:I3099" si="324">IF(H3077="",H3077,H3077+IF(A3077=A3076,_xlfn.NUMBERVALUE(I3076),0))</f>
        <v/>
      </c>
      <c r="J3077" s="10" t="str">
        <f t="shared" ref="J3077:J3099" si="325">IF(H3077="",H3077,7.2)</f>
        <v/>
      </c>
      <c r="K3077" s="10" t="str">
        <f t="shared" ref="K3077:K3099" si="326">IF(H3077="",H3077,H3077+IF(G3077=G3076,_xlfn.NUMBERVALUE(K3076),0))</f>
        <v/>
      </c>
      <c r="L3077" s="10" t="str">
        <f t="shared" ref="L3077:L3099" si="327">IF(H3077="",H3077,H3077+IF(MONTH(A3077)=MONTH(A3076),_xlfn.NUMBERVALUE(L3076),0))</f>
        <v/>
      </c>
    </row>
    <row r="3078" spans="1:12" x14ac:dyDescent="0.25">
      <c r="A3078" s="7"/>
      <c r="D3078" s="5"/>
      <c r="E3078" s="1"/>
      <c r="F3078" s="1"/>
      <c r="G3078" s="9" t="str">
        <f t="shared" si="322"/>
        <v/>
      </c>
      <c r="H3078" s="11" t="str">
        <f t="shared" si="323"/>
        <v/>
      </c>
      <c r="I3078" s="10" t="str">
        <f t="shared" si="324"/>
        <v/>
      </c>
      <c r="J3078" s="10" t="str">
        <f t="shared" si="325"/>
        <v/>
      </c>
      <c r="K3078" s="10" t="str">
        <f t="shared" si="326"/>
        <v/>
      </c>
      <c r="L3078" s="10" t="str">
        <f t="shared" si="327"/>
        <v/>
      </c>
    </row>
    <row r="3079" spans="1:12" x14ac:dyDescent="0.25">
      <c r="A3079" s="7"/>
      <c r="D3079" s="5"/>
      <c r="E3079" s="1"/>
      <c r="F3079" s="1"/>
      <c r="G3079" s="9" t="str">
        <f t="shared" si="322"/>
        <v/>
      </c>
      <c r="H3079" s="11" t="str">
        <f t="shared" si="323"/>
        <v/>
      </c>
      <c r="I3079" s="10" t="str">
        <f t="shared" si="324"/>
        <v/>
      </c>
      <c r="J3079" s="10" t="str">
        <f t="shared" si="325"/>
        <v/>
      </c>
      <c r="K3079" s="10" t="str">
        <f t="shared" si="326"/>
        <v/>
      </c>
      <c r="L3079" s="10" t="str">
        <f t="shared" si="327"/>
        <v/>
      </c>
    </row>
    <row r="3080" spans="1:12" x14ac:dyDescent="0.25">
      <c r="A3080" s="7"/>
      <c r="D3080" s="5"/>
      <c r="E3080" s="1"/>
      <c r="F3080" s="1"/>
      <c r="G3080" s="9" t="str">
        <f t="shared" si="322"/>
        <v/>
      </c>
      <c r="H3080" s="11" t="str">
        <f t="shared" si="323"/>
        <v/>
      </c>
      <c r="I3080" s="10" t="str">
        <f t="shared" si="324"/>
        <v/>
      </c>
      <c r="J3080" s="10" t="str">
        <f t="shared" si="325"/>
        <v/>
      </c>
      <c r="K3080" s="10" t="str">
        <f t="shared" si="326"/>
        <v/>
      </c>
      <c r="L3080" s="10" t="str">
        <f t="shared" si="327"/>
        <v/>
      </c>
    </row>
    <row r="3081" spans="1:12" x14ac:dyDescent="0.25">
      <c r="A3081" s="7"/>
      <c r="D3081" s="5"/>
      <c r="E3081" s="1"/>
      <c r="F3081" s="1"/>
      <c r="G3081" s="9" t="str">
        <f t="shared" si="322"/>
        <v/>
      </c>
      <c r="H3081" s="11" t="str">
        <f t="shared" si="323"/>
        <v/>
      </c>
      <c r="I3081" s="10" t="str">
        <f t="shared" si="324"/>
        <v/>
      </c>
      <c r="J3081" s="10" t="str">
        <f t="shared" si="325"/>
        <v/>
      </c>
      <c r="K3081" s="10" t="str">
        <f t="shared" si="326"/>
        <v/>
      </c>
      <c r="L3081" s="10" t="str">
        <f t="shared" si="327"/>
        <v/>
      </c>
    </row>
    <row r="3082" spans="1:12" x14ac:dyDescent="0.25">
      <c r="A3082" s="7"/>
      <c r="D3082" s="5"/>
      <c r="E3082" s="1"/>
      <c r="F3082" s="1"/>
      <c r="G3082" s="9" t="str">
        <f t="shared" si="322"/>
        <v/>
      </c>
      <c r="H3082" s="11" t="str">
        <f t="shared" si="323"/>
        <v/>
      </c>
      <c r="I3082" s="10" t="str">
        <f t="shared" si="324"/>
        <v/>
      </c>
      <c r="J3082" s="10" t="str">
        <f t="shared" si="325"/>
        <v/>
      </c>
      <c r="K3082" s="10" t="str">
        <f t="shared" si="326"/>
        <v/>
      </c>
      <c r="L3082" s="10" t="str">
        <f t="shared" si="327"/>
        <v/>
      </c>
    </row>
    <row r="3083" spans="1:12" x14ac:dyDescent="0.25">
      <c r="A3083" s="7"/>
      <c r="D3083" s="5"/>
      <c r="E3083" s="1"/>
      <c r="F3083" s="1"/>
      <c r="G3083" s="9" t="str">
        <f t="shared" si="322"/>
        <v/>
      </c>
      <c r="H3083" s="11" t="str">
        <f t="shared" si="323"/>
        <v/>
      </c>
      <c r="I3083" s="10" t="str">
        <f t="shared" si="324"/>
        <v/>
      </c>
      <c r="J3083" s="10" t="str">
        <f t="shared" si="325"/>
        <v/>
      </c>
      <c r="K3083" s="10" t="str">
        <f t="shared" si="326"/>
        <v/>
      </c>
      <c r="L3083" s="10" t="str">
        <f t="shared" si="327"/>
        <v/>
      </c>
    </row>
    <row r="3084" spans="1:12" x14ac:dyDescent="0.25">
      <c r="A3084" s="7"/>
      <c r="D3084" s="5"/>
      <c r="E3084" s="1"/>
      <c r="F3084" s="1"/>
      <c r="G3084" s="9" t="str">
        <f t="shared" si="322"/>
        <v/>
      </c>
      <c r="H3084" s="11" t="str">
        <f t="shared" si="323"/>
        <v/>
      </c>
      <c r="I3084" s="10" t="str">
        <f t="shared" si="324"/>
        <v/>
      </c>
      <c r="J3084" s="10" t="str">
        <f t="shared" si="325"/>
        <v/>
      </c>
      <c r="K3084" s="10" t="str">
        <f t="shared" si="326"/>
        <v/>
      </c>
      <c r="L3084" s="10" t="str">
        <f t="shared" si="327"/>
        <v/>
      </c>
    </row>
    <row r="3085" spans="1:12" x14ac:dyDescent="0.25">
      <c r="A3085" s="7"/>
      <c r="D3085" s="5"/>
      <c r="E3085" s="1"/>
      <c r="F3085" s="1"/>
      <c r="G3085" s="9" t="str">
        <f t="shared" si="322"/>
        <v/>
      </c>
      <c r="H3085" s="11" t="str">
        <f t="shared" si="323"/>
        <v/>
      </c>
      <c r="I3085" s="10" t="str">
        <f t="shared" si="324"/>
        <v/>
      </c>
      <c r="J3085" s="10" t="str">
        <f t="shared" si="325"/>
        <v/>
      </c>
      <c r="K3085" s="10" t="str">
        <f t="shared" si="326"/>
        <v/>
      </c>
      <c r="L3085" s="10" t="str">
        <f t="shared" si="327"/>
        <v/>
      </c>
    </row>
    <row r="3086" spans="1:12" x14ac:dyDescent="0.25">
      <c r="A3086" s="7"/>
      <c r="D3086" s="5"/>
      <c r="E3086" s="1"/>
      <c r="F3086" s="1"/>
      <c r="G3086" s="9" t="str">
        <f t="shared" si="322"/>
        <v/>
      </c>
      <c r="H3086" s="11" t="str">
        <f t="shared" si="323"/>
        <v/>
      </c>
      <c r="I3086" s="10" t="str">
        <f t="shared" si="324"/>
        <v/>
      </c>
      <c r="J3086" s="10" t="str">
        <f t="shared" si="325"/>
        <v/>
      </c>
      <c r="K3086" s="10" t="str">
        <f t="shared" si="326"/>
        <v/>
      </c>
      <c r="L3086" s="10" t="str">
        <f t="shared" si="327"/>
        <v/>
      </c>
    </row>
    <row r="3087" spans="1:12" x14ac:dyDescent="0.25">
      <c r="A3087" s="7"/>
      <c r="D3087" s="5"/>
      <c r="E3087" s="1"/>
      <c r="F3087" s="1"/>
      <c r="G3087" s="9" t="str">
        <f t="shared" si="322"/>
        <v/>
      </c>
      <c r="H3087" s="11" t="str">
        <f t="shared" si="323"/>
        <v/>
      </c>
      <c r="I3087" s="10" t="str">
        <f t="shared" si="324"/>
        <v/>
      </c>
      <c r="J3087" s="10" t="str">
        <f t="shared" si="325"/>
        <v/>
      </c>
      <c r="K3087" s="10" t="str">
        <f t="shared" si="326"/>
        <v/>
      </c>
      <c r="L3087" s="10" t="str">
        <f t="shared" si="327"/>
        <v/>
      </c>
    </row>
    <row r="3088" spans="1:12" x14ac:dyDescent="0.25">
      <c r="A3088" s="7"/>
      <c r="D3088" s="5"/>
      <c r="E3088" s="1"/>
      <c r="F3088" s="1"/>
      <c r="G3088" s="9" t="str">
        <f t="shared" si="322"/>
        <v/>
      </c>
      <c r="H3088" s="11" t="str">
        <f t="shared" si="323"/>
        <v/>
      </c>
      <c r="I3088" s="10" t="str">
        <f t="shared" si="324"/>
        <v/>
      </c>
      <c r="J3088" s="10" t="str">
        <f t="shared" si="325"/>
        <v/>
      </c>
      <c r="K3088" s="10" t="str">
        <f t="shared" si="326"/>
        <v/>
      </c>
      <c r="L3088" s="10" t="str">
        <f t="shared" si="327"/>
        <v/>
      </c>
    </row>
    <row r="3089" spans="1:12" x14ac:dyDescent="0.25">
      <c r="A3089" s="7"/>
      <c r="D3089" s="5"/>
      <c r="E3089" s="1"/>
      <c r="F3089" s="1"/>
      <c r="G3089" s="9" t="str">
        <f t="shared" si="322"/>
        <v/>
      </c>
      <c r="H3089" s="11" t="str">
        <f t="shared" si="323"/>
        <v/>
      </c>
      <c r="I3089" s="10" t="str">
        <f t="shared" si="324"/>
        <v/>
      </c>
      <c r="J3089" s="10" t="str">
        <f t="shared" si="325"/>
        <v/>
      </c>
      <c r="K3089" s="10" t="str">
        <f t="shared" si="326"/>
        <v/>
      </c>
      <c r="L3089" s="10" t="str">
        <f t="shared" si="327"/>
        <v/>
      </c>
    </row>
    <row r="3090" spans="1:12" x14ac:dyDescent="0.25">
      <c r="A3090" s="7"/>
      <c r="D3090" s="5"/>
      <c r="E3090" s="1"/>
      <c r="F3090" s="1"/>
      <c r="G3090" s="9" t="str">
        <f t="shared" si="322"/>
        <v/>
      </c>
      <c r="H3090" s="11" t="str">
        <f t="shared" si="323"/>
        <v/>
      </c>
      <c r="I3090" s="10" t="str">
        <f t="shared" si="324"/>
        <v/>
      </c>
      <c r="J3090" s="10" t="str">
        <f t="shared" si="325"/>
        <v/>
      </c>
      <c r="K3090" s="10" t="str">
        <f t="shared" si="326"/>
        <v/>
      </c>
      <c r="L3090" s="10" t="str">
        <f t="shared" si="327"/>
        <v/>
      </c>
    </row>
    <row r="3091" spans="1:12" x14ac:dyDescent="0.25">
      <c r="A3091" s="7"/>
      <c r="D3091" s="5"/>
      <c r="E3091" s="1"/>
      <c r="F3091" s="1"/>
      <c r="G3091" s="9" t="str">
        <f t="shared" si="322"/>
        <v/>
      </c>
      <c r="H3091" s="11" t="str">
        <f t="shared" si="323"/>
        <v/>
      </c>
      <c r="I3091" s="10" t="str">
        <f t="shared" si="324"/>
        <v/>
      </c>
      <c r="J3091" s="10" t="str">
        <f t="shared" si="325"/>
        <v/>
      </c>
      <c r="K3091" s="10" t="str">
        <f t="shared" si="326"/>
        <v/>
      </c>
      <c r="L3091" s="10" t="str">
        <f t="shared" si="327"/>
        <v/>
      </c>
    </row>
    <row r="3092" spans="1:12" x14ac:dyDescent="0.25">
      <c r="A3092" s="7"/>
      <c r="D3092" s="5"/>
      <c r="E3092" s="1"/>
      <c r="F3092" s="1"/>
      <c r="G3092" s="9" t="str">
        <f t="shared" si="322"/>
        <v/>
      </c>
      <c r="H3092" s="11" t="str">
        <f t="shared" si="323"/>
        <v/>
      </c>
      <c r="I3092" s="10" t="str">
        <f t="shared" si="324"/>
        <v/>
      </c>
      <c r="J3092" s="10" t="str">
        <f t="shared" si="325"/>
        <v/>
      </c>
      <c r="K3092" s="10" t="str">
        <f t="shared" si="326"/>
        <v/>
      </c>
      <c r="L3092" s="10" t="str">
        <f t="shared" si="327"/>
        <v/>
      </c>
    </row>
    <row r="3093" spans="1:12" x14ac:dyDescent="0.25">
      <c r="A3093" s="7"/>
      <c r="D3093" s="5"/>
      <c r="E3093" s="1"/>
      <c r="F3093" s="1"/>
      <c r="G3093" s="9" t="str">
        <f t="shared" si="322"/>
        <v/>
      </c>
      <c r="H3093" s="11" t="str">
        <f t="shared" si="323"/>
        <v/>
      </c>
      <c r="I3093" s="10" t="str">
        <f t="shared" si="324"/>
        <v/>
      </c>
      <c r="J3093" s="10" t="str">
        <f t="shared" si="325"/>
        <v/>
      </c>
      <c r="K3093" s="10" t="str">
        <f t="shared" si="326"/>
        <v/>
      </c>
      <c r="L3093" s="10" t="str">
        <f t="shared" si="327"/>
        <v/>
      </c>
    </row>
    <row r="3094" spans="1:12" x14ac:dyDescent="0.25">
      <c r="A3094" s="7"/>
      <c r="D3094" s="5"/>
      <c r="E3094" s="1"/>
      <c r="F3094" s="1"/>
      <c r="G3094" s="9" t="str">
        <f t="shared" si="322"/>
        <v/>
      </c>
      <c r="H3094" s="11" t="str">
        <f t="shared" si="323"/>
        <v/>
      </c>
      <c r="I3094" s="10" t="str">
        <f t="shared" si="324"/>
        <v/>
      </c>
      <c r="J3094" s="10" t="str">
        <f t="shared" si="325"/>
        <v/>
      </c>
      <c r="K3094" s="10" t="str">
        <f t="shared" si="326"/>
        <v/>
      </c>
      <c r="L3094" s="10" t="str">
        <f t="shared" si="327"/>
        <v/>
      </c>
    </row>
    <row r="3095" spans="1:12" x14ac:dyDescent="0.25">
      <c r="A3095" s="7"/>
      <c r="D3095" s="5"/>
      <c r="E3095" s="1"/>
      <c r="F3095" s="1"/>
      <c r="G3095" s="9" t="str">
        <f t="shared" si="322"/>
        <v/>
      </c>
      <c r="H3095" s="11" t="str">
        <f t="shared" si="323"/>
        <v/>
      </c>
      <c r="I3095" s="10" t="str">
        <f t="shared" si="324"/>
        <v/>
      </c>
      <c r="J3095" s="10" t="str">
        <f t="shared" si="325"/>
        <v/>
      </c>
      <c r="K3095" s="10" t="str">
        <f t="shared" si="326"/>
        <v/>
      </c>
      <c r="L3095" s="10" t="str">
        <f t="shared" si="327"/>
        <v/>
      </c>
    </row>
    <row r="3096" spans="1:12" x14ac:dyDescent="0.25">
      <c r="A3096" s="7"/>
      <c r="D3096" s="5"/>
      <c r="E3096" s="1"/>
      <c r="F3096" s="1"/>
      <c r="G3096" s="9" t="str">
        <f t="shared" si="322"/>
        <v/>
      </c>
      <c r="H3096" s="11" t="str">
        <f t="shared" si="323"/>
        <v/>
      </c>
      <c r="I3096" s="10" t="str">
        <f t="shared" si="324"/>
        <v/>
      </c>
      <c r="J3096" s="10" t="str">
        <f t="shared" si="325"/>
        <v/>
      </c>
      <c r="K3096" s="10" t="str">
        <f t="shared" si="326"/>
        <v/>
      </c>
      <c r="L3096" s="10" t="str">
        <f t="shared" si="327"/>
        <v/>
      </c>
    </row>
    <row r="3097" spans="1:12" x14ac:dyDescent="0.25">
      <c r="A3097" s="7"/>
      <c r="D3097" s="5"/>
      <c r="E3097" s="1"/>
      <c r="F3097" s="1"/>
      <c r="G3097" s="9" t="str">
        <f t="shared" si="322"/>
        <v/>
      </c>
      <c r="H3097" s="11" t="str">
        <f t="shared" si="323"/>
        <v/>
      </c>
      <c r="I3097" s="10" t="str">
        <f t="shared" si="324"/>
        <v/>
      </c>
      <c r="J3097" s="10" t="str">
        <f t="shared" si="325"/>
        <v/>
      </c>
      <c r="K3097" s="10" t="str">
        <f t="shared" si="326"/>
        <v/>
      </c>
      <c r="L3097" s="10" t="str">
        <f t="shared" si="327"/>
        <v/>
      </c>
    </row>
    <row r="3098" spans="1:12" x14ac:dyDescent="0.25">
      <c r="A3098" s="7"/>
      <c r="D3098" s="5"/>
      <c r="E3098" s="1"/>
      <c r="F3098" s="1"/>
      <c r="G3098" s="9" t="str">
        <f t="shared" si="322"/>
        <v/>
      </c>
      <c r="H3098" s="11" t="str">
        <f t="shared" si="323"/>
        <v/>
      </c>
      <c r="I3098" s="10" t="str">
        <f t="shared" si="324"/>
        <v/>
      </c>
      <c r="J3098" s="10" t="str">
        <f t="shared" si="325"/>
        <v/>
      </c>
      <c r="K3098" s="10" t="str">
        <f t="shared" si="326"/>
        <v/>
      </c>
      <c r="L3098" s="10" t="str">
        <f t="shared" si="327"/>
        <v/>
      </c>
    </row>
    <row r="3099" spans="1:12" x14ac:dyDescent="0.25">
      <c r="A3099" s="7"/>
      <c r="D3099" s="5"/>
      <c r="E3099" s="1"/>
      <c r="F3099" s="1"/>
      <c r="G3099" s="9" t="str">
        <f t="shared" si="322"/>
        <v/>
      </c>
      <c r="H3099" s="11" t="str">
        <f t="shared" si="323"/>
        <v/>
      </c>
      <c r="I3099" s="10" t="str">
        <f t="shared" si="324"/>
        <v/>
      </c>
      <c r="J3099" s="10" t="str">
        <f t="shared" si="325"/>
        <v/>
      </c>
      <c r="K3099" s="10" t="str">
        <f t="shared" si="326"/>
        <v/>
      </c>
      <c r="L3099" s="10" t="str">
        <f t="shared" si="327"/>
        <v/>
      </c>
    </row>
    <row r="3100" spans="1:12" x14ac:dyDescent="0.25">
      <c r="A3100" s="7"/>
      <c r="D3100" s="5"/>
      <c r="E3100" s="1"/>
      <c r="F3100" s="1"/>
    </row>
    <row r="3101" spans="1:12" x14ac:dyDescent="0.25">
      <c r="A3101" s="7"/>
      <c r="D3101" s="5"/>
      <c r="E3101" s="1"/>
      <c r="F3101" s="1"/>
    </row>
    <row r="3102" spans="1:12" x14ac:dyDescent="0.25">
      <c r="A3102" s="7"/>
      <c r="D3102" s="5"/>
      <c r="E3102" s="1"/>
      <c r="F3102" s="1"/>
    </row>
    <row r="3103" spans="1:12" x14ac:dyDescent="0.25">
      <c r="A3103" s="7"/>
      <c r="D3103" s="5"/>
      <c r="E3103" s="1"/>
      <c r="F3103" s="1"/>
    </row>
    <row r="3104" spans="1:12" x14ac:dyDescent="0.25">
      <c r="A3104" s="7"/>
      <c r="D3104" s="5"/>
      <c r="E3104" s="1"/>
      <c r="F3104" s="1"/>
    </row>
    <row r="3105" spans="1:6" x14ac:dyDescent="0.25">
      <c r="A3105" s="7"/>
      <c r="D3105" s="5"/>
      <c r="E3105" s="1"/>
      <c r="F3105" s="1"/>
    </row>
    <row r="3106" spans="1:6" x14ac:dyDescent="0.25">
      <c r="A3106" s="7"/>
      <c r="D3106" s="5"/>
      <c r="E3106" s="1"/>
      <c r="F3106" s="1"/>
    </row>
    <row r="3107" spans="1:6" x14ac:dyDescent="0.25">
      <c r="A3107" s="7"/>
      <c r="D3107" s="5"/>
      <c r="E3107" s="1"/>
      <c r="F3107" s="1"/>
    </row>
    <row r="3108" spans="1:6" x14ac:dyDescent="0.25">
      <c r="A3108" s="7"/>
      <c r="D3108" s="5"/>
      <c r="E3108" s="1"/>
      <c r="F3108" s="1"/>
    </row>
    <row r="3109" spans="1:6" x14ac:dyDescent="0.25">
      <c r="A3109" s="7"/>
      <c r="D3109" s="5"/>
      <c r="E3109" s="1"/>
      <c r="F3109" s="1"/>
    </row>
    <row r="3110" spans="1:6" x14ac:dyDescent="0.25">
      <c r="A3110" s="7"/>
      <c r="D3110" s="5"/>
      <c r="E3110" s="1"/>
      <c r="F3110" s="1"/>
    </row>
    <row r="3111" spans="1:6" x14ac:dyDescent="0.25">
      <c r="A3111" s="7"/>
      <c r="D3111" s="5"/>
      <c r="E3111" s="1"/>
      <c r="F3111" s="1"/>
    </row>
    <row r="3112" spans="1:6" x14ac:dyDescent="0.25">
      <c r="A3112" s="7"/>
      <c r="D3112" s="5"/>
      <c r="E3112" s="1"/>
      <c r="F3112" s="1"/>
    </row>
    <row r="3113" spans="1:6" x14ac:dyDescent="0.25">
      <c r="A3113" s="7"/>
      <c r="D3113" s="5"/>
      <c r="E3113" s="1"/>
      <c r="F3113" s="1"/>
    </row>
    <row r="3114" spans="1:6" x14ac:dyDescent="0.25">
      <c r="A3114" s="7"/>
      <c r="D3114" s="5"/>
      <c r="E3114" s="1"/>
      <c r="F3114" s="1"/>
    </row>
    <row r="3115" spans="1:6" x14ac:dyDescent="0.25">
      <c r="A3115" s="7"/>
      <c r="D3115" s="5"/>
      <c r="E3115" s="1"/>
      <c r="F3115" s="1"/>
    </row>
    <row r="3116" spans="1:6" x14ac:dyDescent="0.25">
      <c r="A3116" s="7"/>
      <c r="D3116" s="5"/>
      <c r="E3116" s="1"/>
      <c r="F3116" s="1"/>
    </row>
    <row r="3117" spans="1:6" x14ac:dyDescent="0.25">
      <c r="A3117" s="7"/>
      <c r="D3117" s="5"/>
      <c r="E3117" s="1"/>
      <c r="F3117" s="1"/>
    </row>
    <row r="3118" spans="1:6" x14ac:dyDescent="0.25">
      <c r="A3118" s="7"/>
      <c r="D3118" s="5"/>
      <c r="E3118" s="1"/>
      <c r="F3118" s="1"/>
    </row>
    <row r="3119" spans="1:6" x14ac:dyDescent="0.25">
      <c r="A3119" s="7"/>
      <c r="D3119" s="5"/>
      <c r="E3119" s="1"/>
      <c r="F3119" s="1"/>
    </row>
  </sheetData>
  <autoFilter ref="A2:L3099" xr:uid="{00000000-0001-0000-0200-000000000000}"/>
  <conditionalFormatting sqref="I3:I1048576">
    <cfRule type="expression" dxfId="1" priority="2">
      <formula>A4&gt;A3</formula>
    </cfRule>
  </conditionalFormatting>
  <conditionalFormatting sqref="K1 K3:K1048576">
    <cfRule type="expression" dxfId="0" priority="1">
      <formula>K1&gt;K2</formula>
    </cfRule>
  </conditionalFormatting>
  <pageMargins left="0.75" right="0.75" top="1" bottom="1" header="0.5" footer="0.5"/>
  <pageSetup scale="10" orientation="landscape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102D-49AF-405C-AEAA-222AAE055228}">
  <dimension ref="B2:D23"/>
  <sheetViews>
    <sheetView workbookViewId="0">
      <selection activeCell="D4" sqref="D4"/>
    </sheetView>
  </sheetViews>
  <sheetFormatPr defaultRowHeight="13.2" x14ac:dyDescent="0.25"/>
  <cols>
    <col min="2" max="2" width="18.33203125" customWidth="1"/>
    <col min="3" max="3" width="32.33203125" customWidth="1"/>
    <col min="4" max="4" width="29.6640625" customWidth="1"/>
  </cols>
  <sheetData>
    <row r="2" spans="2:4" x14ac:dyDescent="0.25">
      <c r="B2" s="2" t="s">
        <v>635</v>
      </c>
      <c r="C2" s="2" t="s">
        <v>645</v>
      </c>
    </row>
    <row r="4" spans="2:4" x14ac:dyDescent="0.25">
      <c r="B4" s="2" t="s">
        <v>623</v>
      </c>
      <c r="C4" s="5" t="s">
        <v>644</v>
      </c>
      <c r="D4" s="2" t="s">
        <v>637</v>
      </c>
    </row>
    <row r="5" spans="2:4" x14ac:dyDescent="0.25">
      <c r="B5" s="2" t="s">
        <v>624</v>
      </c>
      <c r="C5" s="5" t="s">
        <v>636</v>
      </c>
      <c r="D5" s="5" t="s">
        <v>638</v>
      </c>
    </row>
    <row r="6" spans="2:4" x14ac:dyDescent="0.25">
      <c r="B6" s="2" t="s">
        <v>625</v>
      </c>
      <c r="C6" s="5" t="s">
        <v>649</v>
      </c>
    </row>
    <row r="7" spans="2:4" x14ac:dyDescent="0.25">
      <c r="B7" s="2" t="s">
        <v>626</v>
      </c>
    </row>
    <row r="8" spans="2:4" x14ac:dyDescent="0.25">
      <c r="B8" s="2" t="s">
        <v>627</v>
      </c>
      <c r="C8" s="5" t="s">
        <v>643</v>
      </c>
      <c r="D8" s="5" t="s">
        <v>648</v>
      </c>
    </row>
    <row r="9" spans="2:4" x14ac:dyDescent="0.25">
      <c r="B9" s="2" t="s">
        <v>628</v>
      </c>
    </row>
    <row r="10" spans="2:4" x14ac:dyDescent="0.25">
      <c r="B10" s="2" t="s">
        <v>629</v>
      </c>
    </row>
    <row r="11" spans="2:4" x14ac:dyDescent="0.25">
      <c r="B11" s="2" t="s">
        <v>630</v>
      </c>
    </row>
    <row r="12" spans="2:4" x14ac:dyDescent="0.25">
      <c r="B12" s="2" t="s">
        <v>631</v>
      </c>
    </row>
    <row r="13" spans="2:4" x14ac:dyDescent="0.25">
      <c r="B13" s="2" t="s">
        <v>632</v>
      </c>
    </row>
    <row r="14" spans="2:4" x14ac:dyDescent="0.25">
      <c r="B14" s="2" t="s">
        <v>633</v>
      </c>
    </row>
    <row r="15" spans="2:4" x14ac:dyDescent="0.25">
      <c r="B15" s="2" t="s">
        <v>634</v>
      </c>
    </row>
    <row r="16" spans="2:4" x14ac:dyDescent="0.25">
      <c r="B16" s="2"/>
    </row>
    <row r="18" spans="2:3" x14ac:dyDescent="0.25">
      <c r="B18" s="2" t="s">
        <v>635</v>
      </c>
      <c r="C18" s="5" t="s">
        <v>620</v>
      </c>
    </row>
    <row r="19" spans="2:3" x14ac:dyDescent="0.25">
      <c r="B19" s="2"/>
      <c r="C19" s="5" t="s">
        <v>619</v>
      </c>
    </row>
    <row r="20" spans="2:3" x14ac:dyDescent="0.25">
      <c r="B20" s="2"/>
      <c r="C20" s="2" t="s">
        <v>642</v>
      </c>
    </row>
    <row r="21" spans="2:3" x14ac:dyDescent="0.25">
      <c r="B21" s="2"/>
      <c r="C21" s="2" t="s">
        <v>641</v>
      </c>
    </row>
    <row r="22" spans="2:3" x14ac:dyDescent="0.25">
      <c r="B22" s="2"/>
      <c r="C22" s="2" t="s">
        <v>640</v>
      </c>
    </row>
    <row r="23" spans="2:3" x14ac:dyDescent="0.25">
      <c r="C23" s="2" t="s">
        <v>639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BE7646F5FCA449B63C4FA4D589EF40" ma:contentTypeVersion="13" ma:contentTypeDescription="Create a new document." ma:contentTypeScope="" ma:versionID="db9fe6c6790ea2c48a896db495698991">
  <xsd:schema xmlns:xsd="http://www.w3.org/2001/XMLSchema" xmlns:xs="http://www.w3.org/2001/XMLSchema" xmlns:p="http://schemas.microsoft.com/office/2006/metadata/properties" xmlns:ns3="2f4d87ef-5fa7-41bd-9506-f1fdad9dc502" xmlns:ns4="e5a9b0ae-9fdd-4966-a3d9-2aa7e9dfd49e" targetNamespace="http://schemas.microsoft.com/office/2006/metadata/properties" ma:root="true" ma:fieldsID="2d03c82d9f5a5e12cd7a60f1f2cccfc0" ns3:_="" ns4:_="">
    <xsd:import namespace="2f4d87ef-5fa7-41bd-9506-f1fdad9dc502"/>
    <xsd:import namespace="e5a9b0ae-9fdd-4966-a3d9-2aa7e9dfd4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d87ef-5fa7-41bd-9506-f1fdad9dc5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9b0ae-9fdd-4966-a3d9-2aa7e9dfd4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42ABE4E9-E191-47D9-B4CA-8C15CE6CBB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4d87ef-5fa7-41bd-9506-f1fdad9dc502"/>
    <ds:schemaRef ds:uri="e5a9b0ae-9fdd-4966-a3d9-2aa7e9dfd4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EC6B65-34FC-4733-A8ED-4A1C529C4A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0127D1-47F9-4F50-B43C-C206322DD24D}">
  <ds:schemaRefs>
    <ds:schemaRef ds:uri="http://schemas.microsoft.com/office/2006/documentManagement/type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  <ds:schemaRef ds:uri="e5a9b0ae-9fdd-4966-a3d9-2aa7e9dfd49e"/>
    <ds:schemaRef ds:uri="2f4d87ef-5fa7-41bd-9506-f1fdad9dc502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13A647F3-DEB0-42A1-82DB-62D0554890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Charges</vt:lpstr>
      <vt:lpstr>ToDo</vt:lpstr>
      <vt:lpstr>NowTime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Woodward</dc:creator>
  <cp:lastModifiedBy>Simon Woodward</cp:lastModifiedBy>
  <cp:lastPrinted>2020-08-19T22:04:29Z</cp:lastPrinted>
  <dcterms:created xsi:type="dcterms:W3CDTF">2002-09-01T22:23:05Z</dcterms:created>
  <dcterms:modified xsi:type="dcterms:W3CDTF">2025-09-28T19:32:15Z</dcterms:modified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0x0101002ABE7646F5FCA449B63C4FA4D589EF40</vt:lpwstr>
  </property>
  <property fmtid="{D5CDD505-2E9C-101B-9397-08002B2CF9AE}" pid="3" name="MSIP_Label_07937223-288d-4580-a385-a0b24d8627e2_Enabled">
    <vt:lpwstr>true</vt:lpwstr>
  </property>
  <property fmtid="{D5CDD505-2E9C-101B-9397-08002B2CF9AE}" pid="4" name="MSIP_Label_07937223-288d-4580-a385-a0b24d8627e2_SetDate">
    <vt:lpwstr>2025-08-04T20:31:16Z</vt:lpwstr>
  </property>
  <property fmtid="{D5CDD505-2E9C-101B-9397-08002B2CF9AE}" pid="5" name="MSIP_Label_07937223-288d-4580-a385-a0b24d8627e2_Method">
    <vt:lpwstr>Standard</vt:lpwstr>
  </property>
  <property fmtid="{D5CDD505-2E9C-101B-9397-08002B2CF9AE}" pid="6" name="MSIP_Label_07937223-288d-4580-a385-a0b24d8627e2_Name">
    <vt:lpwstr>DNZ_Controlled_IntExt</vt:lpwstr>
  </property>
  <property fmtid="{D5CDD505-2E9C-101B-9397-08002B2CF9AE}" pid="7" name="MSIP_Label_07937223-288d-4580-a385-a0b24d8627e2_SiteId">
    <vt:lpwstr>dfcdd0cd-53e0-4620-995a-29ff727cdcce</vt:lpwstr>
  </property>
  <property fmtid="{D5CDD505-2E9C-101B-9397-08002B2CF9AE}" pid="8" name="MSIP_Label_07937223-288d-4580-a385-a0b24d8627e2_ActionId">
    <vt:lpwstr>e57c8b74-33ab-4181-bdaa-826af3825ecf</vt:lpwstr>
  </property>
  <property fmtid="{D5CDD505-2E9C-101B-9397-08002B2CF9AE}" pid="9" name="MSIP_Label_07937223-288d-4580-a385-a0b24d8627e2_ContentBits">
    <vt:lpwstr>0</vt:lpwstr>
  </property>
  <property fmtid="{D5CDD505-2E9C-101B-9397-08002B2CF9AE}" pid="10" name="MSIP_Label_07937223-288d-4580-a385-a0b24d8627e2_Tag">
    <vt:lpwstr>10, 3, 0, 1</vt:lpwstr>
  </property>
</Properties>
</file>